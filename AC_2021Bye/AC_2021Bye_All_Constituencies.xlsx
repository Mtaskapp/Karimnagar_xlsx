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No.30 of Final Result 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name val="Calibri"/>
      <color theme="1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/>
    </xf>
    <xf numFmtId="0" fontId="6" fillId="4" borderId="4" pivotButton="0" quotePrefix="0" xfId="0"/>
    <xf numFmtId="0" fontId="4" fillId="4" borderId="4" pivotButton="0" quotePrefix="0" xfId="0"/>
    <xf numFmtId="3" fontId="6" fillId="4" borderId="4" applyAlignment="1" pivotButton="0" quotePrefix="0" xfId="0">
      <alignment horizontal="right"/>
    </xf>
    <xf numFmtId="0" fontId="6" fillId="5" borderId="2" pivotButton="0" quotePrefix="0" xfId="0"/>
    <xf numFmtId="0" fontId="4" fillId="5" borderId="2" pivotButton="0" quotePrefix="0" xfId="0"/>
    <xf numFmtId="3" fontId="6" fillId="5" borderId="2" applyAlignment="1" pivotButton="0" quotePrefix="0" xfId="0">
      <alignment horizontal="right"/>
    </xf>
    <xf numFmtId="0" fontId="6" fillId="6" borderId="5" pivotButton="0" quotePrefix="0" xfId="0"/>
    <xf numFmtId="0" fontId="4" fillId="6" borderId="5" pivotButton="0" quotePrefix="0" xfId="0"/>
    <xf numFmtId="3" fontId="6" fillId="6" borderId="5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3" customWidth="1" min="3" max="3"/>
    <col width="29" customWidth="1" min="4" max="4"/>
    <col width="23" customWidth="1" min="5" max="5"/>
    <col width="21" customWidth="1" min="6" max="6"/>
    <col width="19" customWidth="1" min="7" max="7"/>
    <col width="22" customWidth="1" min="8" max="8"/>
    <col width="16" customWidth="1" min="9" max="9"/>
    <col width="18" customWidth="1" min="10" max="10"/>
    <col width="18" customWidth="1" min="11" max="11"/>
    <col width="18" customWidth="1" min="12" max="12"/>
    <col width="17" customWidth="1" min="13" max="13"/>
    <col width="26" customWidth="1" min="14" max="14"/>
    <col width="16" customWidth="1" min="15" max="15"/>
    <col width="29" customWidth="1" min="16" max="16"/>
    <col width="20" customWidth="1" min="17" max="17"/>
    <col width="17" customWidth="1" min="18" max="18"/>
    <col width="16" customWidth="1" min="19" max="19"/>
    <col width="16" customWidth="1" min="20" max="20"/>
    <col width="17" customWidth="1" min="21" max="21"/>
    <col width="16" customWidth="1" min="22" max="22"/>
  </cols>
  <sheetData>
    <row r="1">
      <c r="A1" s="1" t="inlineStr">
        <is>
          <t>Bye-Election to Telangana Legislative Assembly 2021</t>
        </is>
      </c>
    </row>
    <row r="2">
      <c r="A2" s="2" t="inlineStr">
        <is>
          <t>31-Huzurabad Assembly Constituency</t>
        </is>
      </c>
    </row>
    <row r="3">
      <c r="A3" s="2" t="inlineStr">
        <is>
          <t>Total Electors: 2,36,783</t>
        </is>
      </c>
    </row>
    <row r="4"/>
    <row r="5">
      <c r="A5" s="3" t="inlineStr">
        <is>
          <t>PS_No</t>
        </is>
      </c>
      <c r="B5" s="4" t="inlineStr">
        <is>
          <t>PS_Name</t>
        </is>
      </c>
      <c r="C5" s="3" t="inlineStr">
        <is>
          <t>EATALA RAJENDER</t>
        </is>
      </c>
      <c r="D5" s="3" t="inlineStr">
        <is>
          <t>GELLU SRINIVAS YADAV</t>
        </is>
      </c>
      <c r="E5" s="3" t="inlineStr">
        <is>
          <t>BALMOOR VENKAT NARSING RAO</t>
        </is>
      </c>
      <c r="F5" s="3" t="inlineStr">
        <is>
          <t>ALI MANSOOR MOHAMMED</t>
        </is>
      </c>
      <c r="G5" s="3" t="inlineStr">
        <is>
          <t>KANNA SURESH KANNA</t>
        </is>
      </c>
      <c r="H5" s="3" t="inlineStr">
        <is>
          <t>KARRA RAJI REDDY</t>
        </is>
      </c>
      <c r="I5" s="3" t="inlineStr">
        <is>
          <t>CHILUKA ANAND REDDY</t>
        </is>
      </c>
      <c r="J5" s="3" t="inlineStr">
        <is>
          <t>UPPU RAVINDER</t>
        </is>
      </c>
      <c r="K5" s="3" t="inlineStr">
        <is>
          <t>GANJI YUGANDHER</t>
        </is>
      </c>
      <c r="L5" s="3" t="inlineStr">
        <is>
          <t>PALLE PRASHANTH</t>
        </is>
      </c>
      <c r="M5" s="3" t="inlineStr">
        <is>
          <t>PIDISHETTI RAJU</t>
        </is>
      </c>
      <c r="N5" s="3" t="inlineStr">
        <is>
          <t>MOUTAM SAMPATH</t>
        </is>
      </c>
      <c r="O5" s="3" t="inlineStr">
        <is>
          <t>SHANIGARAPU RAMESH BABU</t>
        </is>
      </c>
      <c r="P5" s="3" t="inlineStr">
        <is>
          <t>RAVULA SUNIL</t>
        </is>
      </c>
      <c r="Q5" s="3" t="inlineStr">
        <is>
          <t>LINGAMPALLY SRINIVAS REDDY</t>
        </is>
      </c>
      <c r="R5" s="3" t="inlineStr">
        <is>
          <t>Total_Valid_Votes</t>
        </is>
      </c>
      <c r="S5" s="3" t="inlineStr">
        <is>
          <t>Rejected_Votes</t>
        </is>
      </c>
      <c r="T5" s="3" t="inlineStr">
        <is>
          <t>NOTA</t>
        </is>
      </c>
      <c r="U5" s="3" t="inlineStr">
        <is>
          <t>Total_Votes</t>
        </is>
      </c>
      <c r="V5" s="3" t="inlineStr">
        <is>
          <t>Tendered_Votes</t>
        </is>
      </c>
      <c r="W5" s="3" t="inlineStr">
        <is>
          <t>Checksum_Diff</t>
        </is>
      </c>
    </row>
    <row r="6">
      <c r="A6" s="5" t="n">
        <v>1</v>
      </c>
      <c r="B6" s="6" t="inlineStr">
        <is>
          <t>Lingapur</t>
        </is>
      </c>
      <c r="C6" s="5" t="n">
        <v>379</v>
      </c>
      <c r="D6" s="5" t="n">
        <v>4</v>
      </c>
      <c r="E6" s="5" t="n">
        <v>489</v>
      </c>
      <c r="F6" s="5" t="n">
        <v>0</v>
      </c>
      <c r="G6" s="5" t="n">
        <v>0</v>
      </c>
      <c r="H6" s="5" t="n">
        <v>3</v>
      </c>
      <c r="I6" s="5" t="n">
        <v>2</v>
      </c>
      <c r="J6" s="5" t="n">
        <v>0</v>
      </c>
      <c r="K6" s="5" t="n">
        <v>0</v>
      </c>
      <c r="L6" s="5" t="n">
        <v>2</v>
      </c>
      <c r="M6" s="5" t="n">
        <v>22</v>
      </c>
      <c r="N6" s="5" t="n">
        <v>1</v>
      </c>
      <c r="O6" s="5" t="n">
        <v>8</v>
      </c>
      <c r="P6" s="5" t="n">
        <v>1</v>
      </c>
      <c r="Q6" s="5" t="n">
        <v>2</v>
      </c>
      <c r="R6" s="5" t="n">
        <v>6</v>
      </c>
      <c r="S6" s="5" t="n">
        <v>13</v>
      </c>
      <c r="T6" s="5" t="n">
        <v>10</v>
      </c>
      <c r="U6" s="5" t="n">
        <v>4</v>
      </c>
      <c r="V6" s="5" t="n">
        <v>0</v>
      </c>
      <c r="W6" s="5">
        <f>SUM(C6:Q6)-R6</f>
        <v/>
      </c>
    </row>
    <row r="7">
      <c r="A7" s="5" t="n">
        <v>2</v>
      </c>
      <c r="B7" s="6" t="inlineStr">
        <is>
          <t>Lingapur</t>
        </is>
      </c>
      <c r="C7" s="5" t="n">
        <v>0</v>
      </c>
      <c r="D7" s="5" t="n">
        <v>1</v>
      </c>
      <c r="E7" s="5" t="n">
        <v>365</v>
      </c>
      <c r="F7" s="5" t="n">
        <v>2</v>
      </c>
      <c r="G7" s="5" t="n">
        <v>0</v>
      </c>
      <c r="H7" s="5" t="n">
        <v>2</v>
      </c>
      <c r="I7" s="5" t="n">
        <v>0</v>
      </c>
      <c r="J7" s="5" t="n">
        <v>0</v>
      </c>
      <c r="K7" s="5" t="n">
        <v>0</v>
      </c>
      <c r="L7" s="5" t="n">
        <v>5</v>
      </c>
      <c r="M7" s="5" t="n">
        <v>13</v>
      </c>
      <c r="N7" s="5" t="n">
        <v>1</v>
      </c>
      <c r="O7" s="5" t="n">
        <v>3</v>
      </c>
      <c r="P7" s="5" t="n">
        <v>3</v>
      </c>
      <c r="Q7" s="5" t="n">
        <v>1</v>
      </c>
      <c r="R7" s="5" t="n">
        <v>4</v>
      </c>
      <c r="S7" s="5" t="n">
        <v>1</v>
      </c>
      <c r="T7" s="5" t="n">
        <v>5</v>
      </c>
      <c r="U7" s="5" t="n">
        <v>0</v>
      </c>
      <c r="V7" s="5" t="n">
        <v>0</v>
      </c>
      <c r="W7" s="5">
        <f>SUM(C7:Q7)-R7</f>
        <v/>
      </c>
    </row>
    <row r="8">
      <c r="A8" s="5" t="n">
        <v>3</v>
      </c>
      <c r="B8" s="6" t="inlineStr">
        <is>
          <t>Manakondur</t>
        </is>
      </c>
      <c r="C8" s="5" t="n">
        <v>0</v>
      </c>
      <c r="D8" s="5" t="n">
        <v>249</v>
      </c>
      <c r="E8" s="5" t="n">
        <v>0</v>
      </c>
      <c r="F8" s="5" t="n">
        <v>0</v>
      </c>
      <c r="G8" s="5" t="n">
        <v>2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25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3</v>
      </c>
      <c r="T8" s="5" t="n">
        <v>5</v>
      </c>
      <c r="U8" s="5" t="n">
        <v>1</v>
      </c>
      <c r="V8" s="5" t="n">
        <v>0</v>
      </c>
      <c r="W8" s="5">
        <f>SUM(C8:Q8)-R8</f>
        <v/>
      </c>
    </row>
    <row r="9">
      <c r="A9" s="5" t="n">
        <v>4</v>
      </c>
      <c r="B9" s="6" t="inlineStr">
        <is>
          <t>Manakondur</t>
        </is>
      </c>
      <c r="C9" s="5" t="n">
        <v>0</v>
      </c>
      <c r="D9" s="5" t="n">
        <v>329</v>
      </c>
      <c r="E9" s="5" t="n">
        <v>0</v>
      </c>
      <c r="F9" s="5" t="n">
        <v>8</v>
      </c>
      <c r="G9" s="5" t="n">
        <v>20</v>
      </c>
      <c r="H9" s="5" t="n">
        <v>0</v>
      </c>
      <c r="I9" s="5" t="n">
        <v>4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204</v>
      </c>
      <c r="R9" s="5" t="n">
        <v>0</v>
      </c>
      <c r="S9" s="5" t="n">
        <v>2</v>
      </c>
      <c r="T9" s="5" t="n">
        <v>2</v>
      </c>
      <c r="U9" s="5" t="n">
        <v>1</v>
      </c>
      <c r="V9" s="5" t="n">
        <v>0</v>
      </c>
      <c r="W9" s="5">
        <f>SUM(C9:Q9)-R9</f>
        <v/>
      </c>
    </row>
    <row r="10">
      <c r="A10" s="5" t="n">
        <v>5</v>
      </c>
      <c r="B10" s="6" t="inlineStr">
        <is>
          <t>Manakondur</t>
        </is>
      </c>
      <c r="C10" s="5" t="n">
        <v>0</v>
      </c>
      <c r="D10" s="5" t="n">
        <v>0</v>
      </c>
      <c r="E10" s="5" t="n">
        <v>0</v>
      </c>
      <c r="F10" s="5" t="n">
        <v>2</v>
      </c>
      <c r="G10" s="5" t="n">
        <v>0</v>
      </c>
      <c r="H10" s="5" t="n">
        <v>0</v>
      </c>
      <c r="I10" s="5" t="n">
        <v>2</v>
      </c>
      <c r="J10" s="5" t="n">
        <v>0</v>
      </c>
      <c r="K10" s="5" t="n">
        <v>0</v>
      </c>
      <c r="L10" s="5" t="n">
        <v>0</v>
      </c>
      <c r="M10" s="5" t="n">
        <v>2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1</v>
      </c>
      <c r="T10" s="5" t="n">
        <v>1</v>
      </c>
      <c r="U10" s="5" t="n">
        <v>3</v>
      </c>
      <c r="V10" s="5" t="n">
        <v>0</v>
      </c>
      <c r="W10" s="5">
        <f>SUM(C10:Q10)-R10</f>
        <v/>
      </c>
    </row>
    <row r="11">
      <c r="A11" s="5" t="n">
        <v>6</v>
      </c>
      <c r="B11" s="6" t="inlineStr">
        <is>
          <t>Manakondur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3</v>
      </c>
      <c r="L11" s="5" t="n">
        <v>0</v>
      </c>
      <c r="M11" s="5" t="n">
        <v>24</v>
      </c>
      <c r="N11" s="5" t="n">
        <v>0</v>
      </c>
      <c r="O11" s="5" t="n">
        <v>8</v>
      </c>
      <c r="P11" s="5" t="n">
        <v>4</v>
      </c>
      <c r="Q11" s="5" t="n">
        <v>0</v>
      </c>
      <c r="R11" s="5" t="n">
        <v>3</v>
      </c>
      <c r="S11" s="5" t="n">
        <v>4</v>
      </c>
      <c r="T11" s="5" t="n">
        <v>4</v>
      </c>
      <c r="U11" s="5" t="n">
        <v>3</v>
      </c>
      <c r="V11" s="5" t="n">
        <v>0</v>
      </c>
      <c r="W11" s="5">
        <f>SUM(C11:Q11)-R11</f>
        <v/>
      </c>
    </row>
    <row r="12">
      <c r="A12" s="5" t="n">
        <v>7</v>
      </c>
      <c r="B12" s="6" t="inlineStr">
        <is>
          <t>Manakondur</t>
        </is>
      </c>
      <c r="C12" s="5" t="n">
        <v>0</v>
      </c>
      <c r="D12" s="5" t="n">
        <v>427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20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6</v>
      </c>
      <c r="T12" s="5" t="n">
        <v>6</v>
      </c>
      <c r="U12" s="5" t="n">
        <v>3</v>
      </c>
      <c r="V12" s="5" t="n">
        <v>0</v>
      </c>
      <c r="W12" s="5">
        <f>SUM(C12:Q12)-R12</f>
        <v/>
      </c>
    </row>
    <row r="13">
      <c r="A13" s="5" t="n">
        <v>8</v>
      </c>
      <c r="B13" s="6" t="inlineStr">
        <is>
          <t>Manakondur</t>
        </is>
      </c>
      <c r="C13" s="5" t="n">
        <v>0</v>
      </c>
      <c r="D13" s="5" t="n">
        <v>0</v>
      </c>
      <c r="E13" s="5" t="n">
        <v>247</v>
      </c>
      <c r="F13" s="5" t="n">
        <v>20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4</v>
      </c>
      <c r="T13" s="5" t="n">
        <v>2</v>
      </c>
      <c r="U13" s="5" t="n">
        <v>0</v>
      </c>
      <c r="V13" s="5" t="n">
        <v>2</v>
      </c>
      <c r="W13" s="5">
        <f>SUM(C13:Q13)-R13</f>
        <v/>
      </c>
    </row>
    <row r="14">
      <c r="A14" s="5" t="n">
        <v>9</v>
      </c>
      <c r="B14" s="6" t="inlineStr">
        <is>
          <t>Manakondur</t>
        </is>
      </c>
      <c r="C14" s="5" t="n">
        <v>0</v>
      </c>
      <c r="D14" s="5" t="n">
        <v>321</v>
      </c>
      <c r="E14" s="5" t="n">
        <v>431</v>
      </c>
      <c r="F14" s="5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83</v>
      </c>
      <c r="N14" s="5" t="n">
        <v>0</v>
      </c>
      <c r="O14" s="5" t="n">
        <v>8</v>
      </c>
      <c r="P14" s="5" t="n">
        <v>0</v>
      </c>
      <c r="Q14" s="5" t="n">
        <v>0</v>
      </c>
      <c r="R14" s="5" t="n">
        <v>5</v>
      </c>
      <c r="S14" s="5" t="n">
        <v>4</v>
      </c>
      <c r="T14" s="5" t="n">
        <v>7</v>
      </c>
      <c r="U14" s="5" t="n">
        <v>3</v>
      </c>
      <c r="V14" s="5" t="n">
        <v>1</v>
      </c>
      <c r="W14" s="5">
        <f>SUM(C14:Q14)-R14</f>
        <v/>
      </c>
    </row>
    <row r="15">
      <c r="A15" s="5" t="n">
        <v>10</v>
      </c>
      <c r="B15" s="6" t="inlineStr">
        <is>
          <t>Manakondur</t>
        </is>
      </c>
      <c r="C15" s="5" t="n">
        <v>0</v>
      </c>
      <c r="D15" s="5" t="n">
        <v>4</v>
      </c>
      <c r="E15" s="5" t="n">
        <v>156</v>
      </c>
      <c r="F15" s="5" t="n">
        <v>17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8</v>
      </c>
      <c r="N15" s="5" t="n">
        <v>0</v>
      </c>
      <c r="O15" s="5" t="n">
        <v>0</v>
      </c>
      <c r="P15" s="5" t="n">
        <v>1</v>
      </c>
      <c r="Q15" s="5" t="n">
        <v>3</v>
      </c>
      <c r="R15" s="5" t="n">
        <v>2</v>
      </c>
      <c r="S15" s="5" t="n">
        <v>1</v>
      </c>
      <c r="T15" s="5" t="n">
        <v>5</v>
      </c>
      <c r="U15" s="5" t="n">
        <v>0</v>
      </c>
      <c r="V15" s="5" t="n">
        <v>0</v>
      </c>
      <c r="W15" s="5">
        <f>SUM(C15:Q15)-R15</f>
        <v/>
      </c>
    </row>
    <row r="16">
      <c r="A16" s="5" t="n">
        <v>11</v>
      </c>
      <c r="B16" s="6" t="inlineStr">
        <is>
          <t>Manakondur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4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6</v>
      </c>
      <c r="U16" s="5" t="n">
        <v>0</v>
      </c>
      <c r="V16" s="5" t="n">
        <v>0</v>
      </c>
      <c r="W16" s="5">
        <f>SUM(C16:Q16)-R16</f>
        <v/>
      </c>
    </row>
    <row r="17">
      <c r="A17" s="5" t="n">
        <v>12</v>
      </c>
      <c r="B17" s="6" t="inlineStr">
        <is>
          <t>Sadashivapally</t>
        </is>
      </c>
      <c r="C17" s="5" t="n">
        <v>0</v>
      </c>
      <c r="D17" s="5" t="n">
        <v>23</v>
      </c>
      <c r="E17" s="5" t="n">
        <v>23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3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>
        <f>SUM(C17:Q17)-R17</f>
        <v/>
      </c>
    </row>
    <row r="18">
      <c r="A18" s="5" t="n">
        <v>13</v>
      </c>
      <c r="B18" s="6" t="inlineStr">
        <is>
          <t>Jaggaiahpally</t>
        </is>
      </c>
      <c r="C18" s="5" t="n">
        <v>47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3</v>
      </c>
      <c r="P18" s="5" t="n">
        <v>4</v>
      </c>
      <c r="Q18" s="5" t="n">
        <v>1</v>
      </c>
      <c r="R18" s="5" t="n">
        <v>1</v>
      </c>
      <c r="S18" s="5" t="n">
        <v>0</v>
      </c>
      <c r="T18" s="5" t="n">
        <v>3</v>
      </c>
      <c r="U18" s="5" t="n">
        <v>0</v>
      </c>
      <c r="V18" s="5" t="n">
        <v>0</v>
      </c>
      <c r="W18" s="5">
        <f>SUM(C18:Q18)-R18</f>
        <v/>
      </c>
    </row>
    <row r="19">
      <c r="A19" s="5" t="n">
        <v>14</v>
      </c>
      <c r="B19" s="6" t="inlineStr">
        <is>
          <t>Srinivasanagar</t>
        </is>
      </c>
      <c r="C19" s="5" t="n">
        <v>0</v>
      </c>
      <c r="D19" s="5" t="n">
        <v>2</v>
      </c>
      <c r="E19" s="5" t="n">
        <v>2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1</v>
      </c>
      <c r="T19" s="5" t="n">
        <v>4</v>
      </c>
      <c r="U19" s="5" t="n">
        <v>0</v>
      </c>
      <c r="V19" s="5" t="n">
        <v>0</v>
      </c>
      <c r="W19" s="5">
        <f>SUM(C19:Q19)-R19</f>
        <v/>
      </c>
    </row>
    <row r="20">
      <c r="A20" s="5" t="n">
        <v>15</v>
      </c>
      <c r="B20" s="6" t="inlineStr">
        <is>
          <t>Munjampally</t>
        </is>
      </c>
      <c r="C20" s="5" t="n">
        <v>0</v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3</v>
      </c>
      <c r="P20" s="5" t="n">
        <v>1</v>
      </c>
      <c r="Q20" s="5" t="n">
        <v>3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>
        <f>SUM(C20:Q20)-R20</f>
        <v/>
      </c>
    </row>
    <row r="21">
      <c r="A21" s="5" t="n">
        <v>16</v>
      </c>
      <c r="B21" s="6" t="inlineStr">
        <is>
          <t>Munjampally</t>
        </is>
      </c>
      <c r="C21" s="5" t="n">
        <v>0</v>
      </c>
      <c r="D21" s="5" t="n">
        <v>2</v>
      </c>
      <c r="E21" s="5" t="n">
        <v>2</v>
      </c>
      <c r="F21" s="5" t="n">
        <v>8</v>
      </c>
      <c r="G21" s="5" t="n">
        <v>0</v>
      </c>
      <c r="H21" s="5" t="n">
        <v>8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3</v>
      </c>
      <c r="S21" s="5" t="n">
        <v>0</v>
      </c>
      <c r="T21" s="5" t="n">
        <v>1</v>
      </c>
      <c r="U21" s="5" t="n">
        <v>0</v>
      </c>
      <c r="V21" s="5" t="n">
        <v>0</v>
      </c>
      <c r="W21" s="5">
        <f>SUM(C21:Q21)-R21</f>
        <v/>
      </c>
    </row>
    <row r="22">
      <c r="A22" s="5" t="n">
        <v>17</v>
      </c>
      <c r="B22" s="6" t="inlineStr">
        <is>
          <t>Edulagattepally</t>
        </is>
      </c>
      <c r="C22" s="5" t="n">
        <v>0</v>
      </c>
      <c r="D22" s="5" t="n">
        <v>2</v>
      </c>
      <c r="E22" s="5" t="n">
        <v>4</v>
      </c>
      <c r="F22" s="5" t="n">
        <v>2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2</v>
      </c>
      <c r="U22" s="5" t="n">
        <v>0</v>
      </c>
      <c r="V22" s="5" t="n">
        <v>0</v>
      </c>
      <c r="W22" s="5">
        <f>SUM(C22:Q22)-R22</f>
        <v/>
      </c>
    </row>
    <row r="23">
      <c r="A23" s="5" t="n">
        <v>18</v>
      </c>
      <c r="B23" s="6" t="inlineStr">
        <is>
          <t>Edulagattepally</t>
        </is>
      </c>
      <c r="C23" s="5" t="n">
        <v>0</v>
      </c>
      <c r="D23" s="5" t="n">
        <v>0</v>
      </c>
      <c r="E23" s="5" t="n">
        <v>2</v>
      </c>
      <c r="F23" s="5" t="n">
        <v>0</v>
      </c>
      <c r="G23" s="5" t="n">
        <v>285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8</v>
      </c>
      <c r="M23" s="5" t="n">
        <v>1</v>
      </c>
      <c r="N23" s="5" t="n">
        <v>0</v>
      </c>
      <c r="O23" s="5" t="n">
        <v>2</v>
      </c>
      <c r="P23" s="5" t="n">
        <v>1</v>
      </c>
      <c r="Q23" s="5" t="n">
        <v>3</v>
      </c>
      <c r="R23" s="5" t="n">
        <v>0</v>
      </c>
      <c r="S23" s="5" t="n">
        <v>1</v>
      </c>
      <c r="T23" s="5" t="n">
        <v>3</v>
      </c>
      <c r="U23" s="5" t="n">
        <v>1</v>
      </c>
      <c r="V23" s="5" t="n">
        <v>0</v>
      </c>
      <c r="W23" s="5">
        <f>SUM(C23:Q23)-R23</f>
        <v/>
      </c>
    </row>
    <row r="24">
      <c r="A24" s="5" t="n">
        <v>19</v>
      </c>
      <c r="B24" s="6" t="inlineStr">
        <is>
          <t>Annaram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6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2</v>
      </c>
      <c r="U24" s="5" t="n">
        <v>0</v>
      </c>
      <c r="V24" s="5" t="n">
        <v>0</v>
      </c>
      <c r="W24" s="5">
        <f>SUM(C24:Q24)-R24</f>
        <v/>
      </c>
    </row>
    <row r="25">
      <c r="A25" s="5" t="n">
        <v>20</v>
      </c>
      <c r="B25" s="6" t="inlineStr">
        <is>
          <t>Annaram</t>
        </is>
      </c>
      <c r="C25" s="5" t="n">
        <v>7</v>
      </c>
      <c r="D25" s="5" t="n">
        <v>0</v>
      </c>
      <c r="E25" s="5" t="n">
        <v>0</v>
      </c>
      <c r="F25" s="5" t="n">
        <v>2</v>
      </c>
      <c r="G25" s="5" t="n">
        <v>0</v>
      </c>
      <c r="H25" s="5" t="n">
        <v>0</v>
      </c>
      <c r="I25" s="5" t="n">
        <v>10</v>
      </c>
      <c r="J25" s="5" t="n">
        <v>0</v>
      </c>
      <c r="K25" s="5" t="n">
        <v>3</v>
      </c>
      <c r="L25" s="5" t="n">
        <v>0</v>
      </c>
      <c r="M25" s="5" t="n">
        <v>0</v>
      </c>
      <c r="N25" s="5" t="n">
        <v>0</v>
      </c>
      <c r="O25" s="5" t="n">
        <v>13</v>
      </c>
      <c r="P25" s="5" t="n">
        <v>6</v>
      </c>
      <c r="Q25" s="5" t="n">
        <v>6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>
        <f>SUM(C25:Q25)-R25</f>
        <v/>
      </c>
    </row>
    <row r="26">
      <c r="A26" s="5" t="n">
        <v>21</v>
      </c>
      <c r="B26" s="6" t="inlineStr">
        <is>
          <t>Annaram</t>
        </is>
      </c>
      <c r="C26" s="5" t="n">
        <v>0</v>
      </c>
      <c r="D26" s="5" t="n">
        <v>326</v>
      </c>
      <c r="E26" s="5" t="n">
        <v>220</v>
      </c>
      <c r="F26" s="5" t="n">
        <v>4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3</v>
      </c>
      <c r="S26" s="5" t="n">
        <v>3</v>
      </c>
      <c r="T26" s="5" t="n">
        <v>2</v>
      </c>
      <c r="U26" s="5" t="n">
        <v>1</v>
      </c>
      <c r="V26" s="5" t="n">
        <v>0</v>
      </c>
      <c r="W26" s="5">
        <f>SUM(C26:Q26)-R26</f>
        <v/>
      </c>
    </row>
    <row r="27">
      <c r="A27" s="5" t="n">
        <v>22</v>
      </c>
      <c r="B27" s="6" t="inlineStr">
        <is>
          <t>Kelledu</t>
        </is>
      </c>
      <c r="C27" s="5" t="n">
        <v>0</v>
      </c>
      <c r="D27" s="5" t="n">
        <v>234</v>
      </c>
      <c r="E27" s="5" t="n">
        <v>187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8</v>
      </c>
      <c r="Q27" s="5" t="n">
        <v>0</v>
      </c>
      <c r="R27" s="5" t="n">
        <v>0</v>
      </c>
      <c r="S27" s="5" t="n">
        <v>1</v>
      </c>
      <c r="T27" s="5" t="n">
        <v>4</v>
      </c>
      <c r="U27" s="5" t="n">
        <v>1</v>
      </c>
      <c r="V27" s="5" t="n">
        <v>0</v>
      </c>
      <c r="W27" s="5">
        <f>SUM(C27:Q27)-R27</f>
        <v/>
      </c>
    </row>
    <row r="28">
      <c r="A28" s="5" t="n">
        <v>23</v>
      </c>
      <c r="B28" s="6" t="inlineStr">
        <is>
          <t>Kelledu</t>
        </is>
      </c>
      <c r="C28" s="5" t="n">
        <v>0</v>
      </c>
      <c r="D28" s="5" t="n">
        <v>205</v>
      </c>
      <c r="E28" s="5" t="n">
        <v>73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208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2</v>
      </c>
      <c r="S28" s="5" t="n">
        <v>1</v>
      </c>
      <c r="T28" s="5" t="n">
        <v>3</v>
      </c>
      <c r="U28" s="5" t="n">
        <v>0</v>
      </c>
      <c r="V28" s="5" t="n">
        <v>0</v>
      </c>
      <c r="W28" s="5">
        <f>SUM(C28:Q28)-R28</f>
        <v/>
      </c>
    </row>
    <row r="29">
      <c r="A29" s="5" t="n">
        <v>42</v>
      </c>
      <c r="B29" s="6" t="inlineStr">
        <is>
          <t>Gattududdenapally</t>
        </is>
      </c>
      <c r="C29" s="5" t="n">
        <v>0</v>
      </c>
      <c r="D29" s="5" t="n">
        <v>303</v>
      </c>
      <c r="E29" s="5" t="n">
        <v>323</v>
      </c>
      <c r="F29" s="5" t="n">
        <v>10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2</v>
      </c>
      <c r="Q29" s="5" t="n">
        <v>0</v>
      </c>
      <c r="R29" s="5" t="n">
        <v>2</v>
      </c>
      <c r="S29" s="5" t="n">
        <v>4</v>
      </c>
      <c r="T29" s="5" t="n">
        <v>2</v>
      </c>
      <c r="U29" s="5" t="n">
        <v>0</v>
      </c>
      <c r="V29" s="5" t="n">
        <v>0</v>
      </c>
      <c r="W29" s="5">
        <f>SUM(C29:Q29)-R29</f>
        <v/>
      </c>
    </row>
    <row r="30">
      <c r="A30" s="5" t="n">
        <v>43</v>
      </c>
      <c r="B30" s="6" t="inlineStr">
        <is>
          <t>Gattududdenapally</t>
        </is>
      </c>
      <c r="C30" s="5" t="n">
        <v>0</v>
      </c>
      <c r="D30" s="5" t="n">
        <v>337</v>
      </c>
      <c r="E30" s="5" t="n">
        <v>479</v>
      </c>
      <c r="F30" s="5" t="n">
        <v>12</v>
      </c>
      <c r="G30" s="5" t="n">
        <v>2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8</v>
      </c>
      <c r="O30" s="5" t="n">
        <v>0</v>
      </c>
      <c r="P30" s="5" t="n">
        <v>0</v>
      </c>
      <c r="Q30" s="5" t="n">
        <v>2</v>
      </c>
      <c r="R30" s="5" t="n">
        <v>5</v>
      </c>
      <c r="S30" s="5" t="n">
        <v>2</v>
      </c>
      <c r="T30" s="5" t="n">
        <v>5</v>
      </c>
      <c r="U30" s="5" t="n">
        <v>0</v>
      </c>
      <c r="V30" s="5" t="n">
        <v>0</v>
      </c>
      <c r="W30" s="5">
        <f>SUM(C30:Q30)-R30</f>
        <v/>
      </c>
    </row>
    <row r="31">
      <c r="A31" s="5" t="n">
        <v>44</v>
      </c>
      <c r="B31" s="6" t="inlineStr">
        <is>
          <t>Gattududdenapally</t>
        </is>
      </c>
      <c r="C31" s="5" t="n">
        <v>0</v>
      </c>
      <c r="D31" s="5" t="n">
        <v>414</v>
      </c>
      <c r="E31" s="5" t="n">
        <v>334</v>
      </c>
      <c r="F31" s="5" t="n">
        <v>1</v>
      </c>
      <c r="G31" s="5" t="n">
        <v>0</v>
      </c>
      <c r="H31" s="5" t="n">
        <v>0</v>
      </c>
      <c r="I31" s="5" t="n">
        <v>58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4</v>
      </c>
      <c r="P31" s="5" t="n">
        <v>0</v>
      </c>
      <c r="Q31" s="5" t="n">
        <v>0</v>
      </c>
      <c r="R31" s="5" t="n">
        <v>0</v>
      </c>
      <c r="S31" s="5" t="n">
        <v>3</v>
      </c>
      <c r="T31" s="5" t="n">
        <v>1</v>
      </c>
      <c r="U31" s="5" t="n">
        <v>4</v>
      </c>
      <c r="V31" s="5" t="n">
        <v>1</v>
      </c>
      <c r="W31" s="5">
        <f>SUM(C31:Q31)-R31</f>
        <v/>
      </c>
    </row>
    <row r="32">
      <c r="A32" s="5" t="n">
        <v>150</v>
      </c>
      <c r="B32" s="6" t="inlineStr">
        <is>
          <t>Ganneruvaram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762</v>
      </c>
      <c r="O32" s="5" t="n">
        <v>0</v>
      </c>
      <c r="P32" s="5" t="n">
        <v>3</v>
      </c>
      <c r="Q32" s="5" t="n">
        <v>6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>
        <f>SUM(C32:Q32)-R32</f>
        <v/>
      </c>
    </row>
    <row r="33">
      <c r="A33" s="5" t="n">
        <v>151</v>
      </c>
      <c r="B33" s="6" t="inlineStr">
        <is>
          <t>Ganneruvaram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2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3</v>
      </c>
      <c r="N33" s="5" t="n">
        <v>578</v>
      </c>
      <c r="O33" s="5" t="n">
        <v>0</v>
      </c>
      <c r="P33" s="5" t="n">
        <v>3</v>
      </c>
      <c r="Q33" s="5" t="n">
        <v>581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>
        <f>SUM(C33:Q33)-R33</f>
        <v/>
      </c>
    </row>
    <row r="34">
      <c r="A34" s="5" t="n">
        <v>152</v>
      </c>
      <c r="B34" s="6" t="inlineStr">
        <is>
          <t>Chokkaraopalli
H/o Ganneruvaram</t>
        </is>
      </c>
      <c r="C34" s="5" t="n">
        <v>0</v>
      </c>
      <c r="D34" s="5" t="n">
        <v>0</v>
      </c>
      <c r="E34" s="5" t="n">
        <v>0</v>
      </c>
      <c r="F34" s="5" t="n">
        <v>288</v>
      </c>
      <c r="G34" s="5" t="n">
        <v>0</v>
      </c>
      <c r="H34" s="5" t="n">
        <v>0</v>
      </c>
      <c r="I34" s="5" t="n">
        <v>2</v>
      </c>
      <c r="J34" s="5" t="n">
        <v>2</v>
      </c>
      <c r="K34" s="5" t="n">
        <v>0</v>
      </c>
      <c r="L34" s="5" t="n">
        <v>1</v>
      </c>
      <c r="M34" s="5" t="n">
        <v>1</v>
      </c>
      <c r="N34" s="5" t="n">
        <v>474</v>
      </c>
      <c r="O34" s="5" t="n">
        <v>0</v>
      </c>
      <c r="P34" s="5" t="n">
        <v>0</v>
      </c>
      <c r="Q34" s="5" t="n">
        <v>474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>
        <f>SUM(C34:Q34)-R34</f>
        <v/>
      </c>
    </row>
    <row r="35">
      <c r="A35" s="5" t="n">
        <v>153</v>
      </c>
      <c r="B35" s="6" t="inlineStr">
        <is>
          <t>Ganneruvaram</t>
        </is>
      </c>
      <c r="C35" s="5" t="n">
        <v>0</v>
      </c>
      <c r="D35" s="5" t="n">
        <v>0</v>
      </c>
      <c r="E35" s="5" t="n">
        <v>2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1</v>
      </c>
      <c r="M35" s="5" t="n">
        <v>1</v>
      </c>
      <c r="N35" s="5" t="n">
        <v>433</v>
      </c>
      <c r="O35" s="5" t="n">
        <v>0</v>
      </c>
      <c r="P35" s="5" t="n">
        <v>7</v>
      </c>
      <c r="Q35" s="5" t="n">
        <v>440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>
        <f>SUM(C35:Q35)-R35</f>
        <v/>
      </c>
    </row>
    <row r="36">
      <c r="A36" s="5" t="n">
        <v>173</v>
      </c>
      <c r="B36" s="6" t="inlineStr">
        <is>
          <t>Bejjanki</t>
        </is>
      </c>
      <c r="C36" s="5" t="n">
        <v>0</v>
      </c>
      <c r="D36" s="5" t="n">
        <v>0</v>
      </c>
      <c r="E36" s="5" t="n">
        <v>404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24</v>
      </c>
      <c r="S36" s="5" t="n">
        <v>0</v>
      </c>
      <c r="T36" s="5" t="n">
        <v>0</v>
      </c>
      <c r="U36" s="5" t="n">
        <v>2</v>
      </c>
      <c r="V36" s="5" t="n">
        <v>83</v>
      </c>
      <c r="W36" s="5">
        <f>SUM(C36:Q36)-R36</f>
        <v/>
      </c>
    </row>
    <row r="37">
      <c r="A37" s="5" t="n">
        <v>174</v>
      </c>
      <c r="B37" s="6" t="inlineStr">
        <is>
          <t>Bejjanki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3</v>
      </c>
      <c r="H37" s="5" t="n">
        <v>0</v>
      </c>
      <c r="I37" s="5" t="n">
        <v>4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>
        <f>SUM(C37:Q37)-R37</f>
        <v/>
      </c>
    </row>
    <row r="38">
      <c r="A38" s="5" t="n">
        <v>190</v>
      </c>
      <c r="B38" s="6" t="inlineStr">
        <is>
          <t>Gunukula Kondapur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14</v>
      </c>
      <c r="N38" s="5" t="n">
        <v>0</v>
      </c>
      <c r="O38" s="5" t="n">
        <v>0</v>
      </c>
      <c r="P38" s="5" t="n">
        <v>0</v>
      </c>
      <c r="Q38" s="5" t="n">
        <v>4</v>
      </c>
      <c r="R38" s="5" t="n">
        <v>0</v>
      </c>
      <c r="S38" s="5" t="n">
        <v>15</v>
      </c>
      <c r="T38" s="5" t="n">
        <v>2</v>
      </c>
      <c r="U38" s="5" t="n">
        <v>2</v>
      </c>
      <c r="V38" s="5" t="n">
        <v>0</v>
      </c>
      <c r="W38" s="5">
        <f>SUM(C38:Q38)-R38</f>
        <v/>
      </c>
    </row>
    <row r="39">
      <c r="A39" s="5" t="n">
        <v>191</v>
      </c>
      <c r="B39" s="6" t="inlineStr">
        <is>
          <t>Gunukula Kondapur</t>
        </is>
      </c>
      <c r="C39" s="5" t="n">
        <v>0</v>
      </c>
      <c r="D39" s="5" t="n">
        <v>401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16</v>
      </c>
      <c r="N39" s="5" t="n">
        <v>0</v>
      </c>
      <c r="O39" s="5" t="n">
        <v>0</v>
      </c>
      <c r="P39" s="5" t="n">
        <v>4</v>
      </c>
      <c r="Q39" s="5" t="n">
        <v>1</v>
      </c>
      <c r="R39" s="5" t="n">
        <v>5</v>
      </c>
      <c r="S39" s="5" t="n">
        <v>5</v>
      </c>
      <c r="T39" s="5" t="n">
        <v>3</v>
      </c>
      <c r="U39" s="5" t="n">
        <v>2</v>
      </c>
      <c r="V39" s="5" t="n">
        <v>0</v>
      </c>
      <c r="W39" s="5">
        <f>SUM(C39:Q39)-R39</f>
        <v/>
      </c>
    </row>
    <row r="40">
      <c r="A40" s="5" t="n">
        <v>192</v>
      </c>
      <c r="B40" s="6" t="inlineStr">
        <is>
          <t>Gundlapally</t>
        </is>
      </c>
      <c r="C40" s="5" t="n">
        <v>0</v>
      </c>
      <c r="D40" s="5" t="n">
        <v>150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2</v>
      </c>
      <c r="P40" s="5" t="n">
        <v>2</v>
      </c>
      <c r="Q40" s="5" t="n">
        <v>0</v>
      </c>
      <c r="R40" s="5" t="n">
        <v>0</v>
      </c>
      <c r="S40" s="5" t="n">
        <v>0</v>
      </c>
      <c r="T40" s="5" t="n">
        <v>4</v>
      </c>
      <c r="U40" s="5" t="n">
        <v>0</v>
      </c>
      <c r="V40" s="5" t="n">
        <v>2</v>
      </c>
      <c r="W40" s="5">
        <f>SUM(C40:Q40)-R40</f>
        <v/>
      </c>
    </row>
    <row r="41">
      <c r="A41" s="5" t="n">
        <v>227</v>
      </c>
      <c r="B41" s="6" t="inlineStr">
        <is>
          <t>Dacharam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768</v>
      </c>
      <c r="O41" s="5" t="n">
        <v>0</v>
      </c>
      <c r="P41" s="5" t="n">
        <v>2</v>
      </c>
      <c r="Q41" s="5" t="n">
        <v>770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>
        <f>SUM(C41:Q41)-R41</f>
        <v/>
      </c>
    </row>
    <row r="42">
      <c r="A42" s="5" t="n">
        <v>228</v>
      </c>
      <c r="B42" s="6" t="inlineStr">
        <is>
          <t>Dacharam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1</v>
      </c>
      <c r="M42" s="5" t="n">
        <v>0</v>
      </c>
      <c r="N42" s="5" t="n">
        <v>563</v>
      </c>
      <c r="O42" s="5" t="n">
        <v>0</v>
      </c>
      <c r="P42" s="5" t="n">
        <v>0</v>
      </c>
      <c r="Q42" s="5" t="n">
        <v>66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>
        <f>SUM(C42:Q42)-R42</f>
        <v/>
      </c>
    </row>
    <row r="43">
      <c r="A43" s="5" t="n">
        <v>247</v>
      </c>
      <c r="B43" s="6" t="inlineStr">
        <is>
          <t>Manakondur PS 247</t>
        </is>
      </c>
      <c r="C43" s="5" t="n">
        <v>247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2</v>
      </c>
      <c r="J43" s="5" t="n">
        <v>0</v>
      </c>
      <c r="K43" s="5" t="n">
        <v>0</v>
      </c>
      <c r="L43" s="5" t="n">
        <v>0</v>
      </c>
      <c r="M43" s="5" t="n">
        <v>5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2</v>
      </c>
      <c r="S43" s="5" t="n">
        <v>4</v>
      </c>
      <c r="T43" s="5" t="n">
        <v>5</v>
      </c>
      <c r="U43" s="5" t="n">
        <v>3</v>
      </c>
      <c r="V43" s="5" t="n">
        <v>0</v>
      </c>
      <c r="W43" s="5">
        <f>SUM(C43:Q43)-R43</f>
        <v/>
      </c>
    </row>
    <row r="44">
      <c r="A44" s="5" t="n">
        <v>248</v>
      </c>
      <c r="B44" s="6" t="inlineStr">
        <is>
          <t>Manakondur PS 248</t>
        </is>
      </c>
      <c r="C44" s="5" t="n">
        <v>248</v>
      </c>
      <c r="D44" s="5" t="n">
        <v>476</v>
      </c>
      <c r="E44" s="5" t="n">
        <v>268</v>
      </c>
      <c r="F44" s="5" t="n">
        <v>10</v>
      </c>
      <c r="G44" s="5" t="n">
        <v>0</v>
      </c>
      <c r="H44" s="5" t="n">
        <v>0</v>
      </c>
      <c r="I44" s="5" t="n">
        <v>4</v>
      </c>
      <c r="J44" s="5" t="n">
        <v>0</v>
      </c>
      <c r="K44" s="5" t="n">
        <v>4</v>
      </c>
      <c r="L44" s="5" t="n">
        <v>2</v>
      </c>
      <c r="M44" s="5" t="n">
        <v>8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9</v>
      </c>
      <c r="T44" s="5" t="n">
        <v>8</v>
      </c>
      <c r="U44" s="5" t="n">
        <v>5</v>
      </c>
      <c r="V44" s="5" t="n">
        <v>0</v>
      </c>
      <c r="W44" s="5">
        <f>SUM(C44:Q44)-R44</f>
        <v/>
      </c>
    </row>
    <row r="45">
      <c r="A45" s="5" t="n">
        <v>249</v>
      </c>
      <c r="B45" s="6" t="inlineStr">
        <is>
          <t>Manakondur PS 249</t>
        </is>
      </c>
      <c r="C45" s="5" t="n">
        <v>249</v>
      </c>
      <c r="D45" s="5" t="n">
        <v>351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3</v>
      </c>
      <c r="K45" s="5" t="n">
        <v>2</v>
      </c>
      <c r="L45" s="5" t="n">
        <v>4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2</v>
      </c>
      <c r="R45" s="5" t="n">
        <v>8</v>
      </c>
      <c r="S45" s="5" t="n">
        <v>13</v>
      </c>
      <c r="T45" s="5" t="n">
        <v>1</v>
      </c>
      <c r="U45" s="5" t="n">
        <v>2</v>
      </c>
      <c r="V45" s="5" t="n">
        <v>0</v>
      </c>
      <c r="W45" s="5">
        <f>SUM(C45:Q45)-R45</f>
        <v/>
      </c>
    </row>
    <row r="46">
      <c r="A46" s="5" t="n">
        <v>250</v>
      </c>
      <c r="B46" s="6" t="inlineStr">
        <is>
          <t>Manakondur PS 250</t>
        </is>
      </c>
      <c r="C46" s="5" t="n">
        <v>250</v>
      </c>
      <c r="D46" s="5" t="n">
        <v>473</v>
      </c>
      <c r="E46" s="5" t="n">
        <v>326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41</v>
      </c>
      <c r="N46" s="5" t="n">
        <v>4</v>
      </c>
      <c r="O46" s="5" t="n">
        <v>3</v>
      </c>
      <c r="P46" s="5" t="n">
        <v>0</v>
      </c>
      <c r="Q46" s="5" t="n">
        <v>1</v>
      </c>
      <c r="R46" s="5" t="n">
        <v>2</v>
      </c>
      <c r="S46" s="5" t="n">
        <v>1</v>
      </c>
      <c r="T46" s="5" t="n">
        <v>4</v>
      </c>
      <c r="U46" s="5" t="n">
        <v>2</v>
      </c>
      <c r="V46" s="5" t="n">
        <v>0</v>
      </c>
      <c r="W46" s="5">
        <f>SUM(C46:Q46)-R46</f>
        <v/>
      </c>
    </row>
    <row r="47">
      <c r="A47" s="5" t="n">
        <v>251</v>
      </c>
      <c r="B47" s="6" t="inlineStr">
        <is>
          <t>Manakondur PS 251</t>
        </is>
      </c>
      <c r="C47" s="5" t="n">
        <v>251</v>
      </c>
      <c r="D47" s="5" t="n">
        <v>0</v>
      </c>
      <c r="E47" s="5" t="n">
        <v>297</v>
      </c>
      <c r="F47" s="5" t="n">
        <v>0</v>
      </c>
      <c r="G47" s="5" t="n">
        <v>0</v>
      </c>
      <c r="H47" s="5" t="n">
        <v>0</v>
      </c>
      <c r="I47" s="5" t="n">
        <v>4</v>
      </c>
      <c r="J47" s="5" t="n">
        <v>0</v>
      </c>
      <c r="K47" s="5" t="n">
        <v>0</v>
      </c>
      <c r="L47" s="5" t="n">
        <v>3</v>
      </c>
      <c r="M47" s="5" t="n">
        <v>5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5</v>
      </c>
      <c r="S47" s="5" t="n">
        <v>2</v>
      </c>
      <c r="T47" s="5" t="n">
        <v>6</v>
      </c>
      <c r="U47" s="5" t="n">
        <v>4</v>
      </c>
      <c r="V47" s="5" t="n">
        <v>1</v>
      </c>
      <c r="W47" s="5">
        <f>SUM(C47:Q47)-R47</f>
        <v/>
      </c>
    </row>
    <row r="48">
      <c r="A48" s="5" t="n">
        <v>252</v>
      </c>
      <c r="B48" s="6" t="inlineStr">
        <is>
          <t>Manakondur PS 252</t>
        </is>
      </c>
      <c r="C48" s="5" t="n">
        <v>252</v>
      </c>
      <c r="D48" s="5" t="n">
        <v>310</v>
      </c>
      <c r="E48" s="5" t="n">
        <v>235</v>
      </c>
      <c r="F48" s="5" t="n">
        <v>28</v>
      </c>
      <c r="G48" s="5" t="n">
        <v>0</v>
      </c>
      <c r="H48" s="5" t="n">
        <v>23</v>
      </c>
      <c r="I48" s="5" t="n">
        <v>2</v>
      </c>
      <c r="J48" s="5" t="n">
        <v>0</v>
      </c>
      <c r="K48" s="5" t="n">
        <v>0</v>
      </c>
      <c r="L48" s="5" t="n">
        <v>4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5</v>
      </c>
      <c r="S48" s="5" t="n">
        <v>1</v>
      </c>
      <c r="T48" s="5" t="n">
        <v>1</v>
      </c>
      <c r="U48" s="5" t="n">
        <v>4</v>
      </c>
      <c r="V48" s="5" t="n">
        <v>0</v>
      </c>
      <c r="W48" s="5">
        <f>SUM(C48:Q48)-R48</f>
        <v/>
      </c>
    </row>
    <row r="49">
      <c r="A49" s="5" t="n">
        <v>254</v>
      </c>
      <c r="B49" s="6" t="inlineStr">
        <is>
          <t>Manakondur PS 254</t>
        </is>
      </c>
      <c r="C49" s="5" t="n">
        <v>254</v>
      </c>
      <c r="D49" s="5" t="n">
        <v>307</v>
      </c>
      <c r="E49" s="5" t="n">
        <v>159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3</v>
      </c>
      <c r="N49" s="5" t="n">
        <v>0</v>
      </c>
      <c r="O49" s="5" t="n">
        <v>2</v>
      </c>
      <c r="P49" s="5" t="n">
        <v>2</v>
      </c>
      <c r="Q49" s="5" t="n">
        <v>0</v>
      </c>
      <c r="R49" s="5" t="n">
        <v>1</v>
      </c>
      <c r="S49" s="5" t="n">
        <v>6</v>
      </c>
      <c r="T49" s="5" t="n">
        <v>4</v>
      </c>
      <c r="U49" s="5" t="n">
        <v>2</v>
      </c>
      <c r="V49" s="5" t="n">
        <v>0</v>
      </c>
      <c r="W49" s="5">
        <f>SUM(C49:Q49)-R49</f>
        <v/>
      </c>
    </row>
    <row r="50">
      <c r="A50" s="5" t="n">
        <v>256</v>
      </c>
      <c r="B50" s="6" t="inlineStr">
        <is>
          <t>Manakondur PS 256</t>
        </is>
      </c>
      <c r="C50" s="5" t="n">
        <v>256</v>
      </c>
      <c r="D50" s="5" t="n">
        <v>576</v>
      </c>
      <c r="E50" s="5" t="n">
        <v>308</v>
      </c>
      <c r="F50" s="5" t="n">
        <v>12</v>
      </c>
      <c r="G50" s="5" t="n">
        <v>0</v>
      </c>
      <c r="H50" s="5" t="n">
        <v>0</v>
      </c>
      <c r="I50" s="5" t="n">
        <v>2</v>
      </c>
      <c r="J50" s="5" t="n">
        <v>0</v>
      </c>
      <c r="K50" s="5" t="n">
        <v>0</v>
      </c>
      <c r="L50" s="5" t="n">
        <v>2</v>
      </c>
      <c r="M50" s="5" t="n">
        <v>8</v>
      </c>
      <c r="N50" s="5" t="n">
        <v>0</v>
      </c>
      <c r="O50" s="5" t="n">
        <v>3</v>
      </c>
      <c r="P50" s="5" t="n">
        <v>2</v>
      </c>
      <c r="Q50" s="5" t="n">
        <v>2</v>
      </c>
      <c r="R50" s="5" t="n">
        <v>3</v>
      </c>
      <c r="S50" s="5" t="n">
        <v>10</v>
      </c>
      <c r="T50" s="5" t="n">
        <v>12</v>
      </c>
      <c r="U50" s="5" t="n">
        <v>0</v>
      </c>
      <c r="V50" s="5" t="n">
        <v>0</v>
      </c>
      <c r="W50" s="5">
        <f>SUM(C50:Q50)-R50</f>
        <v/>
      </c>
    </row>
    <row r="51">
      <c r="A51" s="5" t="n">
        <v>258</v>
      </c>
      <c r="B51" s="6" t="inlineStr">
        <is>
          <t>Manakondur PS 258</t>
        </is>
      </c>
      <c r="C51" s="5" t="n">
        <v>258</v>
      </c>
      <c r="D51" s="5" t="n">
        <v>225</v>
      </c>
      <c r="E51" s="5" t="n">
        <v>367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8</v>
      </c>
      <c r="N51" s="5" t="n">
        <v>0</v>
      </c>
      <c r="O51" s="5" t="n">
        <v>2</v>
      </c>
      <c r="P51" s="5" t="n">
        <v>1</v>
      </c>
      <c r="Q51" s="5" t="n">
        <v>0</v>
      </c>
      <c r="R51" s="5" t="n">
        <v>3</v>
      </c>
      <c r="S51" s="5" t="n">
        <v>5</v>
      </c>
      <c r="T51" s="5" t="n">
        <v>2</v>
      </c>
      <c r="U51" s="5" t="n">
        <v>1</v>
      </c>
      <c r="V51" s="5" t="n">
        <v>0</v>
      </c>
      <c r="W51" s="5">
        <f>SUM(C51:Q51)-R51</f>
        <v/>
      </c>
    </row>
    <row r="52">
      <c r="A52" s="5" t="n">
        <v>259</v>
      </c>
      <c r="B52" s="6" t="inlineStr">
        <is>
          <t>Manakondur PS 259</t>
        </is>
      </c>
      <c r="C52" s="5" t="n">
        <v>259</v>
      </c>
      <c r="D52" s="5" t="n">
        <v>0</v>
      </c>
      <c r="E52" s="5" t="n">
        <v>258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1</v>
      </c>
      <c r="L52" s="5" t="n">
        <v>6</v>
      </c>
      <c r="M52" s="5" t="n">
        <v>0</v>
      </c>
      <c r="N52" s="5" t="n">
        <v>0</v>
      </c>
      <c r="O52" s="5" t="n">
        <v>4</v>
      </c>
      <c r="P52" s="5" t="n">
        <v>2</v>
      </c>
      <c r="Q52" s="5" t="n">
        <v>0</v>
      </c>
      <c r="R52" s="5" t="n">
        <v>3</v>
      </c>
      <c r="S52" s="5" t="n">
        <v>6</v>
      </c>
      <c r="T52" s="5" t="n">
        <v>5</v>
      </c>
      <c r="U52" s="5" t="n">
        <v>0</v>
      </c>
      <c r="V52" s="5" t="n">
        <v>1</v>
      </c>
      <c r="W52" s="5">
        <f>SUM(C52:Q52)-R52</f>
        <v/>
      </c>
    </row>
    <row r="53">
      <c r="A53" s="5" t="n">
        <v>260</v>
      </c>
      <c r="B53" s="6" t="inlineStr">
        <is>
          <t>Manakondur PS 260</t>
        </is>
      </c>
      <c r="C53" s="5" t="n">
        <v>260</v>
      </c>
      <c r="D53" s="5" t="n">
        <v>392</v>
      </c>
      <c r="E53" s="5" t="n">
        <v>249</v>
      </c>
      <c r="F53" s="5" t="n">
        <v>0</v>
      </c>
      <c r="G53" s="5" t="n">
        <v>0</v>
      </c>
      <c r="H53" s="5" t="n">
        <v>0</v>
      </c>
      <c r="I53" s="5" t="n">
        <v>2</v>
      </c>
      <c r="J53" s="5" t="n">
        <v>0</v>
      </c>
      <c r="K53" s="5" t="n">
        <v>0</v>
      </c>
      <c r="L53" s="5" t="n">
        <v>4</v>
      </c>
      <c r="M53" s="5" t="n">
        <v>9</v>
      </c>
      <c r="N53" s="5" t="n">
        <v>0</v>
      </c>
      <c r="O53" s="5" t="n">
        <v>1</v>
      </c>
      <c r="P53" s="5" t="n">
        <v>1</v>
      </c>
      <c r="Q53" s="5" t="n">
        <v>2</v>
      </c>
      <c r="R53" s="5" t="n">
        <v>4</v>
      </c>
      <c r="S53" s="5" t="n">
        <v>1</v>
      </c>
      <c r="T53" s="5" t="n">
        <v>9</v>
      </c>
      <c r="U53" s="5" t="n">
        <v>2</v>
      </c>
      <c r="V53" s="5" t="n">
        <v>2</v>
      </c>
      <c r="W53" s="5">
        <f>SUM(C53:Q53)-R53</f>
        <v/>
      </c>
    </row>
    <row r="54">
      <c r="A54" s="5" t="n">
        <v>261</v>
      </c>
      <c r="B54" s="6" t="inlineStr">
        <is>
          <t>Manakondur PS 261</t>
        </is>
      </c>
      <c r="C54" s="5" t="n">
        <v>261</v>
      </c>
      <c r="D54" s="5" t="n">
        <v>0</v>
      </c>
      <c r="E54" s="5" t="n">
        <v>2</v>
      </c>
      <c r="F54" s="5" t="n">
        <v>10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3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2</v>
      </c>
      <c r="S54" s="5" t="n">
        <v>13</v>
      </c>
      <c r="T54" s="5" t="n">
        <v>4</v>
      </c>
      <c r="U54" s="5" t="n">
        <v>3</v>
      </c>
      <c r="V54" s="5" t="n">
        <v>0</v>
      </c>
      <c r="W54" s="5">
        <f>SUM(C54:Q54)-R54</f>
        <v/>
      </c>
    </row>
    <row r="55">
      <c r="A55" s="5" t="n">
        <v>262</v>
      </c>
      <c r="B55" s="6" t="inlineStr">
        <is>
          <t>Manakondur PS 262</t>
        </is>
      </c>
      <c r="C55" s="5" t="n">
        <v>62</v>
      </c>
      <c r="D55" s="5" t="n">
        <v>678</v>
      </c>
      <c r="E55" s="5" t="n">
        <v>0</v>
      </c>
      <c r="F55" s="5" t="n">
        <v>0</v>
      </c>
      <c r="G55" s="5" t="n">
        <v>0</v>
      </c>
      <c r="H55" s="5" t="n">
        <v>2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4</v>
      </c>
      <c r="P55" s="5" t="n">
        <v>2</v>
      </c>
      <c r="Q55" s="5" t="n">
        <v>0</v>
      </c>
      <c r="R55" s="5" t="n">
        <v>1</v>
      </c>
      <c r="S55" s="5" t="n">
        <v>13</v>
      </c>
      <c r="T55" s="5" t="n">
        <v>2</v>
      </c>
      <c r="U55" s="5" t="n">
        <v>0</v>
      </c>
      <c r="V55" s="5" t="n">
        <v>2</v>
      </c>
      <c r="W55" s="5">
        <f>SUM(C55:Q55)-R55</f>
        <v/>
      </c>
    </row>
    <row r="56">
      <c r="A56" s="5" t="n">
        <v>263</v>
      </c>
      <c r="B56" s="6" t="inlineStr">
        <is>
          <t>Manakondur PS 263</t>
        </is>
      </c>
      <c r="C56" s="5" t="n">
        <v>63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4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3</v>
      </c>
      <c r="S56" s="5" t="n">
        <v>8</v>
      </c>
      <c r="T56" s="5" t="n">
        <v>2</v>
      </c>
      <c r="U56" s="5" t="n">
        <v>0</v>
      </c>
      <c r="V56" s="5" t="n">
        <v>0</v>
      </c>
      <c r="W56" s="5">
        <f>SUM(C56:Q56)-R56</f>
        <v/>
      </c>
    </row>
    <row r="57">
      <c r="A57" s="5" t="n">
        <v>264</v>
      </c>
      <c r="B57" s="6" t="inlineStr">
        <is>
          <t>Manakondur PS 264</t>
        </is>
      </c>
      <c r="C57" s="5" t="n">
        <v>64</v>
      </c>
      <c r="D57" s="5" t="n">
        <v>0</v>
      </c>
      <c r="E57" s="5" t="n">
        <v>138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1</v>
      </c>
      <c r="P57" s="5" t="n">
        <v>0</v>
      </c>
      <c r="Q57" s="5" t="n">
        <v>0</v>
      </c>
      <c r="R57" s="5" t="n">
        <v>1</v>
      </c>
      <c r="S57" s="5" t="n">
        <v>6</v>
      </c>
      <c r="T57" s="5" t="n">
        <v>3</v>
      </c>
      <c r="U57" s="5" t="n">
        <v>0</v>
      </c>
      <c r="V57" s="5" t="n">
        <v>0</v>
      </c>
      <c r="W57" s="5">
        <f>SUM(C57:Q57)-R57</f>
        <v/>
      </c>
    </row>
    <row r="58">
      <c r="A58" s="5" t="n">
        <v>265</v>
      </c>
      <c r="B58" s="6" t="inlineStr">
        <is>
          <t>Manakondur PS 265</t>
        </is>
      </c>
      <c r="C58" s="5" t="n">
        <v>69</v>
      </c>
      <c r="D58" s="5" t="n">
        <v>0</v>
      </c>
      <c r="E58" s="5" t="n">
        <v>0</v>
      </c>
      <c r="F58" s="5" t="n">
        <v>2</v>
      </c>
      <c r="G58" s="5" t="n">
        <v>208</v>
      </c>
      <c r="H58" s="5" t="n">
        <v>0</v>
      </c>
      <c r="I58" s="5" t="n">
        <v>2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3</v>
      </c>
      <c r="S58" s="5" t="n">
        <v>8</v>
      </c>
      <c r="T58" s="5" t="n">
        <v>0</v>
      </c>
      <c r="U58" s="5" t="n">
        <v>0</v>
      </c>
      <c r="V58" s="5" t="n">
        <v>0</v>
      </c>
      <c r="W58" s="5">
        <f>SUM(C58:Q58)-R58</f>
        <v/>
      </c>
    </row>
    <row r="59">
      <c r="A59" s="5" t="n">
        <v>266</v>
      </c>
      <c r="B59" s="6" t="inlineStr">
        <is>
          <t>Manakondur PS 266</t>
        </is>
      </c>
      <c r="C59" s="5" t="n">
        <v>66</v>
      </c>
      <c r="D59" s="5" t="n">
        <v>375</v>
      </c>
      <c r="E59" s="5" t="n">
        <v>434</v>
      </c>
      <c r="F59" s="5" t="n">
        <v>2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2</v>
      </c>
      <c r="M59" s="5" t="n">
        <v>3</v>
      </c>
      <c r="N59" s="5" t="n">
        <v>1</v>
      </c>
      <c r="O59" s="5" t="n">
        <v>0</v>
      </c>
      <c r="P59" s="5" t="n">
        <v>0</v>
      </c>
      <c r="Q59" s="5" t="n">
        <v>0</v>
      </c>
      <c r="R59" s="5" t="n">
        <v>1</v>
      </c>
      <c r="S59" s="5" t="n">
        <v>4</v>
      </c>
      <c r="T59" s="5" t="n">
        <v>2</v>
      </c>
      <c r="U59" s="5" t="n">
        <v>0</v>
      </c>
      <c r="V59" s="5" t="n">
        <v>0</v>
      </c>
      <c r="W59" s="5">
        <f>SUM(C59:Q59)-R59</f>
        <v/>
      </c>
    </row>
    <row r="60">
      <c r="A60" s="5" t="n">
        <v>267</v>
      </c>
      <c r="B60" s="6" t="inlineStr">
        <is>
          <t>Manakondur PS 267</t>
        </is>
      </c>
      <c r="C60" s="5" t="n">
        <v>67</v>
      </c>
      <c r="D60" s="5" t="n">
        <v>0</v>
      </c>
      <c r="E60" s="5" t="n">
        <v>0</v>
      </c>
      <c r="F60" s="5" t="n">
        <v>17</v>
      </c>
      <c r="G60" s="5" t="n">
        <v>0</v>
      </c>
      <c r="H60" s="5" t="n">
        <v>5</v>
      </c>
      <c r="I60" s="5" t="n">
        <v>0</v>
      </c>
      <c r="J60" s="5" t="n">
        <v>0</v>
      </c>
      <c r="K60" s="5" t="n">
        <v>1</v>
      </c>
      <c r="L60" s="5" t="n">
        <v>6</v>
      </c>
      <c r="M60" s="5" t="n">
        <v>5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2</v>
      </c>
      <c r="S60" s="5" t="n">
        <v>13</v>
      </c>
      <c r="T60" s="5" t="n">
        <v>6</v>
      </c>
      <c r="U60" s="5" t="n">
        <v>0</v>
      </c>
      <c r="V60" s="5" t="n">
        <v>0</v>
      </c>
      <c r="W60" s="5">
        <f>SUM(C60:Q60)-R60</f>
        <v/>
      </c>
    </row>
    <row r="61">
      <c r="A61" s="5" t="n">
        <v>268</v>
      </c>
      <c r="B61" s="6" t="inlineStr">
        <is>
          <t>Manakondur PS 268</t>
        </is>
      </c>
      <c r="C61" s="5" t="n">
        <v>88</v>
      </c>
      <c r="D61" s="5" t="n">
        <v>0</v>
      </c>
      <c r="E61" s="5" t="n">
        <v>139</v>
      </c>
      <c r="F61" s="5" t="n">
        <v>0</v>
      </c>
      <c r="G61" s="5" t="n">
        <v>3</v>
      </c>
      <c r="H61" s="5" t="n">
        <v>0</v>
      </c>
      <c r="I61" s="5" t="n">
        <v>0</v>
      </c>
      <c r="J61" s="5" t="n">
        <v>0</v>
      </c>
      <c r="K61" s="5" t="n">
        <v>1</v>
      </c>
      <c r="L61" s="5" t="n">
        <v>1</v>
      </c>
      <c r="M61" s="5" t="n">
        <v>5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7</v>
      </c>
      <c r="U61" s="5" t="n">
        <v>0</v>
      </c>
      <c r="V61" s="5" t="n">
        <v>0</v>
      </c>
      <c r="W61" s="5">
        <f>SUM(C61:Q61)-R61</f>
        <v/>
      </c>
    </row>
    <row r="62">
      <c r="A62" s="5" t="n">
        <v>269</v>
      </c>
      <c r="B62" s="6" t="inlineStr">
        <is>
          <t>Manakondur PS 269</t>
        </is>
      </c>
      <c r="C62" s="5" t="n">
        <v>89</v>
      </c>
      <c r="D62" s="5" t="n">
        <v>322</v>
      </c>
      <c r="E62" s="5" t="n">
        <v>145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1</v>
      </c>
      <c r="M62" s="5" t="n">
        <v>2</v>
      </c>
      <c r="N62" s="5" t="n">
        <v>7</v>
      </c>
      <c r="O62" s="5" t="n">
        <v>2</v>
      </c>
      <c r="P62" s="5" t="n">
        <v>0</v>
      </c>
      <c r="Q62" s="5" t="n">
        <v>0</v>
      </c>
      <c r="R62" s="5" t="n">
        <v>1</v>
      </c>
      <c r="S62" s="5" t="n">
        <v>10</v>
      </c>
      <c r="T62" s="5" t="n">
        <v>0</v>
      </c>
      <c r="U62" s="5" t="n">
        <v>0</v>
      </c>
      <c r="V62" s="5" t="n">
        <v>0</v>
      </c>
      <c r="W62" s="5">
        <f>SUM(C62:Q62)-R62</f>
        <v/>
      </c>
    </row>
    <row r="63">
      <c r="A63" s="5" t="n">
        <v>270</v>
      </c>
      <c r="B63" s="6" t="inlineStr">
        <is>
          <t>Manakondur PS 270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4</v>
      </c>
      <c r="I63" s="5" t="n">
        <v>0</v>
      </c>
      <c r="J63" s="5" t="n">
        <v>0</v>
      </c>
      <c r="K63" s="5" t="n">
        <v>4</v>
      </c>
      <c r="L63" s="5" t="n">
        <v>2</v>
      </c>
      <c r="M63" s="5" t="n">
        <v>6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9</v>
      </c>
      <c r="T63" s="5" t="n">
        <v>14</v>
      </c>
      <c r="U63" s="5" t="n">
        <v>3</v>
      </c>
      <c r="V63" s="5" t="n">
        <v>0</v>
      </c>
      <c r="W63" s="5">
        <f>SUM(C63:Q63)-R63</f>
        <v/>
      </c>
    </row>
    <row r="64">
      <c r="A64" s="5" t="n">
        <v>271</v>
      </c>
      <c r="B64" s="6" t="inlineStr">
        <is>
          <t>Manakondur PS 271</t>
        </is>
      </c>
      <c r="C64" s="5" t="n">
        <v>0</v>
      </c>
      <c r="D64" s="5" t="n">
        <v>379</v>
      </c>
      <c r="E64" s="5" t="n">
        <v>324</v>
      </c>
      <c r="F64" s="5" t="n">
        <v>0</v>
      </c>
      <c r="G64" s="5" t="n">
        <v>9</v>
      </c>
      <c r="H64" s="5" t="n">
        <v>0</v>
      </c>
      <c r="I64" s="5" t="n">
        <v>4</v>
      </c>
      <c r="J64" s="5" t="n">
        <v>0</v>
      </c>
      <c r="K64" s="5" t="n">
        <v>0</v>
      </c>
      <c r="L64" s="5" t="n">
        <v>4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8</v>
      </c>
      <c r="T64" s="5" t="n">
        <v>3</v>
      </c>
      <c r="U64" s="5" t="n">
        <v>0</v>
      </c>
      <c r="V64" s="5" t="n">
        <v>0</v>
      </c>
      <c r="W64" s="5">
        <f>SUM(C64:Q64)-R64</f>
        <v/>
      </c>
    </row>
    <row r="65">
      <c r="A65" s="5" t="n">
        <v>272</v>
      </c>
      <c r="B65" s="6" t="inlineStr">
        <is>
          <t>Manakondur PS 272</t>
        </is>
      </c>
      <c r="C65" s="5" t="n">
        <v>0</v>
      </c>
      <c r="D65" s="5" t="n">
        <v>0</v>
      </c>
      <c r="E65" s="5" t="n">
        <v>220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4</v>
      </c>
      <c r="L65" s="5" t="n">
        <v>3</v>
      </c>
      <c r="M65" s="5" t="n">
        <v>6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8</v>
      </c>
      <c r="T65" s="5" t="n">
        <v>3</v>
      </c>
      <c r="U65" s="5" t="n">
        <v>0</v>
      </c>
      <c r="V65" s="5" t="n">
        <v>0</v>
      </c>
      <c r="W65" s="5">
        <f>SUM(C65:Q65)-R65</f>
        <v/>
      </c>
    </row>
    <row r="66">
      <c r="A66" s="5" t="n">
        <v>273</v>
      </c>
      <c r="B66" s="6" t="inlineStr">
        <is>
          <t>Manakondur PS 273</t>
        </is>
      </c>
      <c r="C66" s="5" t="n">
        <v>0</v>
      </c>
      <c r="D66" s="5" t="n">
        <v>0</v>
      </c>
      <c r="E66" s="5" t="n">
        <v>89</v>
      </c>
      <c r="F66" s="5" t="n">
        <v>63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5</v>
      </c>
      <c r="N66" s="5" t="n">
        <v>4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3</v>
      </c>
      <c r="T66" s="5" t="n">
        <v>2</v>
      </c>
      <c r="U66" s="5" t="n">
        <v>1</v>
      </c>
      <c r="V66" s="5" t="n">
        <v>0</v>
      </c>
      <c r="W66" s="5">
        <f>SUM(C66:Q66)-R66</f>
        <v/>
      </c>
    </row>
    <row r="67">
      <c r="A67" s="5" t="n">
        <v>274</v>
      </c>
      <c r="B67" s="6" t="inlineStr">
        <is>
          <t>Manakondur PS 274</t>
        </is>
      </c>
      <c r="C67" s="5" t="n">
        <v>0</v>
      </c>
      <c r="D67" s="5" t="n">
        <v>361</v>
      </c>
      <c r="E67" s="5" t="n">
        <v>424</v>
      </c>
      <c r="F67" s="5" t="n">
        <v>0</v>
      </c>
      <c r="G67" s="5" t="n">
        <v>0</v>
      </c>
      <c r="H67" s="5" t="n">
        <v>1</v>
      </c>
      <c r="I67" s="5" t="n">
        <v>4</v>
      </c>
      <c r="J67" s="5" t="n">
        <v>0</v>
      </c>
      <c r="K67" s="5" t="n">
        <v>0</v>
      </c>
      <c r="L67" s="5" t="n">
        <v>0</v>
      </c>
      <c r="M67" s="5" t="n">
        <v>12</v>
      </c>
      <c r="N67" s="5" t="n">
        <v>2</v>
      </c>
      <c r="O67" s="5" t="n">
        <v>7</v>
      </c>
      <c r="P67" s="5" t="n">
        <v>1</v>
      </c>
      <c r="Q67" s="5" t="n">
        <v>2</v>
      </c>
      <c r="R67" s="5" t="n">
        <v>4</v>
      </c>
      <c r="S67" s="5" t="n">
        <v>1</v>
      </c>
      <c r="T67" s="5" t="n">
        <v>4</v>
      </c>
      <c r="U67" s="5" t="n">
        <v>3</v>
      </c>
      <c r="V67" s="5" t="n">
        <v>0</v>
      </c>
      <c r="W67" s="5">
        <f>SUM(C67:Q67)-R67</f>
        <v/>
      </c>
    </row>
    <row r="68">
      <c r="A68" s="5" t="n">
        <v>275</v>
      </c>
      <c r="B68" s="6" t="inlineStr">
        <is>
          <t>Manakondur PS 275</t>
        </is>
      </c>
      <c r="C68" s="5" t="n">
        <v>0</v>
      </c>
      <c r="D68" s="5" t="n">
        <v>278</v>
      </c>
      <c r="E68" s="5" t="n">
        <v>381</v>
      </c>
      <c r="F68" s="5" t="n">
        <v>0</v>
      </c>
      <c r="G68" s="5" t="n">
        <v>4</v>
      </c>
      <c r="H68" s="5" t="n">
        <v>0</v>
      </c>
      <c r="I68" s="5" t="n">
        <v>1</v>
      </c>
      <c r="J68" s="5" t="n">
        <v>0</v>
      </c>
      <c r="K68" s="5" t="n">
        <v>0</v>
      </c>
      <c r="L68" s="5" t="n">
        <v>2</v>
      </c>
      <c r="M68" s="5" t="n">
        <v>1</v>
      </c>
      <c r="N68" s="5" t="n">
        <v>0</v>
      </c>
      <c r="O68" s="5" t="n">
        <v>4</v>
      </c>
      <c r="P68" s="5" t="n">
        <v>2</v>
      </c>
      <c r="Q68" s="5" t="n">
        <v>0</v>
      </c>
      <c r="R68" s="5" t="n">
        <v>8</v>
      </c>
      <c r="S68" s="5" t="n">
        <v>7</v>
      </c>
      <c r="T68" s="5" t="n">
        <v>4</v>
      </c>
      <c r="U68" s="5" t="n">
        <v>1</v>
      </c>
      <c r="V68" s="5" t="n">
        <v>0</v>
      </c>
      <c r="W68" s="5">
        <f>SUM(C68:Q68)-R68</f>
        <v/>
      </c>
    </row>
    <row r="69">
      <c r="A69" s="5" t="n">
        <v>276</v>
      </c>
      <c r="B69" s="6" t="inlineStr">
        <is>
          <t>Manakondur PS 276</t>
        </is>
      </c>
      <c r="C69" s="5" t="n">
        <v>0</v>
      </c>
      <c r="D69" s="5" t="n">
        <v>311</v>
      </c>
      <c r="E69" s="5" t="n">
        <v>0</v>
      </c>
      <c r="F69" s="5" t="n">
        <v>10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1</v>
      </c>
      <c r="M69" s="5" t="n">
        <v>4</v>
      </c>
      <c r="N69" s="5" t="n">
        <v>0</v>
      </c>
      <c r="O69" s="5" t="n">
        <v>1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1</v>
      </c>
      <c r="U69" s="5" t="n">
        <v>1</v>
      </c>
      <c r="V69" s="5" t="n">
        <v>0</v>
      </c>
      <c r="W69" s="5">
        <f>SUM(C69:Q69)-R69</f>
        <v/>
      </c>
    </row>
    <row r="70">
      <c r="A70" s="5" t="n">
        <v>277</v>
      </c>
      <c r="B70" s="6" t="inlineStr">
        <is>
          <t>Manakondur PS 277</t>
        </is>
      </c>
      <c r="C70" s="5" t="n">
        <v>0</v>
      </c>
      <c r="D70" s="5" t="n">
        <v>250</v>
      </c>
      <c r="E70" s="5" t="n">
        <v>204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1</v>
      </c>
      <c r="M70" s="5" t="n">
        <v>3</v>
      </c>
      <c r="N70" s="5" t="n">
        <v>1</v>
      </c>
      <c r="O70" s="5" t="n">
        <v>1</v>
      </c>
      <c r="P70" s="5" t="n">
        <v>0</v>
      </c>
      <c r="Q70" s="5" t="n">
        <v>0</v>
      </c>
      <c r="R70" s="5" t="n">
        <v>1</v>
      </c>
      <c r="S70" s="5" t="n">
        <v>3</v>
      </c>
      <c r="T70" s="5" t="n">
        <v>3</v>
      </c>
      <c r="U70" s="5" t="n">
        <v>3</v>
      </c>
      <c r="V70" s="5" t="n">
        <v>0</v>
      </c>
      <c r="W70" s="5">
        <f>SUM(C70:Q70)-R70</f>
        <v/>
      </c>
    </row>
    <row r="71">
      <c r="A71" s="5" t="n">
        <v>278</v>
      </c>
      <c r="B71" s="6" t="inlineStr">
        <is>
          <t>Manakondur PS 278</t>
        </is>
      </c>
      <c r="C71" s="5" t="n">
        <v>0</v>
      </c>
      <c r="D71" s="5" t="n">
        <v>547</v>
      </c>
      <c r="E71" s="5" t="n">
        <v>249</v>
      </c>
      <c r="F71" s="5" t="n">
        <v>10</v>
      </c>
      <c r="G71" s="5" t="n">
        <v>0</v>
      </c>
      <c r="H71" s="5" t="n">
        <v>0</v>
      </c>
      <c r="I71" s="5" t="n">
        <v>0</v>
      </c>
      <c r="J71" s="5" t="n">
        <v>1</v>
      </c>
      <c r="K71" s="5" t="n">
        <v>2</v>
      </c>
      <c r="L71" s="5" t="n">
        <v>6</v>
      </c>
      <c r="M71" s="5" t="n">
        <v>14</v>
      </c>
      <c r="N71" s="5" t="n">
        <v>0</v>
      </c>
      <c r="O71" s="5" t="n">
        <v>10</v>
      </c>
      <c r="P71" s="5" t="n">
        <v>4</v>
      </c>
      <c r="Q71" s="5" t="n">
        <v>3</v>
      </c>
      <c r="R71" s="5" t="n">
        <v>7</v>
      </c>
      <c r="S71" s="5" t="n">
        <v>15</v>
      </c>
      <c r="T71" s="5" t="n">
        <v>5</v>
      </c>
      <c r="U71" s="5" t="n">
        <v>1</v>
      </c>
      <c r="V71" s="5" t="n">
        <v>0</v>
      </c>
      <c r="W71" s="5">
        <f>SUM(C71:Q71)-R71</f>
        <v/>
      </c>
    </row>
    <row r="72">
      <c r="A72" s="5" t="n">
        <v>279</v>
      </c>
      <c r="B72" s="6" t="inlineStr">
        <is>
          <t>Manakondur PS 279</t>
        </is>
      </c>
      <c r="C72" s="5" t="n">
        <v>0</v>
      </c>
      <c r="D72" s="5" t="n">
        <v>367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1</v>
      </c>
      <c r="L72" s="5" t="n">
        <v>3</v>
      </c>
      <c r="M72" s="5" t="n">
        <v>8</v>
      </c>
      <c r="N72" s="5" t="n">
        <v>0</v>
      </c>
      <c r="O72" s="5" t="n">
        <v>0</v>
      </c>
      <c r="P72" s="5" t="n">
        <v>1</v>
      </c>
      <c r="Q72" s="5" t="n">
        <v>0</v>
      </c>
      <c r="R72" s="5" t="n">
        <v>3</v>
      </c>
      <c r="S72" s="5" t="n">
        <v>8</v>
      </c>
      <c r="T72" s="5" t="n">
        <v>0</v>
      </c>
      <c r="U72" s="5" t="n">
        <v>0</v>
      </c>
      <c r="V72" s="5" t="n">
        <v>0</v>
      </c>
      <c r="W72" s="5">
        <f>SUM(C72:Q72)-R72</f>
        <v/>
      </c>
    </row>
    <row r="73">
      <c r="A73" s="5" t="n">
        <v>280</v>
      </c>
      <c r="B73" s="6" t="inlineStr">
        <is>
          <t>Manakondur PS 280</t>
        </is>
      </c>
      <c r="C73" s="5" t="n">
        <v>0</v>
      </c>
      <c r="D73" s="5" t="n">
        <v>341</v>
      </c>
      <c r="E73" s="5" t="n">
        <v>120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4</v>
      </c>
      <c r="S73" s="5" t="n">
        <v>3</v>
      </c>
      <c r="T73" s="5" t="n">
        <v>2</v>
      </c>
      <c r="U73" s="5" t="n">
        <v>1</v>
      </c>
      <c r="V73" s="5" t="n">
        <v>0</v>
      </c>
      <c r="W73" s="5">
        <f>SUM(C73:Q73)-R73</f>
        <v/>
      </c>
    </row>
    <row r="74">
      <c r="A74" s="5" t="n">
        <v>281</v>
      </c>
      <c r="B74" s="6" t="inlineStr">
        <is>
          <t>Manakondur PS 281</t>
        </is>
      </c>
      <c r="C74" s="5" t="n">
        <v>0</v>
      </c>
      <c r="D74" s="5" t="n">
        <v>270</v>
      </c>
      <c r="E74" s="5" t="n">
        <v>244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2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9</v>
      </c>
      <c r="S74" s="5" t="n">
        <v>6</v>
      </c>
      <c r="T74" s="5" t="n">
        <v>0</v>
      </c>
      <c r="U74" s="5" t="n">
        <v>3</v>
      </c>
      <c r="V74" s="5" t="n">
        <v>1</v>
      </c>
      <c r="W74" s="5">
        <f>SUM(C74:Q74)-R74</f>
        <v/>
      </c>
    </row>
    <row r="75">
      <c r="A75" s="5" t="n">
        <v>282</v>
      </c>
      <c r="B75" s="6" t="inlineStr">
        <is>
          <t>Manakondur PS 282</t>
        </is>
      </c>
      <c r="C75" s="5" t="n">
        <v>0</v>
      </c>
      <c r="D75" s="5" t="n">
        <v>431</v>
      </c>
      <c r="E75" s="5" t="n">
        <v>210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7</v>
      </c>
      <c r="N75" s="5" t="n">
        <v>0</v>
      </c>
      <c r="O75" s="5" t="n">
        <v>3</v>
      </c>
      <c r="P75" s="5" t="n">
        <v>1</v>
      </c>
      <c r="Q75" s="5" t="n">
        <v>0</v>
      </c>
      <c r="R75" s="5" t="n">
        <v>3</v>
      </c>
      <c r="S75" s="5" t="n">
        <v>9</v>
      </c>
      <c r="T75" s="5" t="n">
        <v>0</v>
      </c>
      <c r="U75" s="5" t="n">
        <v>3</v>
      </c>
      <c r="V75" s="5" t="n">
        <v>0</v>
      </c>
      <c r="W75" s="5">
        <f>SUM(C75:Q75)-R75</f>
        <v/>
      </c>
    </row>
    <row r="76">
      <c r="A76" s="5" t="n">
        <v>284</v>
      </c>
      <c r="B76" s="6" t="inlineStr">
        <is>
          <t>Manakondur PS 284</t>
        </is>
      </c>
      <c r="C76" s="5" t="n">
        <v>0</v>
      </c>
      <c r="D76" s="5" t="n">
        <v>542</v>
      </c>
      <c r="E76" s="5" t="n">
        <v>200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0</v>
      </c>
      <c r="M76" s="5" t="n">
        <v>4</v>
      </c>
      <c r="N76" s="5" t="n">
        <v>1</v>
      </c>
      <c r="O76" s="5" t="n">
        <v>1</v>
      </c>
      <c r="P76" s="5" t="n">
        <v>0</v>
      </c>
      <c r="Q76" s="5" t="n">
        <v>2</v>
      </c>
      <c r="R76" s="5" t="n">
        <v>6</v>
      </c>
      <c r="S76" s="5" t="n">
        <v>0</v>
      </c>
      <c r="T76" s="5" t="n">
        <v>1</v>
      </c>
      <c r="U76" s="5" t="n">
        <v>0</v>
      </c>
      <c r="V76" s="5" t="n">
        <v>2</v>
      </c>
      <c r="W76" s="5">
        <f>SUM(C76:Q76)-R76</f>
        <v/>
      </c>
    </row>
    <row r="77">
      <c r="A77" s="5" t="n">
        <v>285</v>
      </c>
      <c r="B77" s="6" t="inlineStr">
        <is>
          <t>Manakondur PS 285</t>
        </is>
      </c>
      <c r="C77" s="5" t="n">
        <v>0</v>
      </c>
      <c r="D77" s="5" t="n">
        <v>2</v>
      </c>
      <c r="E77" s="5" t="n">
        <v>0</v>
      </c>
      <c r="F77" s="5" t="n">
        <v>14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4</v>
      </c>
      <c r="M77" s="5" t="n">
        <v>1</v>
      </c>
      <c r="N77" s="5" t="n">
        <v>3</v>
      </c>
      <c r="O77" s="5" t="n">
        <v>5</v>
      </c>
      <c r="P77" s="5" t="n">
        <v>4</v>
      </c>
      <c r="Q77" s="5" t="n">
        <v>1</v>
      </c>
      <c r="R77" s="5" t="n">
        <v>2</v>
      </c>
      <c r="S77" s="5" t="n">
        <v>13</v>
      </c>
      <c r="T77" s="5" t="n">
        <v>4</v>
      </c>
      <c r="U77" s="5" t="n">
        <v>2</v>
      </c>
      <c r="V77" s="5" t="n">
        <v>0</v>
      </c>
      <c r="W77" s="5">
        <f>SUM(C77:Q77)-R77</f>
        <v/>
      </c>
    </row>
    <row r="78">
      <c r="A78" s="5" t="n">
        <v>286</v>
      </c>
      <c r="B78" s="6" t="inlineStr">
        <is>
          <t>Manakondur PS 286</t>
        </is>
      </c>
      <c r="C78" s="5" t="n">
        <v>0</v>
      </c>
      <c r="D78" s="5" t="n">
        <v>0</v>
      </c>
      <c r="E78" s="5" t="n">
        <v>178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2</v>
      </c>
      <c r="M78" s="5" t="n">
        <v>4</v>
      </c>
      <c r="N78" s="5" t="n">
        <v>1</v>
      </c>
      <c r="O78" s="5" t="n">
        <v>0</v>
      </c>
      <c r="P78" s="5" t="n">
        <v>2</v>
      </c>
      <c r="Q78" s="5" t="n">
        <v>1</v>
      </c>
      <c r="R78" s="5" t="n">
        <v>0</v>
      </c>
      <c r="S78" s="5" t="n">
        <v>2</v>
      </c>
      <c r="T78" s="5" t="n">
        <v>0</v>
      </c>
      <c r="U78" s="5" t="n">
        <v>3</v>
      </c>
      <c r="V78" s="5" t="n">
        <v>0</v>
      </c>
      <c r="W78" s="5">
        <f>SUM(C78:Q78)-R78</f>
        <v/>
      </c>
    </row>
    <row r="79">
      <c r="A79" s="5" t="n">
        <v>287</v>
      </c>
      <c r="B79" s="6" t="inlineStr">
        <is>
          <t>Manakondur PS 287</t>
        </is>
      </c>
      <c r="C79" s="5" t="n">
        <v>0</v>
      </c>
      <c r="D79" s="5" t="n">
        <v>223</v>
      </c>
      <c r="E79" s="5" t="n">
        <v>331</v>
      </c>
      <c r="F79" s="5" t="n">
        <v>3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13</v>
      </c>
      <c r="N79" s="5" t="n">
        <v>1</v>
      </c>
      <c r="O79" s="5" t="n">
        <v>3</v>
      </c>
      <c r="P79" s="5" t="n">
        <v>1</v>
      </c>
      <c r="Q79" s="5" t="n">
        <v>0</v>
      </c>
      <c r="R79" s="5" t="n">
        <v>5</v>
      </c>
      <c r="S79" s="5" t="n">
        <v>4</v>
      </c>
      <c r="T79" s="5" t="n">
        <v>2</v>
      </c>
      <c r="U79" s="5" t="n">
        <v>0</v>
      </c>
      <c r="V79" s="5" t="n">
        <v>0</v>
      </c>
      <c r="W79" s="5">
        <f>SUM(C79:Q79)-R79</f>
        <v/>
      </c>
    </row>
    <row r="80">
      <c r="A80" s="5" t="n">
        <v>288</v>
      </c>
      <c r="B80" s="6" t="inlineStr">
        <is>
          <t>Manakondur PS 288</t>
        </is>
      </c>
      <c r="C80" s="5" t="n">
        <v>0</v>
      </c>
      <c r="D80" s="5" t="n">
        <v>0</v>
      </c>
      <c r="E80" s="5" t="n">
        <v>0</v>
      </c>
      <c r="F80" s="5" t="n">
        <v>14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1</v>
      </c>
      <c r="L80" s="5" t="n">
        <v>0</v>
      </c>
      <c r="M80" s="5" t="n">
        <v>12</v>
      </c>
      <c r="N80" s="5" t="n">
        <v>0</v>
      </c>
      <c r="O80" s="5" t="n">
        <v>4</v>
      </c>
      <c r="P80" s="5" t="n">
        <v>1</v>
      </c>
      <c r="Q80" s="5" t="n">
        <v>0</v>
      </c>
      <c r="R80" s="5" t="n">
        <v>0</v>
      </c>
      <c r="S80" s="5" t="n">
        <v>6</v>
      </c>
      <c r="T80" s="5" t="n">
        <v>4</v>
      </c>
      <c r="U80" s="5" t="n">
        <v>6</v>
      </c>
      <c r="V80" s="5" t="n">
        <v>1</v>
      </c>
      <c r="W80" s="5">
        <f>SUM(C80:Q80)-R80</f>
        <v/>
      </c>
    </row>
    <row r="81">
      <c r="A81" s="5" t="n">
        <v>289</v>
      </c>
      <c r="B81" s="6" t="inlineStr">
        <is>
          <t>Manakondur PS 289</t>
        </is>
      </c>
      <c r="C81" s="5" t="n">
        <v>0</v>
      </c>
      <c r="D81" s="5" t="n">
        <v>0</v>
      </c>
      <c r="E81" s="5" t="n">
        <v>278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6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4</v>
      </c>
      <c r="U81" s="5" t="n">
        <v>1</v>
      </c>
      <c r="V81" s="5" t="n">
        <v>1</v>
      </c>
      <c r="W81" s="5">
        <f>SUM(C81:Q81)-R81</f>
        <v/>
      </c>
    </row>
    <row r="82">
      <c r="A82" s="5" t="n">
        <v>290</v>
      </c>
      <c r="B82" s="6" t="inlineStr">
        <is>
          <t>Manakondur PS 290</t>
        </is>
      </c>
      <c r="C82" s="5" t="n">
        <v>1</v>
      </c>
      <c r="D82" s="5" t="n">
        <v>0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1</v>
      </c>
      <c r="J82" s="5" t="n">
        <v>2</v>
      </c>
      <c r="K82" s="5" t="n">
        <v>836</v>
      </c>
      <c r="L82" s="5" t="n">
        <v>0</v>
      </c>
      <c r="M82" s="5" t="n">
        <v>5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>
        <f>SUM(C82:Q82)-R82</f>
        <v/>
      </c>
    </row>
    <row r="83">
      <c r="A83" s="5" t="n">
        <v>291</v>
      </c>
      <c r="B83" s="6" t="inlineStr">
        <is>
          <t>Manakondur PS 291</t>
        </is>
      </c>
      <c r="C83" s="5" t="n">
        <v>2</v>
      </c>
      <c r="D83" s="5" t="n">
        <v>0</v>
      </c>
      <c r="E83" s="5" t="n">
        <v>1</v>
      </c>
      <c r="F83" s="5" t="n">
        <v>1</v>
      </c>
      <c r="G83" s="5" t="n">
        <v>2</v>
      </c>
      <c r="H83" s="5" t="n">
        <v>1</v>
      </c>
      <c r="I83" s="5" t="n">
        <v>4</v>
      </c>
      <c r="J83" s="5" t="n">
        <v>4</v>
      </c>
      <c r="K83" s="5" t="n">
        <v>797</v>
      </c>
      <c r="L83" s="5" t="n">
        <v>0</v>
      </c>
      <c r="M83" s="5" t="n">
        <v>9</v>
      </c>
      <c r="N83" s="5" t="n">
        <v>806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>
        <f>SUM(C83:Q83)-R83</f>
        <v/>
      </c>
    </row>
    <row r="84">
      <c r="A84" s="5" t="n">
        <v>292</v>
      </c>
      <c r="B84" s="6" t="inlineStr">
        <is>
          <t>Manakondur PS 292</t>
        </is>
      </c>
      <c r="C84" s="5" t="n">
        <v>0</v>
      </c>
      <c r="D84" s="5" t="n">
        <v>0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3</v>
      </c>
      <c r="J84" s="5" t="n">
        <v>4</v>
      </c>
      <c r="K84" s="5" t="n">
        <v>647</v>
      </c>
      <c r="L84" s="5" t="n">
        <v>0</v>
      </c>
      <c r="M84" s="5" t="n">
        <v>4</v>
      </c>
      <c r="N84" s="5" t="n">
        <v>651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>
        <f>SUM(C84:Q84)-R84</f>
        <v/>
      </c>
    </row>
    <row r="85">
      <c r="A85" s="5" t="n">
        <v>293</v>
      </c>
      <c r="B85" s="6" t="inlineStr">
        <is>
          <t>Manakondur PS 293</t>
        </is>
      </c>
      <c r="C85" s="5" t="n">
        <v>253</v>
      </c>
      <c r="D85" s="5" t="n">
        <v>473</v>
      </c>
      <c r="E85" s="5" t="n">
        <v>230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10</v>
      </c>
      <c r="Q85" s="5" t="n">
        <v>1</v>
      </c>
      <c r="R85" s="5" t="n">
        <v>3</v>
      </c>
      <c r="S85" s="5" t="n">
        <v>15</v>
      </c>
      <c r="T85" s="5" t="n">
        <v>5</v>
      </c>
      <c r="U85" s="5" t="n">
        <v>3</v>
      </c>
      <c r="V85" s="5" t="n">
        <v>1</v>
      </c>
      <c r="W85" s="5">
        <f>SUM(C85:Q85)-R85</f>
        <v/>
      </c>
    </row>
    <row r="86">
      <c r="A86" s="5" t="n">
        <v>294</v>
      </c>
      <c r="B86" s="6" t="inlineStr">
        <is>
          <t>Manakondur PS 294</t>
        </is>
      </c>
      <c r="C86" s="5" t="n">
        <v>0</v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4</v>
      </c>
      <c r="J86" s="5" t="n">
        <v>1</v>
      </c>
      <c r="K86" s="5" t="n">
        <v>850</v>
      </c>
      <c r="L86" s="5" t="n">
        <v>0</v>
      </c>
      <c r="M86" s="5" t="n">
        <v>7</v>
      </c>
      <c r="N86" s="5" t="n">
        <v>857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>
        <f>SUM(C86:Q86)-R86</f>
        <v/>
      </c>
    </row>
    <row r="87">
      <c r="A87" s="5" t="n">
        <v>297</v>
      </c>
      <c r="B87" s="6" t="inlineStr">
        <is>
          <t>Manakondur PS 297</t>
        </is>
      </c>
      <c r="C87" s="5" t="n">
        <v>297</v>
      </c>
      <c r="D87" s="5" t="n">
        <v>306</v>
      </c>
      <c r="E87" s="5" t="n">
        <v>305</v>
      </c>
      <c r="F87" s="5" t="n">
        <v>16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1</v>
      </c>
      <c r="M87" s="5" t="n">
        <v>0</v>
      </c>
      <c r="N87" s="5" t="n">
        <v>0</v>
      </c>
      <c r="O87" s="5" t="n">
        <v>3</v>
      </c>
      <c r="P87" s="5" t="n">
        <v>1</v>
      </c>
      <c r="Q87" s="5" t="n">
        <v>0</v>
      </c>
      <c r="R87" s="5" t="n">
        <v>2</v>
      </c>
      <c r="S87" s="5" t="n">
        <v>6</v>
      </c>
      <c r="T87" s="5" t="n">
        <v>3</v>
      </c>
      <c r="U87" s="5" t="n">
        <v>4</v>
      </c>
      <c r="V87" s="5" t="n">
        <v>0</v>
      </c>
      <c r="W87" s="5">
        <f>SUM(C87:Q87)-R87</f>
        <v/>
      </c>
    </row>
    <row r="88">
      <c r="A88" s="5" t="n">
        <v>379</v>
      </c>
      <c r="B88" s="6" t="inlineStr">
        <is>
          <t>Manakondur PS 379</t>
        </is>
      </c>
      <c r="C88" s="5" t="n">
        <v>379</v>
      </c>
      <c r="D88" s="5" t="n">
        <v>0</v>
      </c>
      <c r="E88" s="5" t="n">
        <v>285</v>
      </c>
      <c r="F88" s="5" t="n">
        <v>18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2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2</v>
      </c>
      <c r="W88" s="5">
        <f>SUM(C88:Q88)-R88</f>
        <v/>
      </c>
    </row>
    <row r="89">
      <c r="A89" s="5" t="n">
        <v>380</v>
      </c>
      <c r="B89" s="6" t="inlineStr">
        <is>
          <t>Manakondur PS 380</t>
        </is>
      </c>
      <c r="C89" s="5" t="n">
        <v>324</v>
      </c>
      <c r="D89" s="5" t="n">
        <v>0</v>
      </c>
      <c r="E89" s="5" t="n">
        <v>282</v>
      </c>
      <c r="F89" s="5" t="n">
        <v>2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4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>
        <f>SUM(C89:Q89)-R89</f>
        <v/>
      </c>
    </row>
    <row r="90">
      <c r="A90" s="5" t="n">
        <v>381</v>
      </c>
      <c r="B90" s="6" t="inlineStr">
        <is>
          <t>Manakondur PS 381</t>
        </is>
      </c>
      <c r="C90" s="5" t="n">
        <v>396</v>
      </c>
      <c r="D90" s="5" t="n">
        <v>0</v>
      </c>
      <c r="E90" s="5" t="n">
        <v>7</v>
      </c>
      <c r="F90" s="5" t="n">
        <v>4</v>
      </c>
      <c r="G90" s="5" t="n">
        <v>0</v>
      </c>
      <c r="H90" s="5" t="n">
        <v>4</v>
      </c>
      <c r="I90" s="5" t="n">
        <v>4</v>
      </c>
      <c r="J90" s="5" t="n">
        <v>0</v>
      </c>
      <c r="K90" s="5" t="n">
        <v>4</v>
      </c>
      <c r="L90" s="5" t="n">
        <v>0</v>
      </c>
      <c r="M90" s="5" t="n">
        <v>5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1</v>
      </c>
      <c r="S90" s="5" t="n">
        <v>0</v>
      </c>
      <c r="T90" s="5" t="n">
        <v>1</v>
      </c>
      <c r="U90" s="5" t="n">
        <v>0</v>
      </c>
      <c r="V90" s="5" t="n">
        <v>0</v>
      </c>
      <c r="W90" s="5">
        <f>SUM(C90:Q90)-R90</f>
        <v/>
      </c>
    </row>
    <row r="91">
      <c r="A91" s="5" t="n">
        <v>382</v>
      </c>
      <c r="B91" s="6" t="inlineStr">
        <is>
          <t>Manakondur PS 382</t>
        </is>
      </c>
      <c r="C91" s="5" t="n">
        <v>225</v>
      </c>
      <c r="D91" s="5" t="n">
        <v>0</v>
      </c>
      <c r="E91" s="5" t="n">
        <v>123</v>
      </c>
      <c r="F91" s="5" t="n">
        <v>4</v>
      </c>
      <c r="G91" s="5" t="n">
        <v>0</v>
      </c>
      <c r="H91" s="5" t="n">
        <v>4</v>
      </c>
      <c r="I91" s="5" t="n">
        <v>0</v>
      </c>
      <c r="J91" s="5" t="n">
        <v>0</v>
      </c>
      <c r="K91" s="5" t="n">
        <v>1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>
        <f>SUM(C91:Q91)-R91</f>
        <v/>
      </c>
    </row>
    <row r="92">
      <c r="A92" s="5" t="n">
        <v>383</v>
      </c>
      <c r="B92" s="6" t="inlineStr">
        <is>
          <t>Manakondur PS 383</t>
        </is>
      </c>
      <c r="C92" s="5" t="n">
        <v>510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2</v>
      </c>
      <c r="V92" s="5" t="n">
        <v>0</v>
      </c>
      <c r="W92" s="5">
        <f>SUM(C92:Q92)-R92</f>
        <v/>
      </c>
    </row>
    <row r="93">
      <c r="A93" s="5" t="n">
        <v>470</v>
      </c>
      <c r="B93" s="6" t="inlineStr">
        <is>
          <t>Manakondur PS 470</t>
        </is>
      </c>
      <c r="C93" s="5" t="n">
        <v>470</v>
      </c>
      <c r="D93" s="5" t="n">
        <v>0</v>
      </c>
      <c r="E93" s="5" t="n">
        <v>361</v>
      </c>
      <c r="F93" s="5" t="n">
        <v>9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3</v>
      </c>
      <c r="M93" s="5" t="n">
        <v>12</v>
      </c>
      <c r="N93" s="5" t="n">
        <v>2</v>
      </c>
      <c r="O93" s="5" t="n">
        <v>5</v>
      </c>
      <c r="P93" s="5" t="n">
        <v>3</v>
      </c>
      <c r="Q93" s="5" t="n">
        <v>0</v>
      </c>
      <c r="R93" s="5" t="n">
        <v>3</v>
      </c>
      <c r="S93" s="5" t="n">
        <v>14</v>
      </c>
      <c r="T93" s="5" t="n">
        <v>5</v>
      </c>
      <c r="U93" s="5" t="n">
        <v>1</v>
      </c>
      <c r="V93" s="5" t="n">
        <v>0</v>
      </c>
      <c r="W93" s="5">
        <f>SUM(C93:Q93)-R93</f>
        <v/>
      </c>
    </row>
    <row r="94">
      <c r="A94" s="5" t="n">
        <v>471</v>
      </c>
      <c r="B94" s="6" t="inlineStr">
        <is>
          <t>Manakondur PS 471</t>
        </is>
      </c>
      <c r="C94" s="5" t="n">
        <v>311</v>
      </c>
      <c r="D94" s="5" t="n">
        <v>0</v>
      </c>
      <c r="E94" s="5" t="n">
        <v>182</v>
      </c>
      <c r="F94" s="5" t="n">
        <v>0</v>
      </c>
      <c r="G94" s="5" t="n">
        <v>2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2</v>
      </c>
      <c r="M94" s="5" t="n">
        <v>2</v>
      </c>
      <c r="N94" s="5" t="n">
        <v>0</v>
      </c>
      <c r="O94" s="5" t="n">
        <v>1</v>
      </c>
      <c r="P94" s="5" t="n">
        <v>0</v>
      </c>
      <c r="Q94" s="5" t="n">
        <v>0</v>
      </c>
      <c r="R94" s="5" t="n">
        <v>2</v>
      </c>
      <c r="S94" s="5" t="n">
        <v>0</v>
      </c>
      <c r="T94" s="5" t="n">
        <v>0</v>
      </c>
      <c r="U94" s="5" t="n">
        <v>3</v>
      </c>
      <c r="V94" s="5" t="n">
        <v>0</v>
      </c>
      <c r="W94" s="5">
        <f>SUM(C94:Q94)-R94</f>
        <v/>
      </c>
    </row>
    <row r="95">
      <c r="A95" s="5" t="n">
        <v>472</v>
      </c>
      <c r="B95" s="6" t="inlineStr">
        <is>
          <t>Manakondur PS 472</t>
        </is>
      </c>
      <c r="C95" s="5" t="n">
        <v>271</v>
      </c>
      <c r="D95" s="5" t="n">
        <v>0</v>
      </c>
      <c r="E95" s="5" t="n">
        <v>226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3</v>
      </c>
      <c r="M95" s="5" t="n">
        <v>5</v>
      </c>
      <c r="N95" s="5" t="n">
        <v>1</v>
      </c>
      <c r="O95" s="5" t="n">
        <v>1</v>
      </c>
      <c r="P95" s="5" t="n">
        <v>2</v>
      </c>
      <c r="Q95" s="5" t="n">
        <v>2</v>
      </c>
      <c r="R95" s="5" t="n">
        <v>4</v>
      </c>
      <c r="S95" s="5" t="n">
        <v>2</v>
      </c>
      <c r="T95" s="5" t="n">
        <v>1</v>
      </c>
      <c r="U95" s="5" t="n">
        <v>2</v>
      </c>
      <c r="V95" s="5" t="n">
        <v>0</v>
      </c>
      <c r="W95" s="5">
        <f>SUM(C95:Q95)-R95</f>
        <v/>
      </c>
    </row>
    <row r="96">
      <c r="A96" s="5" t="n">
        <v>473</v>
      </c>
      <c r="B96" s="6" t="inlineStr">
        <is>
          <t>Manakondur PS 473</t>
        </is>
      </c>
      <c r="C96" s="5" t="n">
        <v>234</v>
      </c>
      <c r="D96" s="5" t="n">
        <v>0</v>
      </c>
      <c r="E96" s="5" t="n">
        <v>177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4</v>
      </c>
      <c r="M96" s="5" t="n">
        <v>6</v>
      </c>
      <c r="N96" s="5" t="n">
        <v>3</v>
      </c>
      <c r="O96" s="5" t="n">
        <v>4</v>
      </c>
      <c r="P96" s="5" t="n">
        <v>1</v>
      </c>
      <c r="Q96" s="5" t="n">
        <v>0</v>
      </c>
      <c r="R96" s="5" t="n">
        <v>3</v>
      </c>
      <c r="S96" s="5" t="n">
        <v>8</v>
      </c>
      <c r="T96" s="5" t="n">
        <v>3</v>
      </c>
      <c r="U96" s="5" t="n">
        <v>1</v>
      </c>
      <c r="V96" s="5" t="n">
        <v>0</v>
      </c>
      <c r="W96" s="5">
        <f>SUM(C96:Q96)-R96</f>
        <v/>
      </c>
    </row>
    <row r="97">
      <c r="A97" s="5" t="n">
        <v>474</v>
      </c>
      <c r="B97" s="6" t="inlineStr">
        <is>
          <t>Manakondur PS 474</t>
        </is>
      </c>
      <c r="C97" s="5" t="n">
        <v>274</v>
      </c>
      <c r="D97" s="5" t="n">
        <v>0</v>
      </c>
      <c r="E97" s="5" t="n">
        <v>451</v>
      </c>
      <c r="F97" s="5" t="n">
        <v>4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18</v>
      </c>
      <c r="N97" s="5" t="n">
        <v>1</v>
      </c>
      <c r="O97" s="5" t="n">
        <v>3</v>
      </c>
      <c r="P97" s="5" t="n">
        <v>1</v>
      </c>
      <c r="Q97" s="5" t="n">
        <v>0</v>
      </c>
      <c r="R97" s="5" t="n">
        <v>7</v>
      </c>
      <c r="S97" s="5" t="n">
        <v>10</v>
      </c>
      <c r="T97" s="5" t="n">
        <v>2</v>
      </c>
      <c r="U97" s="5" t="n">
        <v>0</v>
      </c>
      <c r="V97" s="5" t="n">
        <v>0</v>
      </c>
      <c r="W97" s="5">
        <f>SUM(C97:Q97)-R97</f>
        <v/>
      </c>
    </row>
    <row r="98">
      <c r="A98" s="5" t="n">
        <v>93</v>
      </c>
      <c r="B98" s="6" t="inlineStr">
        <is>
          <t>Molangoor</t>
        </is>
      </c>
      <c r="C98" s="5" t="n">
        <v>0</v>
      </c>
      <c r="D98" s="5" t="n">
        <v>0</v>
      </c>
      <c r="E98" s="5" t="n">
        <v>0</v>
      </c>
      <c r="F98" s="5" t="n">
        <v>2</v>
      </c>
      <c r="G98" s="5" t="n">
        <v>0</v>
      </c>
      <c r="H98" s="5" t="n">
        <v>0</v>
      </c>
      <c r="I98" s="5" t="n">
        <v>4</v>
      </c>
      <c r="J98" s="5" t="n">
        <v>0</v>
      </c>
      <c r="K98" s="5" t="n">
        <v>0</v>
      </c>
      <c r="L98" s="5" t="n">
        <v>2</v>
      </c>
      <c r="M98" s="5" t="n">
        <v>4</v>
      </c>
      <c r="N98" s="5" t="n">
        <v>1009</v>
      </c>
      <c r="O98" s="5" t="n">
        <v>0</v>
      </c>
      <c r="P98" s="5" t="n">
        <v>2</v>
      </c>
      <c r="Q98" s="5" t="n">
        <v>10114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>
        <f>SUM(C98:Q98)-R98</f>
        <v/>
      </c>
    </row>
    <row r="99">
      <c r="A99" s="5" t="n">
        <v>94</v>
      </c>
      <c r="B99" s="6" t="inlineStr">
        <is>
          <t>Chinthallapalli H/o Molangoor</t>
        </is>
      </c>
      <c r="C99" s="5" t="n">
        <v>2552</v>
      </c>
      <c r="D99" s="5" t="n">
        <v>0</v>
      </c>
      <c r="E99" s="5" t="n">
        <v>1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1</v>
      </c>
      <c r="N99" s="5" t="n">
        <v>0</v>
      </c>
      <c r="O99" s="5" t="n">
        <v>0</v>
      </c>
      <c r="P99" s="5" t="n">
        <v>1</v>
      </c>
      <c r="Q99" s="5" t="n">
        <v>0</v>
      </c>
      <c r="R99" s="5" t="n">
        <v>0</v>
      </c>
      <c r="S99" s="5" t="n">
        <v>1</v>
      </c>
      <c r="T99" s="5" t="n">
        <v>0</v>
      </c>
      <c r="U99" s="5" t="n">
        <v>0</v>
      </c>
      <c r="V99" s="5" t="n">
        <v>0</v>
      </c>
      <c r="W99" s="5">
        <f>SUM(C99:Q99)-R99</f>
        <v/>
      </c>
    </row>
    <row r="100">
      <c r="A100" s="5" t="n">
        <v>95</v>
      </c>
      <c r="B100" s="6" t="inlineStr">
        <is>
          <t>Kannapur</t>
        </is>
      </c>
      <c r="C100" s="5" t="n">
        <v>0</v>
      </c>
      <c r="D100" s="5" t="n">
        <v>336</v>
      </c>
      <c r="E100" s="5" t="n">
        <v>165</v>
      </c>
      <c r="F100" s="5" t="n">
        <v>0</v>
      </c>
      <c r="G100" s="5" t="n">
        <v>0</v>
      </c>
      <c r="H100" s="5" t="n">
        <v>2</v>
      </c>
      <c r="I100" s="5" t="n">
        <v>1</v>
      </c>
      <c r="J100" s="5" t="n">
        <v>0</v>
      </c>
      <c r="K100" s="5" t="n">
        <v>0</v>
      </c>
      <c r="L100" s="5" t="n">
        <v>2</v>
      </c>
      <c r="M100" s="5" t="n">
        <v>4</v>
      </c>
      <c r="N100" s="5" t="n">
        <v>0</v>
      </c>
      <c r="O100" s="5" t="n">
        <v>2</v>
      </c>
      <c r="P100" s="5" t="n">
        <v>0</v>
      </c>
      <c r="Q100" s="5" t="n">
        <v>1</v>
      </c>
      <c r="R100" s="5" t="n">
        <v>0</v>
      </c>
      <c r="S100" s="5" t="n">
        <v>3</v>
      </c>
      <c r="T100" s="5" t="n">
        <v>6</v>
      </c>
      <c r="U100" s="5" t="n">
        <v>3</v>
      </c>
      <c r="V100" s="5" t="n">
        <v>1</v>
      </c>
      <c r="W100" s="5">
        <f>SUM(C100:Q100)-R100</f>
        <v/>
      </c>
    </row>
    <row r="101">
      <c r="A101" s="5" t="n">
        <v>96</v>
      </c>
      <c r="B101" s="6" t="inlineStr">
        <is>
          <t>Kannapur</t>
        </is>
      </c>
      <c r="C101" s="5" t="n">
        <v>389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384</v>
      </c>
      <c r="J101" s="5" t="n">
        <v>0</v>
      </c>
      <c r="K101" s="5" t="n">
        <v>0</v>
      </c>
      <c r="L101" s="5" t="n">
        <v>1</v>
      </c>
      <c r="M101" s="5" t="n">
        <v>9</v>
      </c>
      <c r="N101" s="5" t="n">
        <v>0</v>
      </c>
      <c r="O101" s="5" t="n">
        <v>4</v>
      </c>
      <c r="P101" s="5" t="n">
        <v>1</v>
      </c>
      <c r="Q101" s="5" t="n">
        <v>0</v>
      </c>
      <c r="R101" s="5" t="n">
        <v>2</v>
      </c>
      <c r="S101" s="5" t="n">
        <v>0</v>
      </c>
      <c r="T101" s="5" t="n">
        <v>5</v>
      </c>
      <c r="U101" s="5" t="n">
        <v>2</v>
      </c>
      <c r="V101" s="5" t="n">
        <v>0</v>
      </c>
      <c r="W101" s="5">
        <f>SUM(C101:Q101)-R101</f>
        <v/>
      </c>
    </row>
    <row r="102">
      <c r="A102" s="5" t="n">
        <v>97</v>
      </c>
      <c r="B102" s="6" t="inlineStr">
        <is>
          <t>Dharmaram (PM)</t>
        </is>
      </c>
      <c r="C102" s="5" t="n">
        <v>240</v>
      </c>
      <c r="D102" s="5" t="n">
        <v>4</v>
      </c>
      <c r="E102" s="5" t="n">
        <v>0</v>
      </c>
      <c r="F102" s="5" t="n">
        <v>10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7</v>
      </c>
      <c r="N102" s="5" t="n">
        <v>0</v>
      </c>
      <c r="O102" s="5" t="n">
        <v>3</v>
      </c>
      <c r="P102" s="5" t="n">
        <v>0</v>
      </c>
      <c r="Q102" s="5" t="n">
        <v>0</v>
      </c>
      <c r="R102" s="5" t="n">
        <v>0</v>
      </c>
      <c r="S102" s="5" t="n">
        <v>3</v>
      </c>
      <c r="T102" s="5" t="n">
        <v>3</v>
      </c>
      <c r="U102" s="5" t="n">
        <v>4</v>
      </c>
      <c r="V102" s="5" t="n">
        <v>0</v>
      </c>
      <c r="W102" s="5">
        <f>SUM(C102:Q102)-R102</f>
        <v/>
      </c>
    </row>
    <row r="103">
      <c r="A103" s="5" t="n">
        <v>98</v>
      </c>
      <c r="B103" s="6" t="inlineStr">
        <is>
          <t>Arkandla</t>
        </is>
      </c>
      <c r="C103" s="5" t="n">
        <v>220</v>
      </c>
      <c r="D103" s="5" t="n">
        <v>4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4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3</v>
      </c>
      <c r="S103" s="5" t="n">
        <v>0</v>
      </c>
      <c r="T103" s="5" t="n">
        <v>1</v>
      </c>
      <c r="U103" s="5" t="n">
        <v>2</v>
      </c>
      <c r="V103" s="5" t="n">
        <v>1</v>
      </c>
      <c r="W103" s="5">
        <f>SUM(C103:Q103)-R103</f>
        <v/>
      </c>
    </row>
    <row r="104">
      <c r="A104" s="5" t="n">
        <v>99</v>
      </c>
      <c r="B104" s="6" t="inlineStr">
        <is>
          <t>Rajapur</t>
        </is>
      </c>
      <c r="C104" s="5" t="n">
        <v>126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1</v>
      </c>
      <c r="M104" s="5" t="n">
        <v>0</v>
      </c>
      <c r="N104" s="5" t="n">
        <v>0</v>
      </c>
      <c r="O104" s="5" t="n">
        <v>1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1</v>
      </c>
      <c r="U104" s="5" t="n">
        <v>0</v>
      </c>
      <c r="V104" s="5" t="n">
        <v>0</v>
      </c>
      <c r="W104" s="5">
        <f>SUM(C104:Q104)-R104</f>
        <v/>
      </c>
    </row>
    <row r="105">
      <c r="A105" s="5" t="n">
        <v>100</v>
      </c>
      <c r="B105" s="6" t="inlineStr">
        <is>
          <t>Rajapur</t>
        </is>
      </c>
      <c r="C105" s="5" t="n">
        <v>292</v>
      </c>
      <c r="D105" s="5" t="n">
        <v>0</v>
      </c>
      <c r="E105" s="5" t="n">
        <v>0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1</v>
      </c>
      <c r="O105" s="5" t="n">
        <v>4</v>
      </c>
      <c r="P105" s="5" t="n">
        <v>0</v>
      </c>
      <c r="Q105" s="5" t="n">
        <v>1</v>
      </c>
      <c r="R105" s="5" t="n">
        <v>6</v>
      </c>
      <c r="S105" s="5" t="n">
        <v>6</v>
      </c>
      <c r="T105" s="5" t="n">
        <v>4</v>
      </c>
      <c r="U105" s="5" t="n">
        <v>4</v>
      </c>
      <c r="V105" s="5" t="n">
        <v>0</v>
      </c>
      <c r="W105" s="5">
        <f>SUM(C105:Q105)-R105</f>
        <v/>
      </c>
    </row>
    <row r="106">
      <c r="A106" s="5" t="n">
        <v>101</v>
      </c>
      <c r="B106" s="6" t="inlineStr">
        <is>
          <t>Gaddapaka</t>
        </is>
      </c>
      <c r="C106" s="5" t="n">
        <v>424</v>
      </c>
      <c r="D106" s="5" t="n">
        <v>0</v>
      </c>
      <c r="E106" s="5" t="n">
        <v>0</v>
      </c>
      <c r="F106" s="5" t="n">
        <v>15</v>
      </c>
      <c r="G106" s="5" t="n">
        <v>0</v>
      </c>
      <c r="H106" s="5" t="n">
        <v>0</v>
      </c>
      <c r="I106" s="5" t="n">
        <v>3</v>
      </c>
      <c r="J106" s="5" t="n">
        <v>0</v>
      </c>
      <c r="K106" s="5" t="n">
        <v>0</v>
      </c>
      <c r="L106" s="5" t="n">
        <v>1</v>
      </c>
      <c r="M106" s="5" t="n">
        <v>15</v>
      </c>
      <c r="N106" s="5" t="n">
        <v>0</v>
      </c>
      <c r="O106" s="5" t="n">
        <v>0</v>
      </c>
      <c r="P106" s="5" t="n">
        <v>0</v>
      </c>
      <c r="Q106" s="5" t="n">
        <v>3</v>
      </c>
      <c r="R106" s="5" t="n">
        <v>6</v>
      </c>
      <c r="S106" s="5" t="n">
        <v>9</v>
      </c>
      <c r="T106" s="5" t="n">
        <v>2</v>
      </c>
      <c r="U106" s="5" t="n">
        <v>1</v>
      </c>
      <c r="V106" s="5" t="n">
        <v>1</v>
      </c>
      <c r="W106" s="5">
        <f>SUM(C106:Q106)-R106</f>
        <v/>
      </c>
    </row>
    <row r="107">
      <c r="A107" s="5" t="n">
        <v>102</v>
      </c>
      <c r="B107" s="6" t="inlineStr">
        <is>
          <t>Gaddapaka</t>
        </is>
      </c>
      <c r="C107" s="5" t="n">
        <v>3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27</v>
      </c>
      <c r="N107" s="5" t="n">
        <v>1</v>
      </c>
      <c r="O107" s="5" t="n">
        <v>3</v>
      </c>
      <c r="P107" s="5" t="n">
        <v>1</v>
      </c>
      <c r="Q107" s="5" t="n">
        <v>2</v>
      </c>
      <c r="R107" s="5" t="n">
        <v>3</v>
      </c>
      <c r="S107" s="5" t="n">
        <v>7</v>
      </c>
      <c r="T107" s="5" t="n">
        <v>4</v>
      </c>
      <c r="U107" s="5" t="n">
        <v>1</v>
      </c>
      <c r="V107" s="5" t="n">
        <v>0</v>
      </c>
      <c r="W107" s="5">
        <f>SUM(C107:Q107)-R107</f>
        <v/>
      </c>
    </row>
    <row r="108">
      <c r="A108" s="5" t="n">
        <v>103</v>
      </c>
      <c r="B108" s="6" t="inlineStr">
        <is>
          <t>Kalvala</t>
        </is>
      </c>
      <c r="C108" s="5" t="n">
        <v>312</v>
      </c>
      <c r="D108" s="5" t="n">
        <v>0</v>
      </c>
      <c r="E108" s="5" t="n">
        <v>175</v>
      </c>
      <c r="F108" s="5" t="n">
        <v>0</v>
      </c>
      <c r="G108" s="5" t="n">
        <v>0</v>
      </c>
      <c r="H108" s="5" t="n">
        <v>2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2</v>
      </c>
      <c r="P108" s="5" t="n">
        <v>2</v>
      </c>
      <c r="Q108" s="5" t="n">
        <v>0</v>
      </c>
      <c r="R108" s="5" t="n">
        <v>5</v>
      </c>
      <c r="S108" s="5" t="n">
        <v>8</v>
      </c>
      <c r="T108" s="5" t="n">
        <v>3</v>
      </c>
      <c r="U108" s="5" t="n">
        <v>0</v>
      </c>
      <c r="V108" s="5" t="n">
        <v>2</v>
      </c>
      <c r="W108" s="5">
        <f>SUM(C108:Q108)-R108</f>
        <v/>
      </c>
    </row>
    <row r="109">
      <c r="A109" s="5" t="n">
        <v>104</v>
      </c>
      <c r="B109" s="6" t="inlineStr">
        <is>
          <t>Kachapur</t>
        </is>
      </c>
      <c r="C109" s="5" t="n">
        <v>347</v>
      </c>
      <c r="D109" s="5" t="n">
        <v>0</v>
      </c>
      <c r="E109" s="5" t="n">
        <v>377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5</v>
      </c>
      <c r="N109" s="5" t="n">
        <v>0</v>
      </c>
      <c r="O109" s="5" t="n">
        <v>2</v>
      </c>
      <c r="P109" s="5" t="n">
        <v>2</v>
      </c>
      <c r="Q109" s="5" t="n">
        <v>0</v>
      </c>
      <c r="R109" s="5" t="n">
        <v>2</v>
      </c>
      <c r="S109" s="5" t="n">
        <v>1</v>
      </c>
      <c r="T109" s="5" t="n">
        <v>3</v>
      </c>
      <c r="U109" s="5" t="n">
        <v>3</v>
      </c>
      <c r="V109" s="5" t="n">
        <v>0</v>
      </c>
      <c r="W109" s="5">
        <f>SUM(C109:Q109)-R109</f>
        <v/>
      </c>
    </row>
    <row r="110">
      <c r="A110" s="5" t="n">
        <v>105</v>
      </c>
      <c r="B110" s="6" t="inlineStr">
        <is>
          <t>Kachapur</t>
        </is>
      </c>
      <c r="C110" s="5" t="n">
        <v>332</v>
      </c>
      <c r="D110" s="5" t="n">
        <v>0</v>
      </c>
      <c r="E110" s="5" t="n">
        <v>283</v>
      </c>
      <c r="F110" s="5" t="n">
        <v>2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2</v>
      </c>
      <c r="M110" s="5" t="n">
        <v>3</v>
      </c>
      <c r="N110" s="5" t="n">
        <v>1</v>
      </c>
      <c r="O110" s="5" t="n">
        <v>3</v>
      </c>
      <c r="P110" s="5" t="n">
        <v>0</v>
      </c>
      <c r="Q110" s="5" t="n">
        <v>0</v>
      </c>
      <c r="R110" s="5" t="n">
        <v>0</v>
      </c>
      <c r="S110" s="5" t="n">
        <v>9</v>
      </c>
      <c r="T110" s="5" t="n">
        <v>2</v>
      </c>
      <c r="U110" s="5" t="n">
        <v>2</v>
      </c>
      <c r="V110" s="5" t="n">
        <v>0</v>
      </c>
      <c r="W110" s="5">
        <f>SUM(C110:Q110)-R110</f>
        <v/>
      </c>
    </row>
    <row r="111">
      <c r="A111" s="5" t="n">
        <v>106</v>
      </c>
      <c r="B111" s="6" t="inlineStr">
        <is>
          <t>Alugunur</t>
        </is>
      </c>
      <c r="C111" s="5" t="n">
        <v>352</v>
      </c>
      <c r="D111" s="5" t="n">
        <v>0</v>
      </c>
      <c r="E111" s="5" t="n">
        <v>353</v>
      </c>
      <c r="F111" s="5" t="n">
        <v>10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9</v>
      </c>
      <c r="N111" s="5" t="n">
        <v>0</v>
      </c>
      <c r="O111" s="5" t="n">
        <v>2</v>
      </c>
      <c r="P111" s="5" t="n">
        <v>0</v>
      </c>
      <c r="Q111" s="5" t="n">
        <v>0</v>
      </c>
      <c r="R111" s="5" t="n">
        <v>2</v>
      </c>
      <c r="S111" s="5" t="n">
        <v>10</v>
      </c>
      <c r="T111" s="5" t="n">
        <v>5</v>
      </c>
      <c r="U111" s="5" t="n">
        <v>0</v>
      </c>
      <c r="V111" s="5" t="n">
        <v>0</v>
      </c>
      <c r="W111" s="5">
        <f>SUM(C111:Q111)-R111</f>
        <v/>
      </c>
    </row>
    <row r="112">
      <c r="A112" s="5" t="n">
        <v>107</v>
      </c>
      <c r="B112" s="6" t="inlineStr">
        <is>
          <t>Kakathiya Colony H/o.Alugunur</t>
        </is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613</v>
      </c>
      <c r="O112" s="5" t="n">
        <v>0</v>
      </c>
      <c r="P112" s="5" t="n">
        <v>8</v>
      </c>
      <c r="Q112" s="5" t="n">
        <v>621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>
        <f>SUM(C112:Q112)-R112</f>
        <v/>
      </c>
    </row>
    <row r="113">
      <c r="A113" s="5" t="n">
        <v>108</v>
      </c>
      <c r="B113" s="6" t="inlineStr">
        <is>
          <t>Alugunur</t>
        </is>
      </c>
      <c r="C113" s="5" t="n">
        <v>0</v>
      </c>
      <c r="D113" s="5" t="n">
        <v>10</v>
      </c>
      <c r="E113" s="5" t="n">
        <v>0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436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>
        <f>SUM(C113:Q113)-R113</f>
        <v/>
      </c>
    </row>
    <row r="114">
      <c r="A114" s="5" t="n">
        <v>109</v>
      </c>
      <c r="B114" s="6" t="inlineStr">
        <is>
          <t>Alugunur</t>
        </is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3</v>
      </c>
      <c r="I114" s="5" t="n">
        <v>0</v>
      </c>
      <c r="J114" s="5" t="n">
        <v>5</v>
      </c>
      <c r="K114" s="5" t="n">
        <v>0</v>
      </c>
      <c r="L114" s="5" t="n">
        <v>1</v>
      </c>
      <c r="M114" s="5" t="n">
        <v>2</v>
      </c>
      <c r="N114" s="5" t="n">
        <v>622</v>
      </c>
      <c r="O114" s="5" t="n">
        <v>0</v>
      </c>
      <c r="P114" s="5" t="n">
        <v>1</v>
      </c>
      <c r="Q114" s="5" t="n">
        <v>623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>
        <f>SUM(C114:Q114)-R114</f>
        <v/>
      </c>
    </row>
    <row r="115">
      <c r="A115" s="5" t="n">
        <v>110</v>
      </c>
      <c r="B115" s="6" t="inlineStr">
        <is>
          <t>Thimmapur</t>
        </is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1</v>
      </c>
      <c r="L115" s="5" t="n">
        <v>0</v>
      </c>
      <c r="M115" s="5" t="n">
        <v>0</v>
      </c>
      <c r="N115" s="5" t="n">
        <v>531</v>
      </c>
      <c r="O115" s="5" t="n">
        <v>0</v>
      </c>
      <c r="P115" s="5" t="n">
        <v>1</v>
      </c>
      <c r="Q115" s="5" t="n">
        <v>532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>
        <f>SUM(C115:Q115)-R115</f>
        <v/>
      </c>
    </row>
    <row r="116">
      <c r="A116" s="5" t="n">
        <v>111</v>
      </c>
      <c r="B116" s="6" t="inlineStr">
        <is>
          <t>Thimmapur</t>
        </is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2</v>
      </c>
      <c r="M116" s="5" t="n">
        <v>0</v>
      </c>
      <c r="N116" s="5" t="n">
        <v>563</v>
      </c>
      <c r="O116" s="5" t="n">
        <v>0</v>
      </c>
      <c r="P116" s="5" t="n">
        <v>8</v>
      </c>
      <c r="Q116" s="5" t="n">
        <v>571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>
        <f>SUM(C116:Q116)-R116</f>
        <v/>
      </c>
    </row>
    <row r="117">
      <c r="A117" s="5" t="n">
        <v>112</v>
      </c>
      <c r="B117" s="6" t="inlineStr">
        <is>
          <t>Jogaiahpalli H/o.Thimmapur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2</v>
      </c>
      <c r="M117" s="5" t="n">
        <v>2</v>
      </c>
      <c r="N117" s="5" t="n">
        <v>755</v>
      </c>
      <c r="O117" s="5" t="n">
        <v>0</v>
      </c>
      <c r="P117" s="5" t="n">
        <v>3</v>
      </c>
      <c r="Q117" s="5" t="n">
        <v>758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>
        <f>SUM(C117:Q117)-R117</f>
        <v/>
      </c>
    </row>
    <row r="118">
      <c r="A118" s="5" t="n">
        <v>113</v>
      </c>
      <c r="B118" s="6" t="inlineStr">
        <is>
          <t>Mahatmanagar
H/o.Thimmapur</t>
        </is>
      </c>
      <c r="C118" s="5" t="n">
        <v>0</v>
      </c>
      <c r="D118" s="5" t="n">
        <v>0</v>
      </c>
      <c r="E118" s="5" t="n">
        <v>3</v>
      </c>
      <c r="F118" s="5" t="n">
        <v>0</v>
      </c>
      <c r="G118" s="5" t="n">
        <v>0</v>
      </c>
      <c r="H118" s="5" t="n">
        <v>2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2</v>
      </c>
      <c r="N118" s="5" t="n">
        <v>482</v>
      </c>
      <c r="O118" s="5" t="n">
        <v>0</v>
      </c>
      <c r="P118" s="5" t="n">
        <v>1</v>
      </c>
      <c r="Q118" s="5" t="n">
        <v>483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>
        <f>SUM(C118:Q118)-R118</f>
        <v/>
      </c>
    </row>
    <row r="119">
      <c r="A119" s="5" t="n">
        <v>114</v>
      </c>
      <c r="B119" s="6" t="inlineStr">
        <is>
          <t>L.M.D.Colony</t>
        </is>
      </c>
      <c r="C119" s="5" t="n">
        <v>0</v>
      </c>
      <c r="D119" s="5" t="n">
        <v>3</v>
      </c>
      <c r="E119" s="5" t="n">
        <v>0</v>
      </c>
      <c r="F119" s="5" t="n">
        <v>0</v>
      </c>
      <c r="G119" s="5" t="n">
        <v>3</v>
      </c>
      <c r="H119" s="5" t="n">
        <v>0</v>
      </c>
      <c r="I119" s="5" t="n">
        <v>0</v>
      </c>
      <c r="J119" s="5" t="n">
        <v>2</v>
      </c>
      <c r="K119" s="5" t="n">
        <v>0</v>
      </c>
      <c r="L119" s="5" t="n">
        <v>0</v>
      </c>
      <c r="M119" s="5" t="n">
        <v>0</v>
      </c>
      <c r="N119" s="5" t="n">
        <v>8</v>
      </c>
      <c r="O119" s="5" t="n">
        <v>0</v>
      </c>
      <c r="P119" s="5" t="n">
        <v>4</v>
      </c>
      <c r="Q119" s="5" t="n">
        <v>512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>
        <f>SUM(C119:Q119)-R119</f>
        <v/>
      </c>
    </row>
    <row r="120">
      <c r="A120" s="5" t="n">
        <v>115</v>
      </c>
      <c r="B120" s="6" t="inlineStr">
        <is>
          <t>L.M.D.Colony</t>
        </is>
      </c>
      <c r="C120" s="5" t="n">
        <v>0</v>
      </c>
      <c r="D120" s="5" t="n">
        <v>0</v>
      </c>
      <c r="E120" s="5" t="n">
        <v>2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1</v>
      </c>
      <c r="M120" s="5" t="n">
        <v>1</v>
      </c>
      <c r="N120" s="5" t="n">
        <v>828</v>
      </c>
      <c r="O120" s="5" t="n">
        <v>0</v>
      </c>
      <c r="P120" s="5" t="n">
        <v>0</v>
      </c>
      <c r="Q120" s="5" t="n">
        <v>828</v>
      </c>
      <c r="R120" s="5" t="n">
        <v>0</v>
      </c>
      <c r="S120" s="5" t="n">
        <v>22</v>
      </c>
      <c r="T120" s="5" t="n">
        <v>0</v>
      </c>
      <c r="U120" s="5" t="n">
        <v>0</v>
      </c>
      <c r="V120" s="5" t="n">
        <v>0</v>
      </c>
      <c r="W120" s="5">
        <f>SUM(C120:Q120)-R120</f>
        <v/>
      </c>
    </row>
    <row r="121">
      <c r="A121" s="5" t="n">
        <v>116</v>
      </c>
      <c r="B121" s="6" t="inlineStr">
        <is>
          <t>Porandla</t>
        </is>
      </c>
      <c r="C121" s="5" t="n">
        <v>2</v>
      </c>
      <c r="D121" s="5" t="n">
        <v>0</v>
      </c>
      <c r="E121" s="5" t="n">
        <v>2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1</v>
      </c>
      <c r="M121" s="5" t="n">
        <v>2</v>
      </c>
      <c r="N121" s="5" t="n">
        <v>629</v>
      </c>
      <c r="O121" s="5" t="n">
        <v>0</v>
      </c>
      <c r="P121" s="5" t="n">
        <v>1</v>
      </c>
      <c r="Q121" s="5" t="n">
        <v>630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>
        <f>SUM(C121:Q121)-R121</f>
        <v/>
      </c>
    </row>
    <row r="122">
      <c r="A122" s="5" t="n">
        <v>117</v>
      </c>
      <c r="B122" s="6" t="inlineStr">
        <is>
          <t>Porandla</t>
        </is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24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4</v>
      </c>
      <c r="M122" s="5" t="n">
        <v>0</v>
      </c>
      <c r="N122" s="5" t="n">
        <v>453</v>
      </c>
      <c r="O122" s="5" t="n">
        <v>0</v>
      </c>
      <c r="P122" s="5" t="n">
        <v>5</v>
      </c>
      <c r="Q122" s="5" t="n">
        <v>458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>
        <f>SUM(C122:Q122)-R122</f>
        <v/>
      </c>
    </row>
    <row r="123">
      <c r="A123" s="5" t="n">
        <v>118</v>
      </c>
      <c r="B123" s="6" t="inlineStr">
        <is>
          <t>Mannempalli</t>
        </is>
      </c>
      <c r="C123" s="5" t="n">
        <v>0</v>
      </c>
      <c r="D123" s="5" t="n">
        <v>0</v>
      </c>
      <c r="E123" s="5" t="n">
        <v>1</v>
      </c>
      <c r="F123" s="5" t="n">
        <v>2</v>
      </c>
      <c r="G123" s="5" t="n">
        <v>0</v>
      </c>
      <c r="H123" s="5" t="n">
        <v>0</v>
      </c>
      <c r="I123" s="5" t="n">
        <v>3</v>
      </c>
      <c r="J123" s="5" t="n">
        <v>3</v>
      </c>
      <c r="K123" s="5" t="n">
        <v>989</v>
      </c>
      <c r="L123" s="5" t="n">
        <v>0</v>
      </c>
      <c r="M123" s="5" t="n">
        <v>1</v>
      </c>
      <c r="N123" s="5" t="n">
        <v>990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>
        <f>SUM(C123:Q123)-R123</f>
        <v/>
      </c>
    </row>
    <row r="124">
      <c r="A124" s="5" t="n">
        <v>119</v>
      </c>
      <c r="B124" s="6" t="inlineStr">
        <is>
          <t>Mannempalli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1</v>
      </c>
      <c r="I124" s="5" t="n">
        <v>1</v>
      </c>
      <c r="J124" s="5" t="n">
        <v>1</v>
      </c>
      <c r="K124" s="5" t="n">
        <v>1</v>
      </c>
      <c r="L124" s="5" t="n">
        <v>1</v>
      </c>
      <c r="M124" s="5" t="n">
        <v>0</v>
      </c>
      <c r="N124" s="5" t="n">
        <v>409</v>
      </c>
      <c r="O124" s="5" t="n">
        <v>0</v>
      </c>
      <c r="P124" s="5" t="n">
        <v>3</v>
      </c>
      <c r="Q124" s="5" t="n">
        <v>412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>
        <f>SUM(C124:Q124)-R124</f>
        <v/>
      </c>
    </row>
    <row r="125">
      <c r="A125" s="5" t="n">
        <v>120</v>
      </c>
      <c r="B125" s="6" t="inlineStr">
        <is>
          <t>Indiranagar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5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1</v>
      </c>
      <c r="M125" s="5" t="n">
        <v>4</v>
      </c>
      <c r="N125" s="5" t="n">
        <v>948</v>
      </c>
      <c r="O125" s="5" t="n">
        <v>0</v>
      </c>
      <c r="P125" s="5" t="n">
        <v>5</v>
      </c>
      <c r="Q125" s="5" t="n">
        <v>953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>
        <f>SUM(C125:Q125)-R125</f>
        <v/>
      </c>
    </row>
    <row r="126">
      <c r="A126" s="5" t="n">
        <v>121</v>
      </c>
      <c r="B126" s="6" t="inlineStr">
        <is>
          <t>Nusthulapur</t>
        </is>
      </c>
      <c r="C126" s="5" t="n">
        <v>0</v>
      </c>
      <c r="D126" s="5" t="n">
        <v>0</v>
      </c>
      <c r="E126" s="5" t="n">
        <v>0</v>
      </c>
      <c r="F126" s="5" t="n">
        <v>2</v>
      </c>
      <c r="G126" s="5" t="n">
        <v>2</v>
      </c>
      <c r="H126" s="5" t="n">
        <v>1</v>
      </c>
      <c r="I126" s="5" t="n">
        <v>0</v>
      </c>
      <c r="J126" s="5" t="n">
        <v>0</v>
      </c>
      <c r="K126" s="5" t="n">
        <v>2</v>
      </c>
      <c r="L126" s="5" t="n">
        <v>0</v>
      </c>
      <c r="M126" s="5" t="n">
        <v>4</v>
      </c>
      <c r="N126" s="5" t="n">
        <v>975</v>
      </c>
      <c r="O126" s="5" t="n">
        <v>0</v>
      </c>
      <c r="P126" s="5" t="n">
        <v>6</v>
      </c>
      <c r="Q126" s="5" t="n">
        <v>981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>
        <f>SUM(C126:Q126)-R126</f>
        <v/>
      </c>
    </row>
    <row r="127">
      <c r="A127" s="5" t="n">
        <v>122</v>
      </c>
      <c r="B127" s="6" t="inlineStr">
        <is>
          <t>Nusthulapur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2</v>
      </c>
      <c r="H127" s="5" t="n">
        <v>0</v>
      </c>
      <c r="I127" s="5" t="n">
        <v>1</v>
      </c>
      <c r="J127" s="5" t="n">
        <v>0</v>
      </c>
      <c r="K127" s="5" t="n">
        <v>0</v>
      </c>
      <c r="L127" s="5" t="n">
        <v>2</v>
      </c>
      <c r="M127" s="5" t="n">
        <v>1</v>
      </c>
      <c r="N127" s="5" t="n">
        <v>642</v>
      </c>
      <c r="O127" s="5" t="n">
        <v>0</v>
      </c>
      <c r="P127" s="5" t="n">
        <v>4</v>
      </c>
      <c r="Q127" s="5" t="n">
        <v>646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>
        <f>SUM(C127:Q127)-R127</f>
        <v/>
      </c>
    </row>
    <row r="128">
      <c r="A128" s="5" t="n">
        <v>123</v>
      </c>
      <c r="B128" s="6" t="inlineStr">
        <is>
          <t>Ramakrishna Colony</t>
        </is>
      </c>
      <c r="C128" s="5" t="n">
        <v>2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4</v>
      </c>
      <c r="L128" s="5" t="n">
        <v>4</v>
      </c>
      <c r="M128" s="5" t="n">
        <v>0</v>
      </c>
      <c r="N128" s="5" t="n">
        <v>510</v>
      </c>
      <c r="O128" s="5" t="n">
        <v>0</v>
      </c>
      <c r="P128" s="5" t="n">
        <v>3</v>
      </c>
      <c r="Q128" s="5" t="n">
        <v>513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>
        <f>SUM(C128:Q128)-R128</f>
        <v/>
      </c>
    </row>
    <row r="129">
      <c r="A129" s="5" t="n">
        <v>124</v>
      </c>
      <c r="B129" s="6" t="inlineStr">
        <is>
          <t>Ramakrishna Colony</t>
        </is>
      </c>
      <c r="C129" s="5" t="n">
        <v>2</v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4</v>
      </c>
      <c r="M129" s="5" t="n">
        <v>0</v>
      </c>
      <c r="N129" s="5" t="n">
        <v>837</v>
      </c>
      <c r="O129" s="5" t="n">
        <v>0</v>
      </c>
      <c r="P129" s="5" t="n">
        <v>0</v>
      </c>
      <c r="Q129" s="5" t="n">
        <v>837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>
        <f>SUM(C129:Q129)-R129</f>
        <v/>
      </c>
    </row>
    <row r="130">
      <c r="A130" s="5" t="n">
        <v>125</v>
      </c>
      <c r="B130" s="6" t="inlineStr">
        <is>
          <t>Gundla Cheruvupalli
H/o.Nusthulapur</t>
        </is>
      </c>
      <c r="C130" s="5" t="n">
        <v>5</v>
      </c>
      <c r="D130" s="5" t="n">
        <v>0</v>
      </c>
      <c r="E130" s="5" t="n">
        <v>0</v>
      </c>
      <c r="F130" s="5" t="n">
        <v>1</v>
      </c>
      <c r="G130" s="5" t="n">
        <v>4</v>
      </c>
      <c r="H130" s="5" t="n">
        <v>0</v>
      </c>
      <c r="I130" s="5" t="n">
        <v>3</v>
      </c>
      <c r="J130" s="5" t="n">
        <v>6</v>
      </c>
      <c r="K130" s="5" t="n">
        <v>828</v>
      </c>
      <c r="L130" s="5" t="n">
        <v>0</v>
      </c>
      <c r="M130" s="5" t="n">
        <v>10</v>
      </c>
      <c r="N130" s="5" t="n">
        <v>838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>
        <f>SUM(C130:Q130)-R130</f>
        <v/>
      </c>
    </row>
    <row r="131">
      <c r="A131" s="5" t="n">
        <v>126</v>
      </c>
      <c r="B131" s="6" t="inlineStr">
        <is>
          <t>Vachunoor</t>
        </is>
      </c>
      <c r="C131" s="5" t="n">
        <v>0</v>
      </c>
      <c r="D131" s="5" t="n">
        <v>0</v>
      </c>
      <c r="E131" s="5" t="n">
        <v>0</v>
      </c>
      <c r="F131" s="5" t="n">
        <v>2</v>
      </c>
      <c r="G131" s="5" t="n">
        <v>0</v>
      </c>
      <c r="H131" s="5" t="n">
        <v>0</v>
      </c>
      <c r="I131" s="5" t="n">
        <v>1</v>
      </c>
      <c r="J131" s="5" t="n">
        <v>0</v>
      </c>
      <c r="K131" s="5" t="n">
        <v>359</v>
      </c>
      <c r="L131" s="5" t="n">
        <v>0</v>
      </c>
      <c r="M131" s="5" t="n">
        <v>2</v>
      </c>
      <c r="N131" s="5" t="n">
        <v>361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>
        <f>SUM(C131:Q131)-R131</f>
        <v/>
      </c>
    </row>
    <row r="132">
      <c r="A132" s="5" t="n">
        <v>127</v>
      </c>
      <c r="B132" s="6" t="inlineStr">
        <is>
          <t>Ramhanuman nagar
H/o.Vachunoor</t>
        </is>
      </c>
      <c r="C132" s="5" t="n">
        <v>0</v>
      </c>
      <c r="D132" s="5" t="n">
        <v>0</v>
      </c>
      <c r="E132" s="5" t="n">
        <v>0</v>
      </c>
      <c r="F132" s="5" t="n">
        <v>1</v>
      </c>
      <c r="G132" s="5" t="n">
        <v>0</v>
      </c>
      <c r="H132" s="5" t="n">
        <v>0</v>
      </c>
      <c r="I132" s="5" t="n">
        <v>4</v>
      </c>
      <c r="J132" s="5" t="n">
        <v>0</v>
      </c>
      <c r="K132" s="5" t="n">
        <v>713</v>
      </c>
      <c r="L132" s="5" t="n">
        <v>0</v>
      </c>
      <c r="M132" s="5" t="n">
        <v>3</v>
      </c>
      <c r="N132" s="5" t="n">
        <v>716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>
        <f>SUM(C132:Q132)-R132</f>
        <v/>
      </c>
    </row>
    <row r="133">
      <c r="A133" s="5" t="n">
        <v>128</v>
      </c>
      <c r="B133" s="6" t="inlineStr">
        <is>
          <t>Jugundla H/o Vachunur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426</v>
      </c>
      <c r="L133" s="5" t="n">
        <v>0</v>
      </c>
      <c r="M133" s="5" t="n">
        <v>0</v>
      </c>
      <c r="N133" s="5" t="n">
        <v>426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>
        <f>SUM(C133:Q133)-R133</f>
        <v/>
      </c>
    </row>
    <row r="134">
      <c r="A134" s="5" t="n">
        <v>129</v>
      </c>
      <c r="B134" s="6" t="inlineStr">
        <is>
          <t>Nedunoor</t>
        </is>
      </c>
      <c r="C134" s="5" t="n">
        <v>1</v>
      </c>
      <c r="D134" s="5" t="n">
        <v>0</v>
      </c>
      <c r="E134" s="5" t="n">
        <v>0</v>
      </c>
      <c r="F134" s="5" t="n">
        <v>4</v>
      </c>
      <c r="G134" s="5" t="n">
        <v>0</v>
      </c>
      <c r="H134" s="5" t="n">
        <v>0</v>
      </c>
      <c r="I134" s="5" t="n">
        <v>4</v>
      </c>
      <c r="J134" s="5" t="n">
        <v>4</v>
      </c>
      <c r="K134" s="5" t="n">
        <v>962</v>
      </c>
      <c r="L134" s="5" t="n">
        <v>0</v>
      </c>
      <c r="M134" s="5" t="n">
        <v>0</v>
      </c>
      <c r="N134" s="5" t="n">
        <v>967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>
        <f>SUM(C134:Q134)-R134</f>
        <v/>
      </c>
    </row>
    <row r="135">
      <c r="A135" s="5" t="n">
        <v>130</v>
      </c>
      <c r="B135" s="6" t="inlineStr">
        <is>
          <t>Gollapalli H/o.Nedunoor</t>
        </is>
      </c>
      <c r="C135" s="5" t="n">
        <v>0</v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9</v>
      </c>
      <c r="L135" s="5" t="n">
        <v>3</v>
      </c>
      <c r="M135" s="5" t="n">
        <v>7</v>
      </c>
      <c r="N135" s="5" t="n">
        <v>560</v>
      </c>
      <c r="O135" s="5" t="n">
        <v>0</v>
      </c>
      <c r="P135" s="5" t="n">
        <v>4</v>
      </c>
      <c r="Q135" s="5" t="n">
        <v>6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>
        <f>SUM(C135:Q135)-R135</f>
        <v/>
      </c>
    </row>
    <row r="136">
      <c r="A136" s="5" t="n">
        <v>131</v>
      </c>
      <c r="B136" s="6" t="inlineStr">
        <is>
          <t>Renikunta</t>
        </is>
      </c>
      <c r="C136" s="5" t="n">
        <v>2</v>
      </c>
      <c r="D136" s="5" t="n">
        <v>0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746</v>
      </c>
      <c r="O136" s="5" t="n">
        <v>0</v>
      </c>
      <c r="P136" s="5" t="n">
        <v>1</v>
      </c>
      <c r="Q136" s="5" t="n">
        <v>747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>
        <f>SUM(C136:Q136)-R136</f>
        <v/>
      </c>
    </row>
    <row r="137">
      <c r="A137" s="5" t="n">
        <v>132</v>
      </c>
      <c r="B137" s="6" t="inlineStr">
        <is>
          <t>Renikunta</t>
        </is>
      </c>
      <c r="C137" s="5" t="n">
        <v>0</v>
      </c>
      <c r="D137" s="5" t="n">
        <v>0</v>
      </c>
      <c r="E137" s="5" t="n">
        <v>2</v>
      </c>
      <c r="F137" s="5" t="n">
        <v>285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755</v>
      </c>
      <c r="O137" s="5" t="n">
        <v>0</v>
      </c>
      <c r="P137" s="5" t="n">
        <v>2</v>
      </c>
      <c r="Q137" s="5" t="n">
        <v>787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>
        <f>SUM(C137:Q137)-R137</f>
        <v/>
      </c>
    </row>
    <row r="138">
      <c r="A138" s="5" t="n">
        <v>133</v>
      </c>
      <c r="B138" s="6" t="inlineStr">
        <is>
          <t>Kothapalli (PN)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543</v>
      </c>
      <c r="O138" s="5" t="n">
        <v>0</v>
      </c>
      <c r="P138" s="5" t="n">
        <v>0</v>
      </c>
      <c r="Q138" s="5" t="n">
        <v>543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>
        <f>SUM(C138:Q138)-R138</f>
        <v/>
      </c>
    </row>
    <row r="139">
      <c r="A139" s="5" t="n">
        <v>134</v>
      </c>
      <c r="B139" s="6" t="inlineStr">
        <is>
          <t>Kothapalli (PN)</t>
        </is>
      </c>
      <c r="C139" s="5" t="n">
        <v>22</v>
      </c>
      <c r="D139" s="5" t="n">
        <v>0</v>
      </c>
      <c r="E139" s="5" t="n">
        <v>0</v>
      </c>
      <c r="F139" s="5" t="n">
        <v>4</v>
      </c>
      <c r="G139" s="5" t="n">
        <v>0</v>
      </c>
      <c r="H139" s="5" t="n">
        <v>0</v>
      </c>
      <c r="I139" s="5" t="n">
        <v>39</v>
      </c>
      <c r="J139" s="5" t="n">
        <v>9</v>
      </c>
      <c r="K139" s="5" t="n">
        <v>2</v>
      </c>
      <c r="L139" s="5" t="n">
        <v>2</v>
      </c>
      <c r="M139" s="5" t="n">
        <v>4</v>
      </c>
      <c r="N139" s="5" t="n">
        <v>637</v>
      </c>
      <c r="O139" s="5" t="n">
        <v>0</v>
      </c>
      <c r="P139" s="5" t="n">
        <v>2</v>
      </c>
      <c r="Q139" s="5" t="n">
        <v>639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>
        <f>SUM(C139:Q139)-R139</f>
        <v/>
      </c>
    </row>
    <row r="140">
      <c r="A140" s="5" t="n">
        <v>135</v>
      </c>
      <c r="B140" s="6" t="inlineStr">
        <is>
          <t>Nallagonda</t>
        </is>
      </c>
      <c r="C140" s="5" t="n">
        <v>4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650</v>
      </c>
      <c r="O140" s="5" t="n">
        <v>0</v>
      </c>
      <c r="P140" s="5" t="n">
        <v>1</v>
      </c>
      <c r="Q140" s="5" t="n">
        <v>651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>
        <f>SUM(C140:Q140)-R140</f>
        <v/>
      </c>
    </row>
    <row r="141">
      <c r="A141" s="5" t="n">
        <v>136</v>
      </c>
      <c r="B141" s="6" t="inlineStr">
        <is>
          <t>Makthapalli H/o.Nallagonda</t>
        </is>
      </c>
      <c r="C141" s="5" t="n">
        <v>0</v>
      </c>
      <c r="D141" s="5" t="n">
        <v>0</v>
      </c>
      <c r="E141" s="5" t="n">
        <v>2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3</v>
      </c>
      <c r="N141" s="5" t="n">
        <v>395</v>
      </c>
      <c r="O141" s="5" t="n">
        <v>0</v>
      </c>
      <c r="P141" s="5" t="n">
        <v>1</v>
      </c>
      <c r="Q141" s="5" t="n">
        <v>396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>
        <f>SUM(C141:Q141)-R141</f>
        <v/>
      </c>
    </row>
    <row r="142">
      <c r="A142" s="5" t="n">
        <v>137</v>
      </c>
      <c r="B142" s="6" t="inlineStr">
        <is>
          <t>Sayabpalli H/o.Nallagonda</t>
        </is>
      </c>
      <c r="C142" s="5" t="n">
        <v>21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2</v>
      </c>
      <c r="K142" s="5" t="n">
        <v>479</v>
      </c>
      <c r="L142" s="5" t="n">
        <v>0</v>
      </c>
      <c r="M142" s="5" t="n">
        <v>2</v>
      </c>
      <c r="N142" s="5" t="n">
        <v>481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>
        <f>SUM(C142:Q142)-R142</f>
        <v/>
      </c>
    </row>
    <row r="143">
      <c r="A143" s="5" t="n">
        <v>138</v>
      </c>
      <c r="B143" s="6" t="inlineStr">
        <is>
          <t>Mallapur</t>
        </is>
      </c>
      <c r="C143" s="5" t="n">
        <v>0</v>
      </c>
      <c r="D143" s="5" t="n">
        <v>0</v>
      </c>
      <c r="E143" s="5" t="n">
        <v>144</v>
      </c>
      <c r="F143" s="5" t="n">
        <v>120</v>
      </c>
      <c r="G143" s="5" t="n">
        <v>7</v>
      </c>
      <c r="H143" s="5" t="n">
        <v>1</v>
      </c>
      <c r="I143" s="5" t="n">
        <v>390</v>
      </c>
      <c r="J143" s="5" t="n">
        <v>0</v>
      </c>
      <c r="K143" s="5" t="n">
        <v>0</v>
      </c>
      <c r="L143" s="5" t="n">
        <v>0</v>
      </c>
      <c r="M143" s="5" t="n">
        <v>1038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>
        <f>SUM(C143:Q143)-R143</f>
        <v/>
      </c>
    </row>
    <row r="144">
      <c r="A144" s="5" t="n">
        <v>139</v>
      </c>
      <c r="B144" s="6" t="inlineStr">
        <is>
          <t>Mallapur</t>
        </is>
      </c>
      <c r="C144" s="5" t="n">
        <v>0</v>
      </c>
      <c r="D144" s="5" t="n">
        <v>0</v>
      </c>
      <c r="E144" s="5" t="n">
        <v>0</v>
      </c>
      <c r="F144" s="5" t="n">
        <v>2</v>
      </c>
      <c r="G144" s="5" t="n">
        <v>0</v>
      </c>
      <c r="H144" s="5" t="n">
        <v>1</v>
      </c>
      <c r="I144" s="5" t="n">
        <v>2</v>
      </c>
      <c r="J144" s="5" t="n">
        <v>0</v>
      </c>
      <c r="K144" s="5" t="n">
        <v>729</v>
      </c>
      <c r="L144" s="5" t="n">
        <v>8</v>
      </c>
      <c r="M144" s="5" t="n">
        <v>0</v>
      </c>
      <c r="N144" s="5" t="n">
        <v>7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>
        <f>SUM(C144:Q144)-R144</f>
        <v/>
      </c>
    </row>
    <row r="145">
      <c r="A145" s="5" t="n">
        <v>140</v>
      </c>
      <c r="B145" s="6" t="inlineStr">
        <is>
          <t>Polampalli</t>
        </is>
      </c>
      <c r="C145" s="5" t="n">
        <v>0</v>
      </c>
      <c r="D145" s="5" t="n">
        <v>0</v>
      </c>
      <c r="E145" s="5" t="n">
        <v>12</v>
      </c>
      <c r="F145" s="5" t="n">
        <v>133</v>
      </c>
      <c r="G145" s="5" t="n">
        <v>127</v>
      </c>
      <c r="H145" s="5" t="n">
        <v>0</v>
      </c>
      <c r="I145" s="5" t="n">
        <v>392</v>
      </c>
      <c r="J145" s="5" t="n">
        <v>0</v>
      </c>
      <c r="K145" s="5" t="n">
        <v>0</v>
      </c>
      <c r="L145" s="5" t="n">
        <v>0</v>
      </c>
      <c r="M145" s="5" t="n">
        <v>36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>
        <f>SUM(C145:Q145)-R145</f>
        <v/>
      </c>
    </row>
    <row r="146">
      <c r="A146" s="7" t="inlineStr">
        <is>
          <t>TOTAL EVM VOTES</t>
        </is>
      </c>
      <c r="B146" s="8" t="n"/>
      <c r="C146" s="9">
        <f>SUM(C6:C145)</f>
        <v/>
      </c>
      <c r="D146" s="9">
        <f>SUM(D6:D145)</f>
        <v/>
      </c>
      <c r="E146" s="9">
        <f>SUM(E6:E145)</f>
        <v/>
      </c>
      <c r="F146" s="9">
        <f>SUM(F6:F145)</f>
        <v/>
      </c>
      <c r="G146" s="9">
        <f>SUM(G6:G145)</f>
        <v/>
      </c>
      <c r="H146" s="9">
        <f>SUM(H6:H145)</f>
        <v/>
      </c>
      <c r="I146" s="9">
        <f>SUM(I6:I145)</f>
        <v/>
      </c>
      <c r="J146" s="9">
        <f>SUM(J6:J145)</f>
        <v/>
      </c>
      <c r="K146" s="9">
        <f>SUM(K6:K145)</f>
        <v/>
      </c>
      <c r="L146" s="9">
        <f>SUM(L6:L145)</f>
        <v/>
      </c>
      <c r="M146" s="9">
        <f>SUM(M6:M145)</f>
        <v/>
      </c>
      <c r="N146" s="9">
        <f>SUM(N6:N145)</f>
        <v/>
      </c>
      <c r="O146" s="9">
        <f>SUM(O6:O145)</f>
        <v/>
      </c>
      <c r="P146" s="9">
        <f>SUM(P6:P145)</f>
        <v/>
      </c>
      <c r="Q146" s="9">
        <f>SUM(Q6:Q145)</f>
        <v/>
      </c>
      <c r="R146" s="9">
        <f>SUM(R6:R145)</f>
        <v/>
      </c>
      <c r="S146" s="9">
        <f>SUM(S6:S145)</f>
        <v/>
      </c>
      <c r="T146" s="9">
        <f>SUM(T6:T145)</f>
        <v/>
      </c>
      <c r="U146" s="9">
        <f>SUM(U6:U145)</f>
        <v/>
      </c>
      <c r="V146" s="9">
        <f>SUM(V6:V145)</f>
        <v/>
      </c>
      <c r="W146" s="9">
        <f>SUM(W6:W145)</f>
        <v/>
      </c>
    </row>
    <row r="147">
      <c r="A147" s="10" t="inlineStr">
        <is>
          <t>POSTAL BALLOT VOTES</t>
        </is>
      </c>
      <c r="B147" s="11" t="n"/>
      <c r="C147" s="12" t="n">
        <v>242</v>
      </c>
      <c r="D147" s="12" t="n">
        <v>455</v>
      </c>
      <c r="E147" s="12" t="n">
        <v>2</v>
      </c>
      <c r="F147" s="12" t="n">
        <v>1</v>
      </c>
      <c r="G147" s="12" t="n">
        <v>0</v>
      </c>
      <c r="H147" s="12" t="n">
        <v>3</v>
      </c>
      <c r="I147" s="12" t="n">
        <v>0</v>
      </c>
      <c r="J147" s="12" t="n">
        <v>0</v>
      </c>
      <c r="K147" s="12" t="n">
        <v>2</v>
      </c>
      <c r="L147" s="12" t="n">
        <v>8</v>
      </c>
      <c r="M147" s="12" t="n">
        <v>1</v>
      </c>
      <c r="N147" s="12" t="n">
        <v>2</v>
      </c>
      <c r="O147" s="12" t="n">
        <v>12</v>
      </c>
      <c r="P147" s="12" t="n">
        <v>3</v>
      </c>
      <c r="Q147" s="12" t="n">
        <v>1</v>
      </c>
      <c r="R147" s="12" t="n">
        <v>732</v>
      </c>
      <c r="S147" s="12" t="n">
        <v>29</v>
      </c>
      <c r="T147" s="12" t="n">
        <v>3</v>
      </c>
      <c r="U147" s="12" t="n">
        <v>764</v>
      </c>
      <c r="V147" s="12" t="n">
        <v>0</v>
      </c>
      <c r="W147" s="12" t="n">
        <v>0</v>
      </c>
    </row>
    <row r="148">
      <c r="A148" s="13" t="inlineStr">
        <is>
          <t>TOTAL VOTES POLLED</t>
        </is>
      </c>
      <c r="B148" s="14" t="n"/>
      <c r="C148" s="15">
        <f>C146+C147</f>
        <v/>
      </c>
      <c r="D148" s="15">
        <f>D146+D147</f>
        <v/>
      </c>
      <c r="E148" s="15">
        <f>E146+E147</f>
        <v/>
      </c>
      <c r="F148" s="15">
        <f>F146+F147</f>
        <v/>
      </c>
      <c r="G148" s="15">
        <f>G146+G147</f>
        <v/>
      </c>
      <c r="H148" s="15">
        <f>H146+H147</f>
        <v/>
      </c>
      <c r="I148" s="15">
        <f>I146+I147</f>
        <v/>
      </c>
      <c r="J148" s="15">
        <f>J146+J147</f>
        <v/>
      </c>
      <c r="K148" s="15">
        <f>K146+K147</f>
        <v/>
      </c>
      <c r="L148" s="15">
        <f>L146+L147</f>
        <v/>
      </c>
      <c r="M148" s="15">
        <f>M146+M147</f>
        <v/>
      </c>
      <c r="N148" s="15">
        <f>N146+N147</f>
        <v/>
      </c>
      <c r="O148" s="15">
        <f>O146+O147</f>
        <v/>
      </c>
      <c r="P148" s="15">
        <f>P146+P147</f>
        <v/>
      </c>
      <c r="Q148" s="15">
        <f>Q146+Q147</f>
        <v/>
      </c>
      <c r="R148" s="15">
        <f>R146+R147</f>
        <v/>
      </c>
      <c r="S148" s="15">
        <f>S146+S147</f>
        <v/>
      </c>
      <c r="T148" s="15">
        <f>T146+T147</f>
        <v/>
      </c>
      <c r="U148" s="15">
        <f>U146+U147</f>
        <v/>
      </c>
      <c r="V148" s="15">
        <f>V146+V147</f>
        <v/>
      </c>
      <c r="W148" s="15">
        <f>W146+W147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2026-09-14T06:24:30Z</dcterms:created>
  <dcterms:modified xsi:type="dcterms:W3CDTF">2026-09-14T06:24:31Z</dcterms:modified>
</cp:coreProperties>
</file>