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  <font>
      <name val="Calibri"/>
      <b val="1"/>
      <color rgb="00000000"/>
      <sz val="11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5" fillId="3" borderId="2" pivotButton="0" quotePrefix="0" xfId="0"/>
    <xf numFmtId="3" fontId="5" fillId="3" borderId="2" applyAlignment="1" pivotButton="0" quotePrefix="0" xfId="0">
      <alignment horizontal="right"/>
    </xf>
    <xf numFmtId="0" fontId="5" fillId="4" borderId="3" pivotButton="0" quotePrefix="0" xfId="0"/>
    <xf numFmtId="3" fontId="5" fillId="4" borderId="3" applyAlignment="1" pivotButton="0" quotePrefix="0" xfId="0">
      <alignment horizontal="right"/>
    </xf>
    <xf numFmtId="0" fontId="5" fillId="5" borderId="4" pivotButton="0" quotePrefix="0" xfId="0"/>
    <xf numFmtId="3" fontId="5" fillId="5" borderId="4" applyAlignment="1" pivotButton="0" quotePrefix="0" xfId="0">
      <alignment horizontal="right"/>
    </xf>
    <xf numFmtId="0" fontId="3" fillId="6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1" customWidth="1" min="3" max="3"/>
    <col width="26" customWidth="1" min="4" max="4"/>
    <col width="19" customWidth="1" min="5" max="5"/>
    <col width="20" customWidth="1" min="6" max="6"/>
    <col width="16" customWidth="1" min="7" max="7"/>
    <col width="19" customWidth="1" min="8" max="8"/>
    <col width="18" customWidth="1" min="9" max="9"/>
    <col width="18" customWidth="1" min="10" max="10"/>
    <col width="23" customWidth="1" min="11" max="11"/>
    <col width="21" customWidth="1" min="12" max="12"/>
    <col width="25" customWidth="1" min="13" max="13"/>
    <col width="21" customWidth="1" min="14" max="14"/>
    <col width="26" customWidth="1" min="15" max="15"/>
    <col width="25" customWidth="1" min="16" max="16"/>
    <col width="20" customWidth="1" min="17" max="17"/>
    <col width="17" customWidth="1" min="18" max="18"/>
    <col width="15" customWidth="1" min="19" max="19"/>
    <col width="15" customWidth="1" min="20" max="20"/>
    <col width="17" customWidth="1" min="21" max="21"/>
    <col width="16" customWidth="1" min="22" max="22"/>
  </cols>
  <sheetData>
    <row r="1">
      <c r="A1" s="1" t="inlineStr">
        <is>
          <t>General Election to Lok Sabha 2019</t>
        </is>
      </c>
    </row>
    <row r="2">
      <c r="A2" s="2" t="inlineStr">
        <is>
          <t>03-Karimnagar Parliamentary Constituency (03-KarimnagarPC_HusnabadAS_Form_20.pdf)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13" t="inlineStr">
        <is>
          <t>PS_Name</t>
        </is>
      </c>
      <c r="C5" s="3" t="inlineStr">
        <is>
          <t>PONNAM PRABHAKER</t>
        </is>
      </c>
      <c r="D5" s="3" t="inlineStr">
        <is>
          <t>BANDI SANJAY KUMAR</t>
        </is>
      </c>
      <c r="E5" s="3" t="inlineStr">
        <is>
          <t>BOIANAPALLI VINOD KUMAR</t>
        </is>
      </c>
      <c r="F5" s="3" t="inlineStr">
        <is>
          <t>KANNA ANAGANDULA</t>
        </is>
      </c>
      <c r="G5" s="3" t="inlineStr">
        <is>
          <t>ANILKUMAR CHINTHA</t>
        </is>
      </c>
      <c r="H5" s="3" t="inlineStr">
        <is>
          <t>AILA PRASANNA</t>
        </is>
      </c>
      <c r="I5" s="3" t="inlineStr">
        <is>
          <t>EPALLE PRASHANTH</t>
        </is>
      </c>
      <c r="J5" s="3" t="inlineStr">
        <is>
          <t>REDDY VENUGOPAL</t>
        </is>
      </c>
      <c r="K5" s="3" t="inlineStr">
        <is>
          <t>KOTA SHYAMKUMAR</t>
        </is>
      </c>
      <c r="L5" s="3" t="inlineStr">
        <is>
          <t>SINGARAPU THIRUPATHI</t>
        </is>
      </c>
      <c r="M5" s="3" t="inlineStr">
        <is>
          <t>CHILIVERU SRIKANTH</t>
        </is>
      </c>
      <c r="N5" s="3" t="inlineStr">
        <is>
          <t>SRINIVASA REDDY PAKALA</t>
        </is>
      </c>
      <c r="O5" s="3" t="inlineStr">
        <is>
          <t>GABBA BHANU LAXMAN</t>
        </is>
      </c>
      <c r="P5" s="3" t="inlineStr">
        <is>
          <t>BUKKISA RATHNAKAR REDDY</t>
        </is>
      </c>
      <c r="Q5" s="3" t="inlineStr">
        <is>
          <t>RAMESHBABU SHANIGARAPU</t>
        </is>
      </c>
      <c r="R5" s="3" t="inlineStr">
        <is>
          <t>Total_Valid_Votes</t>
        </is>
      </c>
      <c r="S5" s="3" t="inlineStr">
        <is>
          <t>Rejected_Votes</t>
        </is>
      </c>
      <c r="T5" s="3" t="inlineStr">
        <is>
          <t>NOTA</t>
        </is>
      </c>
      <c r="U5" s="3" t="inlineStr">
        <is>
          <t>Total_Votes</t>
        </is>
      </c>
      <c r="V5" s="3" t="inlineStr">
        <is>
          <t>Tendered_Votes</t>
        </is>
      </c>
      <c r="W5" s="3" t="inlineStr">
        <is>
          <t>Checksum_Diff</t>
        </is>
      </c>
    </row>
    <row r="6">
      <c r="A6" s="4" t="n">
        <v>1</v>
      </c>
      <c r="B6" s="14" t="inlineStr">
        <is>
          <t>PANDILLA</t>
        </is>
      </c>
      <c r="C6" s="4" t="n">
        <v>2</v>
      </c>
      <c r="D6" s="4" t="n">
        <v>3</v>
      </c>
      <c r="E6" s="4" t="n">
        <v>4</v>
      </c>
      <c r="F6" s="4" t="n">
        <v>5</v>
      </c>
      <c r="G6" s="4" t="n">
        <v>6</v>
      </c>
      <c r="H6" s="4" t="n">
        <v>7</v>
      </c>
      <c r="I6" s="4" t="n">
        <v>8</v>
      </c>
      <c r="J6" s="4" t="n">
        <v>9</v>
      </c>
      <c r="K6" s="4" t="n">
        <v>10</v>
      </c>
      <c r="L6" s="4" t="n">
        <v>11</v>
      </c>
      <c r="M6" s="4" t="n">
        <v>12</v>
      </c>
      <c r="N6" s="4" t="n">
        <v>13</v>
      </c>
      <c r="O6" s="4" t="n">
        <v>14</v>
      </c>
      <c r="P6" s="4" t="n">
        <v>15</v>
      </c>
      <c r="Q6" s="4" t="n">
        <v>16</v>
      </c>
      <c r="R6" s="4" t="n">
        <v>0</v>
      </c>
      <c r="S6" s="4" t="n">
        <v>18</v>
      </c>
      <c r="T6" s="4" t="n">
        <v>19</v>
      </c>
      <c r="U6" s="4" t="n">
        <v>20</v>
      </c>
      <c r="V6" s="4" t="n">
        <v>21</v>
      </c>
      <c r="W6" s="4">
        <f>SUM(C6:Q6)-R6</f>
        <v/>
      </c>
    </row>
    <row r="7">
      <c r="A7" s="4" t="n">
        <v>2</v>
      </c>
      <c r="B7" s="14" t="inlineStr">
        <is>
          <t>PANDILLA</t>
        </is>
      </c>
      <c r="C7" s="4" t="n">
        <v>215</v>
      </c>
      <c r="D7" s="4" t="n">
        <v>181</v>
      </c>
      <c r="E7" s="4" t="n">
        <v>205</v>
      </c>
      <c r="F7" s="4" t="n">
        <v>3</v>
      </c>
      <c r="G7" s="4" t="n">
        <v>0</v>
      </c>
      <c r="H7" s="4" t="n">
        <v>1</v>
      </c>
      <c r="I7" s="4" t="n">
        <v>0</v>
      </c>
      <c r="J7" s="4" t="n">
        <v>3</v>
      </c>
      <c r="K7" s="4" t="n">
        <v>2</v>
      </c>
      <c r="L7" s="4" t="n">
        <v>2</v>
      </c>
      <c r="M7" s="4" t="n">
        <v>2</v>
      </c>
      <c r="N7" s="4" t="n">
        <v>10</v>
      </c>
      <c r="O7" s="4" t="n">
        <v>6</v>
      </c>
      <c r="P7" s="4" t="n">
        <v>0</v>
      </c>
      <c r="Q7" s="4" t="n">
        <v>11</v>
      </c>
      <c r="R7" s="4" t="n">
        <v>644</v>
      </c>
      <c r="S7" s="4" t="n">
        <v>0</v>
      </c>
      <c r="T7" s="4" t="n">
        <v>0</v>
      </c>
      <c r="U7" s="4" t="n">
        <v>658</v>
      </c>
      <c r="V7" s="4" t="n">
        <v>0</v>
      </c>
      <c r="W7" s="4">
        <f>SUM(C7:Q7)-R7</f>
        <v/>
      </c>
    </row>
    <row r="8">
      <c r="A8" s="4" t="n">
        <v>3</v>
      </c>
      <c r="B8" s="14" t="inlineStr">
        <is>
          <t>BANJERUPALLE</t>
        </is>
      </c>
      <c r="C8" s="4" t="n">
        <v>106</v>
      </c>
      <c r="D8" s="4" t="n">
        <v>132</v>
      </c>
      <c r="E8" s="4" t="n">
        <v>205</v>
      </c>
      <c r="F8" s="4" t="n">
        <v>4</v>
      </c>
      <c r="G8" s="4" t="n">
        <v>3</v>
      </c>
      <c r="H8" s="4" t="n">
        <v>0</v>
      </c>
      <c r="I8" s="4" t="n">
        <v>3</v>
      </c>
      <c r="J8" s="4" t="n">
        <v>1</v>
      </c>
      <c r="K8" s="4" t="n">
        <v>1</v>
      </c>
      <c r="L8" s="4" t="n">
        <v>4</v>
      </c>
      <c r="M8" s="4" t="n">
        <v>2</v>
      </c>
      <c r="N8" s="4" t="n">
        <v>7</v>
      </c>
      <c r="O8" s="4" t="n">
        <v>4</v>
      </c>
      <c r="P8" s="4" t="n">
        <v>0</v>
      </c>
      <c r="Q8" s="4" t="n">
        <v>0</v>
      </c>
      <c r="R8" s="4" t="n">
        <v>475</v>
      </c>
      <c r="S8" s="4" t="n">
        <v>0</v>
      </c>
      <c r="T8" s="4" t="n">
        <v>0</v>
      </c>
      <c r="U8" s="4" t="n">
        <v>480</v>
      </c>
      <c r="V8" s="4" t="n">
        <v>0</v>
      </c>
      <c r="W8" s="4">
        <f>SUM(C8:Q8)-R8</f>
        <v/>
      </c>
    </row>
    <row r="9">
      <c r="A9" s="4" t="n">
        <v>4</v>
      </c>
      <c r="B9" s="14" t="inlineStr">
        <is>
          <t>POTLAPALLE</t>
        </is>
      </c>
      <c r="C9" s="4" t="n">
        <v>250</v>
      </c>
      <c r="D9" s="4" t="n">
        <v>199</v>
      </c>
      <c r="E9" s="4" t="n">
        <v>268</v>
      </c>
      <c r="F9" s="4" t="n">
        <v>13</v>
      </c>
      <c r="G9" s="4" t="n">
        <v>0</v>
      </c>
      <c r="H9" s="4" t="n">
        <v>0</v>
      </c>
      <c r="I9" s="4" t="n">
        <v>1</v>
      </c>
      <c r="J9" s="4" t="n">
        <v>1</v>
      </c>
      <c r="K9" s="4" t="n">
        <v>1</v>
      </c>
      <c r="L9" s="4" t="n">
        <v>2</v>
      </c>
      <c r="M9" s="4" t="n">
        <v>5</v>
      </c>
      <c r="N9" s="4" t="n">
        <v>8</v>
      </c>
      <c r="O9" s="4" t="n">
        <v>0</v>
      </c>
      <c r="P9" s="4" t="n">
        <v>0</v>
      </c>
      <c r="Q9" s="4" t="n">
        <v>0</v>
      </c>
      <c r="R9" s="4" t="n">
        <v>758</v>
      </c>
      <c r="S9" s="4" t="n">
        <v>0</v>
      </c>
      <c r="T9" s="4" t="n">
        <v>0</v>
      </c>
      <c r="U9" s="4" t="n">
        <v>764</v>
      </c>
      <c r="V9" s="4" t="n">
        <v>0</v>
      </c>
      <c r="W9" s="4">
        <f>SUM(C9:Q9)-R9</f>
        <v/>
      </c>
    </row>
    <row r="10">
      <c r="A10" s="4" t="n">
        <v>5</v>
      </c>
      <c r="B10" s="14" t="inlineStr">
        <is>
          <t>POTLAPALLI</t>
        </is>
      </c>
      <c r="C10" s="4" t="n">
        <v>202</v>
      </c>
      <c r="D10" s="4" t="n">
        <v>293</v>
      </c>
      <c r="E10" s="4" t="n">
        <v>260</v>
      </c>
      <c r="F10" s="4" t="n">
        <v>6</v>
      </c>
      <c r="G10" s="4" t="n">
        <v>0</v>
      </c>
      <c r="H10" s="4" t="n">
        <v>1</v>
      </c>
      <c r="I10" s="4" t="n">
        <v>1</v>
      </c>
      <c r="J10" s="4" t="n">
        <v>2</v>
      </c>
      <c r="K10" s="4" t="n">
        <v>0</v>
      </c>
      <c r="L10" s="4" t="n">
        <v>0</v>
      </c>
      <c r="M10" s="4" t="n">
        <v>1</v>
      </c>
      <c r="N10" s="4" t="n">
        <v>8</v>
      </c>
      <c r="O10" s="4" t="n">
        <v>3</v>
      </c>
      <c r="P10" s="4" t="n">
        <v>0</v>
      </c>
      <c r="Q10" s="4" t="n">
        <v>0</v>
      </c>
      <c r="R10" s="4" t="n">
        <v>789</v>
      </c>
      <c r="S10" s="4" t="n">
        <v>0</v>
      </c>
      <c r="T10" s="4" t="n">
        <v>0</v>
      </c>
      <c r="U10" s="4" t="n">
        <v>794</v>
      </c>
      <c r="V10" s="4" t="n">
        <v>0</v>
      </c>
      <c r="W10" s="4">
        <f>SUM(C10:Q10)-R10</f>
        <v/>
      </c>
    </row>
    <row r="11">
      <c r="A11" s="4" t="n">
        <v>6</v>
      </c>
      <c r="B11" s="14" t="inlineStr">
        <is>
          <t>HUSNABAD</t>
        </is>
      </c>
      <c r="C11" s="4" t="n">
        <v>172</v>
      </c>
      <c r="D11" s="4" t="n">
        <v>223</v>
      </c>
      <c r="E11" s="4" t="n">
        <v>157</v>
      </c>
      <c r="F11" s="4" t="n">
        <v>6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3</v>
      </c>
      <c r="O11" s="4" t="n">
        <v>3</v>
      </c>
      <c r="P11" s="4" t="n">
        <v>4</v>
      </c>
      <c r="Q11" s="4" t="n">
        <v>0</v>
      </c>
      <c r="R11" s="4" t="n">
        <v>566</v>
      </c>
      <c r="S11" s="4" t="n">
        <v>0</v>
      </c>
      <c r="T11" s="4" t="n">
        <v>0</v>
      </c>
      <c r="U11" s="4" t="n">
        <v>569</v>
      </c>
      <c r="V11" s="4" t="n">
        <v>0</v>
      </c>
      <c r="W11" s="4">
        <f>SUM(C11:Q11)-R11</f>
        <v/>
      </c>
    </row>
    <row r="12">
      <c r="A12" s="4" t="n">
        <v>7</v>
      </c>
      <c r="B12" s="14" t="inlineStr">
        <is>
          <t>HUSNABAD</t>
        </is>
      </c>
      <c r="C12" s="4" t="n">
        <v>212</v>
      </c>
      <c r="D12" s="4" t="n">
        <v>208</v>
      </c>
      <c r="E12" s="4" t="n">
        <v>267</v>
      </c>
      <c r="F12" s="4" t="n">
        <v>9</v>
      </c>
      <c r="G12" s="4" t="n">
        <v>9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2</v>
      </c>
      <c r="M12" s="4" t="n">
        <v>2</v>
      </c>
      <c r="N12" s="4" t="n">
        <v>5</v>
      </c>
      <c r="O12" s="4" t="n">
        <v>5</v>
      </c>
      <c r="P12" s="4" t="n">
        <v>0</v>
      </c>
      <c r="Q12" s="4" t="n">
        <v>0</v>
      </c>
      <c r="R12" s="4" t="n">
        <v>725</v>
      </c>
      <c r="S12" s="4" t="n">
        <v>0</v>
      </c>
      <c r="T12" s="4" t="n">
        <v>0</v>
      </c>
      <c r="U12" s="4" t="n">
        <v>727</v>
      </c>
      <c r="V12" s="4" t="n">
        <v>0</v>
      </c>
      <c r="W12" s="4">
        <f>SUM(C12:Q12)-R12</f>
        <v/>
      </c>
    </row>
    <row r="13">
      <c r="A13" s="4" t="n">
        <v>8</v>
      </c>
      <c r="B13" s="14" t="inlineStr">
        <is>
          <t>HUSNABAD</t>
        </is>
      </c>
      <c r="C13" s="4" t="n">
        <v>281</v>
      </c>
      <c r="D13" s="4" t="n">
        <v>220</v>
      </c>
      <c r="E13" s="4" t="n">
        <v>187</v>
      </c>
      <c r="F13" s="4" t="n">
        <v>7</v>
      </c>
      <c r="G13" s="4" t="n">
        <v>1</v>
      </c>
      <c r="H13" s="4" t="n">
        <v>1</v>
      </c>
      <c r="I13" s="4" t="n">
        <v>0</v>
      </c>
      <c r="J13" s="4" t="n">
        <v>2</v>
      </c>
      <c r="K13" s="4" t="n">
        <v>0</v>
      </c>
      <c r="L13" s="4" t="n">
        <v>1</v>
      </c>
      <c r="M13" s="4" t="n">
        <v>0</v>
      </c>
      <c r="N13" s="4" t="n">
        <v>4</v>
      </c>
      <c r="O13" s="4" t="n">
        <v>0</v>
      </c>
      <c r="P13" s="4" t="n">
        <v>0</v>
      </c>
      <c r="Q13" s="4" t="n">
        <v>0</v>
      </c>
      <c r="R13" s="4" t="n">
        <v>712</v>
      </c>
      <c r="S13" s="4" t="n">
        <v>0</v>
      </c>
      <c r="T13" s="4" t="n">
        <v>0</v>
      </c>
      <c r="U13" s="4" t="n">
        <v>4</v>
      </c>
      <c r="V13" s="4" t="n">
        <v>0</v>
      </c>
      <c r="W13" s="4">
        <f>SUM(C13:Q13)-R13</f>
        <v/>
      </c>
    </row>
    <row r="14">
      <c r="A14" s="4" t="n">
        <v>9</v>
      </c>
      <c r="B14" s="14" t="inlineStr">
        <is>
          <t>HUSNABAD</t>
        </is>
      </c>
      <c r="C14" s="4" t="n">
        <v>191</v>
      </c>
      <c r="D14" s="4" t="n">
        <v>203</v>
      </c>
      <c r="E14" s="4" t="n">
        <v>271</v>
      </c>
      <c r="F14" s="4" t="n">
        <v>5</v>
      </c>
      <c r="G14" s="4" t="n">
        <v>4</v>
      </c>
      <c r="H14" s="4" t="n">
        <v>1</v>
      </c>
      <c r="I14" s="4" t="n">
        <v>1</v>
      </c>
      <c r="J14" s="4" t="n">
        <v>0</v>
      </c>
      <c r="K14" s="4" t="n">
        <v>3</v>
      </c>
      <c r="L14" s="4" t="n">
        <v>0</v>
      </c>
      <c r="M14" s="4" t="n">
        <v>3</v>
      </c>
      <c r="N14" s="4" t="n">
        <v>4</v>
      </c>
      <c r="O14" s="4" t="n">
        <v>3</v>
      </c>
      <c r="P14" s="4" t="n">
        <v>0</v>
      </c>
      <c r="Q14" s="4" t="n">
        <v>0</v>
      </c>
      <c r="R14" s="4" t="n">
        <v>693</v>
      </c>
      <c r="S14" s="4" t="n">
        <v>0</v>
      </c>
      <c r="T14" s="4" t="n">
        <v>0</v>
      </c>
      <c r="U14" s="4" t="n">
        <v>702</v>
      </c>
      <c r="V14" s="4" t="n">
        <v>0</v>
      </c>
      <c r="W14" s="4">
        <f>SUM(C14:Q14)-R14</f>
        <v/>
      </c>
    </row>
    <row r="15">
      <c r="A15" s="4" t="n">
        <v>10</v>
      </c>
      <c r="B15" s="14" t="inlineStr">
        <is>
          <t>Mandala Parishad Primary School
(New Building) Arepally H/o
Husnabad</t>
        </is>
      </c>
      <c r="C15" s="4" t="n">
        <v>332</v>
      </c>
      <c r="D15" s="4" t="n">
        <v>220</v>
      </c>
      <c r="E15" s="4" t="n">
        <v>167</v>
      </c>
      <c r="F15" s="4" t="n">
        <v>8</v>
      </c>
      <c r="G15" s="4" t="n">
        <v>0</v>
      </c>
      <c r="H15" s="4" t="n">
        <v>2</v>
      </c>
      <c r="I15" s="4" t="n">
        <v>1</v>
      </c>
      <c r="J15" s="4" t="n">
        <v>1</v>
      </c>
      <c r="K15" s="4" t="n">
        <v>3</v>
      </c>
      <c r="L15" s="4" t="n">
        <v>2</v>
      </c>
      <c r="M15" s="4" t="n">
        <v>4</v>
      </c>
      <c r="N15" s="4" t="n">
        <v>10</v>
      </c>
      <c r="O15" s="4" t="n">
        <v>0</v>
      </c>
      <c r="P15" s="4" t="n">
        <v>0</v>
      </c>
      <c r="Q15" s="4" t="n">
        <v>0</v>
      </c>
      <c r="R15" s="4" t="n">
        <v>762</v>
      </c>
      <c r="S15" s="4" t="n">
        <v>0</v>
      </c>
      <c r="T15" s="4" t="n">
        <v>0</v>
      </c>
      <c r="U15" s="4" t="n">
        <v>767</v>
      </c>
      <c r="V15" s="4" t="n">
        <v>2</v>
      </c>
      <c r="W15" s="4">
        <f>SUM(C15:Q15)-R15</f>
        <v/>
      </c>
    </row>
    <row r="16">
      <c r="A16" s="4" t="n">
        <v>11</v>
      </c>
      <c r="B16" s="14" t="inlineStr">
        <is>
          <t>HUSNABAD</t>
        </is>
      </c>
      <c r="C16" s="4" t="n">
        <v>185</v>
      </c>
      <c r="D16" s="4" t="n">
        <v>199</v>
      </c>
      <c r="E16" s="4" t="n">
        <v>195</v>
      </c>
      <c r="F16" s="4" t="n">
        <v>2</v>
      </c>
      <c r="G16" s="4" t="n">
        <v>0</v>
      </c>
      <c r="H16" s="4" t="n">
        <v>0</v>
      </c>
      <c r="I16" s="4" t="n">
        <v>1</v>
      </c>
      <c r="J16" s="4" t="n">
        <v>1</v>
      </c>
      <c r="K16" s="4" t="n">
        <v>1</v>
      </c>
      <c r="L16" s="4" t="n">
        <v>1</v>
      </c>
      <c r="M16" s="4" t="n">
        <v>1</v>
      </c>
      <c r="N16" s="4" t="n">
        <v>5</v>
      </c>
      <c r="O16" s="4" t="n">
        <v>3</v>
      </c>
      <c r="P16" s="4" t="n">
        <v>0</v>
      </c>
      <c r="Q16" s="4" t="n">
        <v>2</v>
      </c>
      <c r="R16" s="4" t="n">
        <v>604</v>
      </c>
      <c r="S16" s="4" t="n">
        <v>0</v>
      </c>
      <c r="T16" s="4" t="n">
        <v>0</v>
      </c>
      <c r="U16" s="4" t="n">
        <v>606</v>
      </c>
      <c r="V16" s="4" t="n">
        <v>0</v>
      </c>
      <c r="W16" s="4">
        <f>SUM(C16:Q16)-R16</f>
        <v/>
      </c>
    </row>
    <row r="17">
      <c r="A17" s="4" t="n">
        <v>12</v>
      </c>
      <c r="B17" s="14" t="inlineStr">
        <is>
          <t>HUSNABAD</t>
        </is>
      </c>
      <c r="C17" s="4" t="n">
        <v>2</v>
      </c>
      <c r="D17" s="4" t="n">
        <v>0</v>
      </c>
      <c r="E17" s="4" t="n">
        <v>4</v>
      </c>
      <c r="F17" s="4" t="n">
        <v>5</v>
      </c>
      <c r="G17" s="4" t="n">
        <v>6</v>
      </c>
      <c r="H17" s="4" t="n">
        <v>7</v>
      </c>
      <c r="I17" s="4" t="n">
        <v>8</v>
      </c>
      <c r="J17" s="4" t="n">
        <v>9</v>
      </c>
      <c r="K17" s="4" t="n">
        <v>10</v>
      </c>
      <c r="L17" s="4" t="n">
        <v>11</v>
      </c>
      <c r="M17" s="4" t="n">
        <v>12</v>
      </c>
      <c r="N17" s="4" t="n">
        <v>13</v>
      </c>
      <c r="O17" s="4" t="n">
        <v>0</v>
      </c>
      <c r="P17" s="4" t="n">
        <v>15</v>
      </c>
      <c r="Q17" s="4" t="n">
        <v>16</v>
      </c>
      <c r="R17" s="4" t="n">
        <v>0</v>
      </c>
      <c r="S17" s="4" t="n">
        <v>18</v>
      </c>
      <c r="T17" s="4" t="n">
        <v>19</v>
      </c>
      <c r="U17" s="4" t="n">
        <v>20</v>
      </c>
      <c r="V17" s="4" t="n">
        <v>21</v>
      </c>
      <c r="W17" s="4">
        <f>SUM(C17:Q17)-R17</f>
        <v/>
      </c>
    </row>
    <row r="18">
      <c r="A18" s="4" t="n">
        <v>158</v>
      </c>
      <c r="B18" s="14" t="inlineStr">
        <is>
          <t>SUNDARAGIRI</t>
        </is>
      </c>
      <c r="C18" s="4" t="n">
        <v>55</v>
      </c>
      <c r="D18" s="4" t="n">
        <v>282</v>
      </c>
      <c r="E18" s="4" t="n">
        <v>148</v>
      </c>
      <c r="F18" s="4" t="n">
        <v>2</v>
      </c>
      <c r="G18" s="4" t="n">
        <v>1</v>
      </c>
      <c r="H18" s="4" t="n">
        <v>2</v>
      </c>
      <c r="I18" s="4" t="n">
        <v>3</v>
      </c>
      <c r="J18" s="4" t="n">
        <v>0</v>
      </c>
      <c r="K18" s="4" t="n">
        <v>2</v>
      </c>
      <c r="L18" s="4" t="n">
        <v>3</v>
      </c>
      <c r="M18" s="4" t="n">
        <v>2</v>
      </c>
      <c r="N18" s="4" t="n">
        <v>13</v>
      </c>
      <c r="O18" s="4" t="n">
        <v>1</v>
      </c>
      <c r="P18" s="4" t="n">
        <v>1</v>
      </c>
      <c r="Q18" s="4" t="n">
        <v>4</v>
      </c>
      <c r="R18" s="4" t="n">
        <v>519</v>
      </c>
      <c r="S18" s="4" t="n">
        <v>0</v>
      </c>
      <c r="T18" s="4" t="n">
        <v>9</v>
      </c>
      <c r="U18" s="4" t="n">
        <v>528</v>
      </c>
      <c r="V18" s="4" t="n">
        <v>0</v>
      </c>
      <c r="W18" s="4">
        <f>SUM(C18:Q18)-R18</f>
        <v/>
      </c>
    </row>
    <row r="19">
      <c r="A19" s="4" t="n">
        <v>159</v>
      </c>
      <c r="B19" s="14" t="inlineStr">
        <is>
          <t>BOMMANAPALLI</t>
        </is>
      </c>
      <c r="C19" s="4" t="n">
        <v>188</v>
      </c>
      <c r="D19" s="4" t="n">
        <v>363</v>
      </c>
      <c r="E19" s="4" t="n">
        <v>190</v>
      </c>
      <c r="F19" s="4" t="n">
        <v>19</v>
      </c>
      <c r="G19" s="4" t="n">
        <v>2</v>
      </c>
      <c r="H19" s="4" t="n">
        <v>0</v>
      </c>
      <c r="I19" s="4" t="n">
        <v>0</v>
      </c>
      <c r="J19" s="4" t="n">
        <v>0</v>
      </c>
      <c r="K19" s="4" t="n">
        <v>8</v>
      </c>
      <c r="L19" s="4" t="n">
        <v>0</v>
      </c>
      <c r="M19" s="4" t="n">
        <v>0</v>
      </c>
      <c r="N19" s="4" t="n">
        <v>15</v>
      </c>
      <c r="O19" s="4" t="n">
        <v>0</v>
      </c>
      <c r="P19" s="4" t="n">
        <v>0</v>
      </c>
      <c r="Q19" s="4" t="n">
        <v>44</v>
      </c>
      <c r="R19" s="4" t="n">
        <v>797</v>
      </c>
      <c r="S19" s="4" t="n">
        <v>0</v>
      </c>
      <c r="T19" s="4" t="n">
        <v>0</v>
      </c>
      <c r="U19" s="4" t="n">
        <v>804</v>
      </c>
      <c r="V19" s="4" t="n">
        <v>0</v>
      </c>
      <c r="W19" s="4">
        <f>SUM(C19:Q19)-R19</f>
        <v/>
      </c>
    </row>
    <row r="20">
      <c r="A20" s="4" t="n">
        <v>160</v>
      </c>
      <c r="B20" s="14" t="inlineStr">
        <is>
          <t>BOMMANAPALLI</t>
        </is>
      </c>
      <c r="C20" s="4" t="n">
        <v>115</v>
      </c>
      <c r="D20" s="4" t="n">
        <v>192</v>
      </c>
      <c r="E20" s="4" t="n">
        <v>195</v>
      </c>
      <c r="F20" s="4" t="n">
        <v>5</v>
      </c>
      <c r="G20" s="4" t="n">
        <v>2</v>
      </c>
      <c r="H20" s="4" t="n">
        <v>4</v>
      </c>
      <c r="I20" s="4" t="n">
        <v>1</v>
      </c>
      <c r="J20" s="4" t="n">
        <v>2</v>
      </c>
      <c r="K20" s="4" t="n">
        <v>2</v>
      </c>
      <c r="L20" s="4" t="n">
        <v>2</v>
      </c>
      <c r="M20" s="4" t="n">
        <v>0</v>
      </c>
      <c r="N20" s="4" t="n">
        <v>7</v>
      </c>
      <c r="O20" s="4" t="n">
        <v>0</v>
      </c>
      <c r="P20" s="4" t="n">
        <v>10</v>
      </c>
      <c r="Q20" s="4" t="n">
        <v>11</v>
      </c>
      <c r="R20" s="4" t="n">
        <v>545</v>
      </c>
      <c r="S20" s="4" t="n">
        <v>0</v>
      </c>
      <c r="T20" s="4" t="n">
        <v>7</v>
      </c>
      <c r="U20" s="4" t="n">
        <v>552</v>
      </c>
      <c r="V20" s="4" t="n">
        <v>0</v>
      </c>
      <c r="W20" s="4">
        <f>SUM(C20:Q20)-R20</f>
        <v/>
      </c>
    </row>
    <row r="21">
      <c r="A21" s="4" t="n">
        <v>161</v>
      </c>
      <c r="B21" s="14" t="inlineStr">
        <is>
          <t>BOMMANAPALLI</t>
        </is>
      </c>
      <c r="C21" s="4" t="n">
        <v>2</v>
      </c>
      <c r="D21" s="4" t="n">
        <v>3</v>
      </c>
      <c r="E21" s="4" t="n">
        <v>4</v>
      </c>
      <c r="F21" s="4" t="n">
        <v>5</v>
      </c>
      <c r="G21" s="4" t="n">
        <v>6</v>
      </c>
      <c r="H21" s="4" t="n">
        <v>7</v>
      </c>
      <c r="I21" s="4" t="n">
        <v>8</v>
      </c>
      <c r="J21" s="4" t="n">
        <v>9</v>
      </c>
      <c r="K21" s="4" t="n">
        <v>10</v>
      </c>
      <c r="L21" s="4" t="n">
        <v>1</v>
      </c>
      <c r="M21" s="4" t="n">
        <v>12</v>
      </c>
      <c r="N21" s="4" t="n">
        <v>3</v>
      </c>
      <c r="O21" s="4" t="n">
        <v>0</v>
      </c>
      <c r="P21" s="4" t="n">
        <v>15</v>
      </c>
      <c r="Q21" s="4" t="n">
        <v>16</v>
      </c>
      <c r="R21" s="4" t="n">
        <v>0</v>
      </c>
      <c r="S21" s="4" t="n">
        <v>18</v>
      </c>
      <c r="T21" s="4" t="n">
        <v>19</v>
      </c>
      <c r="U21" s="4" t="n">
        <v>20</v>
      </c>
      <c r="V21" s="4" t="n">
        <v>21</v>
      </c>
      <c r="W21" s="4">
        <f>SUM(C21:Q21)-R21</f>
        <v/>
      </c>
    </row>
    <row r="22">
      <c r="A22" s="4" t="n">
        <v>192</v>
      </c>
      <c r="B22" s="14" t="inlineStr">
        <is>
          <t>PERKAPALLI HIO</t>
        </is>
      </c>
      <c r="C22" s="4" t="n">
        <v>188</v>
      </c>
      <c r="D22" s="4" t="n">
        <v>60</v>
      </c>
      <c r="E22" s="4" t="n">
        <v>182</v>
      </c>
      <c r="F22" s="4" t="n">
        <v>13</v>
      </c>
      <c r="G22" s="4" t="n">
        <v>0</v>
      </c>
      <c r="H22" s="4" t="n">
        <v>1</v>
      </c>
      <c r="I22" s="4" t="n">
        <v>0</v>
      </c>
      <c r="J22" s="4" t="n">
        <v>0</v>
      </c>
      <c r="K22" s="4" t="n">
        <v>0</v>
      </c>
      <c r="L22" s="4" t="n">
        <v>1</v>
      </c>
      <c r="M22" s="4" t="n">
        <v>2</v>
      </c>
      <c r="N22" s="4" t="n">
        <v>13</v>
      </c>
      <c r="O22" s="4" t="n">
        <v>3</v>
      </c>
      <c r="P22" s="4" t="n">
        <v>0</v>
      </c>
      <c r="Q22" s="4" t="n">
        <v>0</v>
      </c>
      <c r="R22" s="4" t="n">
        <v>475</v>
      </c>
      <c r="S22" s="4" t="n">
        <v>0</v>
      </c>
      <c r="T22" s="4" t="n">
        <v>0</v>
      </c>
      <c r="U22" s="4" t="n">
        <v>484</v>
      </c>
      <c r="V22" s="4" t="n">
        <v>0</v>
      </c>
      <c r="W22" s="4">
        <f>SUM(C22:Q22)-R22</f>
        <v/>
      </c>
    </row>
    <row r="23">
      <c r="A23" s="4" t="n">
        <v>193</v>
      </c>
      <c r="B23" s="14" t="inlineStr">
        <is>
          <t>GHANPUR</t>
        </is>
      </c>
      <c r="C23" s="4" t="n">
        <v>39</v>
      </c>
      <c r="D23" s="4" t="n">
        <v>243</v>
      </c>
      <c r="E23" s="4" t="n">
        <v>110</v>
      </c>
      <c r="F23" s="4" t="n">
        <v>0</v>
      </c>
      <c r="G23" s="4" t="n">
        <v>4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17</v>
      </c>
      <c r="O23" s="4" t="n">
        <v>0</v>
      </c>
      <c r="P23" s="4" t="n">
        <v>0</v>
      </c>
      <c r="Q23" s="4" t="n">
        <v>0</v>
      </c>
      <c r="R23" s="4" t="n">
        <v>451</v>
      </c>
      <c r="S23" s="4" t="n">
        <v>0</v>
      </c>
      <c r="T23" s="4" t="n">
        <v>0</v>
      </c>
      <c r="U23" s="4" t="n">
        <v>455</v>
      </c>
      <c r="V23" s="4" t="n">
        <v>0</v>
      </c>
      <c r="W23" s="4">
        <f>SUM(C23:Q23)-R23</f>
        <v/>
      </c>
    </row>
    <row r="24">
      <c r="A24" s="4" t="n">
        <v>194</v>
      </c>
      <c r="B24" s="14" t="inlineStr">
        <is>
          <t>GHANPUR</t>
        </is>
      </c>
      <c r="C24" s="4" t="n">
        <v>89</v>
      </c>
      <c r="D24" s="4" t="n">
        <v>216</v>
      </c>
      <c r="E24" s="4" t="n">
        <v>292</v>
      </c>
      <c r="F24" s="4" t="n">
        <v>8</v>
      </c>
      <c r="G24" s="4" t="n">
        <v>2</v>
      </c>
      <c r="H24" s="4" t="n">
        <v>0</v>
      </c>
      <c r="I24" s="4" t="n">
        <v>2</v>
      </c>
      <c r="J24" s="4" t="n">
        <v>1</v>
      </c>
      <c r="K24" s="4" t="n">
        <v>1</v>
      </c>
      <c r="L24" s="4" t="n">
        <v>4</v>
      </c>
      <c r="M24" s="4" t="n">
        <v>4</v>
      </c>
      <c r="N24" s="4" t="n">
        <v>7</v>
      </c>
      <c r="O24" s="4" t="n">
        <v>0</v>
      </c>
      <c r="P24" s="4" t="n">
        <v>0</v>
      </c>
      <c r="Q24" s="4" t="n">
        <v>0</v>
      </c>
      <c r="R24" s="4" t="n">
        <v>648</v>
      </c>
      <c r="S24" s="4" t="n">
        <v>0</v>
      </c>
      <c r="T24" s="4" t="n">
        <v>0</v>
      </c>
      <c r="U24" s="4" t="n">
        <v>652</v>
      </c>
      <c r="V24" s="4" t="n">
        <v>0</v>
      </c>
      <c r="W24" s="4">
        <f>SUM(C24:Q24)-R24</f>
        <v/>
      </c>
    </row>
    <row r="25">
      <c r="A25" s="4" t="n">
        <v>195</v>
      </c>
      <c r="B25" s="14" t="inlineStr">
        <is>
          <t>GODISHALA</t>
        </is>
      </c>
      <c r="C25" s="4" t="n">
        <v>9</v>
      </c>
      <c r="D25" s="4" t="n">
        <v>41</v>
      </c>
      <c r="E25" s="4" t="n">
        <v>91</v>
      </c>
      <c r="F25" s="4" t="n">
        <v>1</v>
      </c>
      <c r="G25" s="4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3</v>
      </c>
      <c r="O25" s="4" t="n">
        <v>1</v>
      </c>
      <c r="P25" s="4" t="n">
        <v>0</v>
      </c>
      <c r="Q25" s="4" t="n">
        <v>0</v>
      </c>
      <c r="R25" s="4" t="n">
        <v>147</v>
      </c>
      <c r="S25" s="4" t="n">
        <v>0</v>
      </c>
      <c r="T25" s="4" t="n">
        <v>0</v>
      </c>
      <c r="U25" s="4" t="n">
        <v>148</v>
      </c>
      <c r="V25" s="4" t="n">
        <v>0</v>
      </c>
      <c r="W25" s="4">
        <f>SUM(C25:Q25)-R25</f>
        <v/>
      </c>
    </row>
    <row r="26">
      <c r="A26" s="4" t="n">
        <v>196</v>
      </c>
      <c r="B26" s="14" t="inlineStr">
        <is>
          <t>GODISHALA</t>
        </is>
      </c>
      <c r="C26" s="4" t="n">
        <v>141</v>
      </c>
      <c r="D26" s="4" t="n">
        <v>115</v>
      </c>
      <c r="E26" s="4" t="n">
        <v>170</v>
      </c>
      <c r="F26" s="4" t="n">
        <v>6</v>
      </c>
      <c r="G26" s="4" t="n">
        <v>3</v>
      </c>
      <c r="H26" s="4" t="n">
        <v>4</v>
      </c>
      <c r="I26" s="4" t="n">
        <v>0</v>
      </c>
      <c r="J26" s="4" t="n">
        <v>4</v>
      </c>
      <c r="K26" s="4" t="n">
        <v>0</v>
      </c>
      <c r="L26" s="4" t="n">
        <v>3</v>
      </c>
      <c r="M26" s="4" t="n">
        <v>2</v>
      </c>
      <c r="N26" s="4" t="n">
        <v>3</v>
      </c>
      <c r="O26" s="4" t="n">
        <v>3</v>
      </c>
      <c r="P26" s="4" t="n">
        <v>5</v>
      </c>
      <c r="Q26" s="4" t="n">
        <v>0</v>
      </c>
      <c r="R26" s="4" t="n">
        <v>458</v>
      </c>
      <c r="S26" s="4" t="n">
        <v>0</v>
      </c>
      <c r="T26" s="4" t="n">
        <v>10</v>
      </c>
      <c r="U26" s="4" t="n">
        <v>468</v>
      </c>
      <c r="V26" s="4" t="n">
        <v>0</v>
      </c>
      <c r="W26" s="4">
        <f>SUM(C26:Q26)-R26</f>
        <v/>
      </c>
    </row>
    <row r="27">
      <c r="A27" s="4" t="n">
        <v>197</v>
      </c>
      <c r="B27" s="14" t="inlineStr">
        <is>
          <t>CODA</t>
        </is>
      </c>
      <c r="C27" s="4" t="n">
        <v>137</v>
      </c>
      <c r="D27" s="4" t="n">
        <v>188</v>
      </c>
      <c r="E27" s="4" t="n">
        <v>263</v>
      </c>
      <c r="F27" s="4" t="n">
        <v>4</v>
      </c>
      <c r="G27" s="4" t="n">
        <v>1</v>
      </c>
      <c r="H27" s="4" t="n">
        <v>0</v>
      </c>
      <c r="I27" s="4" t="n">
        <v>2</v>
      </c>
      <c r="J27" s="4" t="n">
        <v>2</v>
      </c>
      <c r="K27" s="4" t="n">
        <v>0</v>
      </c>
      <c r="L27" s="4" t="n">
        <v>3</v>
      </c>
      <c r="M27" s="4" t="n">
        <v>5</v>
      </c>
      <c r="N27" s="4" t="n">
        <v>14</v>
      </c>
      <c r="O27" s="4" t="n">
        <v>11</v>
      </c>
      <c r="P27" s="4" t="n">
        <v>6</v>
      </c>
      <c r="Q27" s="4" t="n">
        <v>9</v>
      </c>
      <c r="R27" s="4" t="n">
        <v>0</v>
      </c>
      <c r="S27" s="4" t="n">
        <v>0</v>
      </c>
      <c r="T27" s="4" t="n">
        <v>11</v>
      </c>
      <c r="U27" s="4" t="n">
        <v>656</v>
      </c>
      <c r="V27" s="4" t="n">
        <v>0</v>
      </c>
      <c r="W27" s="4">
        <f>SUM(C27:Q27)-R27</f>
        <v/>
      </c>
    </row>
    <row r="28">
      <c r="A28" s="4" t="n">
        <v>198</v>
      </c>
      <c r="B28" s="14" t="inlineStr">
        <is>
          <t>SopRHALA</t>
        </is>
      </c>
      <c r="C28" s="4" t="n">
        <v>146</v>
      </c>
      <c r="D28" s="4" t="n">
        <v>99</v>
      </c>
      <c r="E28" s="4" t="n">
        <v>205</v>
      </c>
      <c r="F28" s="4" t="n">
        <v>2</v>
      </c>
      <c r="G28" s="4" t="n">
        <v>0</v>
      </c>
      <c r="H28" s="4" t="n">
        <v>0</v>
      </c>
      <c r="I28" s="4" t="n">
        <v>0</v>
      </c>
      <c r="J28" s="4" t="n">
        <v>1</v>
      </c>
      <c r="K28" s="4" t="n">
        <v>0</v>
      </c>
      <c r="L28" s="4" t="n">
        <v>1</v>
      </c>
      <c r="M28" s="4" t="n">
        <v>0</v>
      </c>
      <c r="N28" s="4" t="n">
        <v>5</v>
      </c>
      <c r="O28" s="4" t="n">
        <v>3</v>
      </c>
      <c r="P28" s="4" t="n">
        <v>2</v>
      </c>
      <c r="Q28" s="4" t="n">
        <v>2</v>
      </c>
      <c r="R28" s="4" t="n">
        <v>469</v>
      </c>
      <c r="S28" s="4" t="n">
        <v>0</v>
      </c>
      <c r="T28" s="4" t="n">
        <v>0</v>
      </c>
      <c r="U28" s="4" t="n">
        <v>474</v>
      </c>
      <c r="V28" s="4" t="n">
        <v>0</v>
      </c>
      <c r="W28" s="4">
        <f>SUM(C28:Q28)-R28</f>
        <v/>
      </c>
    </row>
    <row r="29">
      <c r="A29" s="4" t="n">
        <v>199</v>
      </c>
      <c r="B29" s="14" t="inlineStr">
        <is>
          <t>Payee Nai</t>
        </is>
      </c>
      <c r="C29" s="4" t="n">
        <v>212</v>
      </c>
      <c r="D29" s="4" t="n">
        <v>84</v>
      </c>
      <c r="E29" s="4" t="n">
        <v>247</v>
      </c>
      <c r="F29" s="4" t="n">
        <v>14</v>
      </c>
      <c r="G29" s="4" t="n">
        <v>2</v>
      </c>
      <c r="H29" s="4" t="n">
        <v>1</v>
      </c>
      <c r="I29" s="4" t="n">
        <v>1</v>
      </c>
      <c r="J29" s="4" t="n">
        <v>1</v>
      </c>
      <c r="K29" s="4" t="n">
        <v>5</v>
      </c>
      <c r="L29" s="4" t="n">
        <v>0</v>
      </c>
      <c r="M29" s="4" t="n">
        <v>0</v>
      </c>
      <c r="N29" s="4" t="n">
        <v>10</v>
      </c>
      <c r="O29" s="4" t="n">
        <v>3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598</v>
      </c>
      <c r="V29" s="4" t="n">
        <v>0</v>
      </c>
      <c r="W29" s="4">
        <f>SUM(C29:Q29)-R29</f>
        <v/>
      </c>
    </row>
    <row r="30">
      <c r="A30" s="4" t="n">
        <v>200</v>
      </c>
      <c r="B30" s="14" t="inlineStr">
        <is>
          <t>ELABOTHARAM</t>
        </is>
      </c>
      <c r="C30" s="4" t="n">
        <v>131</v>
      </c>
      <c r="D30" s="4" t="n">
        <v>70</v>
      </c>
      <c r="E30" s="4" t="n">
        <v>422</v>
      </c>
      <c r="F30" s="4" t="n">
        <v>13</v>
      </c>
      <c r="G30" s="4" t="n">
        <v>5</v>
      </c>
      <c r="H30" s="4" t="n">
        <v>3</v>
      </c>
      <c r="I30" s="4" t="n">
        <v>2</v>
      </c>
      <c r="J30" s="4" t="n">
        <v>1</v>
      </c>
      <c r="K30" s="4" t="n">
        <v>3</v>
      </c>
      <c r="L30" s="4" t="n">
        <v>0</v>
      </c>
      <c r="M30" s="4" t="n">
        <v>3</v>
      </c>
      <c r="N30" s="4" t="n">
        <v>8</v>
      </c>
      <c r="O30" s="4" t="n">
        <v>6</v>
      </c>
      <c r="P30" s="4" t="n">
        <v>3</v>
      </c>
      <c r="Q30" s="4" t="n">
        <v>10</v>
      </c>
      <c r="R30" s="4" t="n">
        <v>680</v>
      </c>
      <c r="S30" s="4" t="n">
        <v>0</v>
      </c>
      <c r="T30" s="4" t="n">
        <v>2</v>
      </c>
      <c r="U30" s="4" t="n">
        <v>683</v>
      </c>
      <c r="V30" s="4" t="n">
        <v>0</v>
      </c>
      <c r="W30" s="4">
        <f>SUM(C30:Q30)-R30</f>
        <v/>
      </c>
    </row>
    <row r="31">
      <c r="A31" s="4" t="n">
        <v>201</v>
      </c>
      <c r="B31" s="14" t="inlineStr">
        <is>
          <t>ELABOTHARAM</t>
        </is>
      </c>
      <c r="C31" s="4" t="n">
        <v>180</v>
      </c>
      <c r="D31" s="4" t="n">
        <v>192</v>
      </c>
      <c r="E31" s="4" t="n">
        <v>298</v>
      </c>
      <c r="F31" s="4" t="n">
        <v>4</v>
      </c>
      <c r="G31" s="4" t="n">
        <v>2</v>
      </c>
      <c r="H31" s="4" t="n">
        <v>3</v>
      </c>
      <c r="I31" s="4" t="n">
        <v>2</v>
      </c>
      <c r="J31" s="4" t="n">
        <v>2</v>
      </c>
      <c r="K31" s="4" t="n">
        <v>4</v>
      </c>
      <c r="L31" s="4" t="n">
        <v>3</v>
      </c>
      <c r="M31" s="4" t="n">
        <v>2</v>
      </c>
      <c r="N31" s="4" t="n">
        <v>13</v>
      </c>
      <c r="O31" s="4" t="n">
        <v>5</v>
      </c>
      <c r="P31" s="4" t="n">
        <v>1</v>
      </c>
      <c r="Q31" s="4" t="n">
        <v>3</v>
      </c>
      <c r="R31" s="4" t="n">
        <v>714</v>
      </c>
      <c r="S31" s="4" t="n">
        <v>0</v>
      </c>
      <c r="T31" s="4" t="n">
        <v>0</v>
      </c>
      <c r="U31" s="4" t="n">
        <v>717</v>
      </c>
      <c r="V31" s="4" t="n">
        <v>0</v>
      </c>
      <c r="W31" s="4">
        <f>SUM(C31:Q31)-R31</f>
        <v/>
      </c>
    </row>
    <row r="32">
      <c r="A32" s="4" t="n">
        <v>202</v>
      </c>
      <c r="B32" s="14" t="inlineStr">
        <is>
          <t>RAMACHANDRAPUR</t>
        </is>
      </c>
      <c r="C32" s="4" t="n">
        <v>41</v>
      </c>
      <c r="D32" s="4" t="n">
        <v>54</v>
      </c>
      <c r="E32" s="4" t="n">
        <v>148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251</v>
      </c>
      <c r="V32" s="4" t="n">
        <v>0</v>
      </c>
      <c r="W32" s="4">
        <f>SUM(C32:Q32)-R32</f>
        <v/>
      </c>
    </row>
    <row r="33">
      <c r="A33" s="4" t="n">
        <v>203</v>
      </c>
      <c r="B33" s="14" t="inlineStr">
        <is>
          <t>‘AMMANAGURTHI</t>
        </is>
      </c>
      <c r="C33" s="4" t="n">
        <v>316</v>
      </c>
      <c r="D33" s="4" t="n">
        <v>166</v>
      </c>
      <c r="E33" s="4" t="n">
        <v>329</v>
      </c>
      <c r="F33" s="4" t="n">
        <v>3</v>
      </c>
      <c r="G33" s="4" t="n">
        <v>1</v>
      </c>
      <c r="H33" s="4" t="n">
        <v>3</v>
      </c>
      <c r="I33" s="4" t="n">
        <v>0</v>
      </c>
      <c r="J33" s="4" t="n">
        <v>3</v>
      </c>
      <c r="K33" s="4" t="n">
        <v>3</v>
      </c>
      <c r="L33" s="4" t="n">
        <v>1</v>
      </c>
      <c r="M33" s="4" t="n">
        <v>2</v>
      </c>
      <c r="N33" s="4" t="n">
        <v>16</v>
      </c>
      <c r="O33" s="4" t="n">
        <v>3</v>
      </c>
      <c r="P33" s="4" t="n">
        <v>0</v>
      </c>
      <c r="Q33" s="4" t="n">
        <v>0</v>
      </c>
      <c r="R33" s="4" t="n">
        <v>858</v>
      </c>
      <c r="S33" s="4" t="n">
        <v>0</v>
      </c>
      <c r="T33" s="4" t="n">
        <v>0</v>
      </c>
      <c r="U33" s="4" t="n">
        <v>865</v>
      </c>
      <c r="V33" s="4" t="n">
        <v>0</v>
      </c>
      <c r="W33" s="4">
        <f>SUM(C33:Q33)-R33</f>
        <v/>
      </c>
    </row>
    <row r="34">
      <c r="A34" s="4" t="n">
        <v>204</v>
      </c>
      <c r="B34" s="14" t="inlineStr">
        <is>
          <t>AMMANAGURTHI</t>
        </is>
      </c>
      <c r="C34" s="4" t="n">
        <v>116</v>
      </c>
      <c r="D34" s="4" t="n">
        <v>236</v>
      </c>
      <c r="E34" s="4" t="n">
        <v>227</v>
      </c>
      <c r="F34" s="4" t="n">
        <v>2</v>
      </c>
      <c r="G34" s="4" t="n">
        <v>0</v>
      </c>
      <c r="H34" s="4" t="n">
        <v>1</v>
      </c>
      <c r="I34" s="4" t="n">
        <v>0</v>
      </c>
      <c r="J34" s="4" t="n">
        <v>2</v>
      </c>
      <c r="K34" s="4" t="n">
        <v>0</v>
      </c>
      <c r="L34" s="4" t="n">
        <v>1</v>
      </c>
      <c r="M34" s="4" t="n">
        <v>1</v>
      </c>
      <c r="N34" s="4" t="n">
        <v>10</v>
      </c>
      <c r="O34" s="4" t="n">
        <v>1</v>
      </c>
      <c r="P34" s="4" t="n">
        <v>0</v>
      </c>
      <c r="Q34" s="4" t="n">
        <v>0</v>
      </c>
      <c r="R34" s="4" t="n">
        <v>608</v>
      </c>
      <c r="S34" s="4" t="n">
        <v>0</v>
      </c>
      <c r="T34" s="4" t="n">
        <v>0</v>
      </c>
      <c r="U34" s="4" t="n">
        <v>616</v>
      </c>
      <c r="V34" s="4" t="n">
        <v>0</v>
      </c>
      <c r="W34" s="4">
        <f>SUM(C34:Q34)-R34</f>
        <v/>
      </c>
    </row>
    <row r="35">
      <c r="A35" s="4" t="n">
        <v>205</v>
      </c>
      <c r="B35" s="14" t="inlineStr">
        <is>
          <t>BOMMAKAL</t>
        </is>
      </c>
      <c r="C35" s="4" t="n">
        <v>158</v>
      </c>
      <c r="D35" s="4" t="n">
        <v>181</v>
      </c>
      <c r="E35" s="4" t="n">
        <v>239</v>
      </c>
      <c r="F35" s="4" t="n">
        <v>2</v>
      </c>
      <c r="G35" s="4" t="n">
        <v>4</v>
      </c>
      <c r="H35" s="4" t="n">
        <v>4</v>
      </c>
      <c r="I35" s="4" t="n">
        <v>3</v>
      </c>
      <c r="J35" s="4" t="n">
        <v>1</v>
      </c>
      <c r="K35" s="4" t="n">
        <v>0</v>
      </c>
      <c r="L35" s="4" t="n">
        <v>1</v>
      </c>
      <c r="M35" s="4" t="n">
        <v>5</v>
      </c>
      <c r="N35" s="4" t="n">
        <v>11</v>
      </c>
      <c r="O35" s="4" t="n">
        <v>1</v>
      </c>
      <c r="P35" s="4" t="n">
        <v>2</v>
      </c>
      <c r="Q35" s="4" t="n">
        <v>8</v>
      </c>
      <c r="R35" s="4" t="n">
        <v>617</v>
      </c>
      <c r="S35" s="4" t="n">
        <v>0</v>
      </c>
      <c r="T35" s="4" t="n">
        <v>3</v>
      </c>
      <c r="U35" s="4" t="n">
        <v>622</v>
      </c>
      <c r="V35" s="4" t="n">
        <v>0</v>
      </c>
      <c r="W35" s="4">
        <f>SUM(C35:Q35)-R35</f>
        <v/>
      </c>
    </row>
    <row r="36">
      <c r="A36" s="4" t="n">
        <v>206</v>
      </c>
      <c r="B36" s="14" t="inlineStr">
        <is>
          <t>BOMMAKAL</t>
        </is>
      </c>
      <c r="C36" s="4" t="n">
        <v>147</v>
      </c>
      <c r="D36" s="4" t="n">
        <v>187</v>
      </c>
      <c r="E36" s="4" t="n">
        <v>291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4</v>
      </c>
      <c r="L36" s="4" t="n">
        <v>0</v>
      </c>
      <c r="M36" s="4" t="n">
        <v>2</v>
      </c>
      <c r="N36" s="4" t="n">
        <v>18</v>
      </c>
      <c r="O36" s="4" t="n">
        <v>5</v>
      </c>
      <c r="P36" s="4" t="n">
        <v>9</v>
      </c>
      <c r="Q36" s="4" t="n">
        <v>2</v>
      </c>
      <c r="R36" s="4" t="n">
        <v>689</v>
      </c>
      <c r="S36" s="4" t="n">
        <v>0</v>
      </c>
      <c r="T36" s="4" t="n">
        <v>1</v>
      </c>
      <c r="U36" s="4" t="n">
        <v>704</v>
      </c>
      <c r="V36" s="4" t="n">
        <v>0</v>
      </c>
      <c r="W36" s="4">
        <f>SUM(C36:Q36)-R36</f>
        <v/>
      </c>
    </row>
    <row r="37">
      <c r="A37" s="4" t="n">
        <v>207</v>
      </c>
      <c r="B37" s="14" t="inlineStr">
        <is>
          <t>BOMMAKAL</t>
        </is>
      </c>
      <c r="C37" s="4" t="n">
        <v>165</v>
      </c>
      <c r="D37" s="4" t="n">
        <v>146</v>
      </c>
      <c r="E37" s="4" t="n">
        <v>239</v>
      </c>
      <c r="F37" s="4" t="n">
        <v>5</v>
      </c>
      <c r="G37" s="4" t="n">
        <v>1</v>
      </c>
      <c r="H37" s="4" t="n">
        <v>4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2</v>
      </c>
      <c r="N37" s="4" t="n">
        <v>6</v>
      </c>
      <c r="O37" s="4" t="n">
        <v>5</v>
      </c>
      <c r="P37" s="4" t="n">
        <v>4</v>
      </c>
      <c r="Q37" s="4" t="n">
        <v>2</v>
      </c>
      <c r="R37" s="4" t="n">
        <v>0</v>
      </c>
      <c r="S37" s="4" t="n">
        <v>0</v>
      </c>
      <c r="T37" s="4" t="n">
        <v>0</v>
      </c>
      <c r="U37" s="4" t="n">
        <v>582</v>
      </c>
      <c r="V37" s="4" t="n">
        <v>0</v>
      </c>
      <c r="W37" s="4">
        <f>SUM(C37:Q37)-R37</f>
        <v/>
      </c>
    </row>
    <row r="38">
      <c r="A38" s="4" t="n">
        <v>208</v>
      </c>
      <c r="B38" s="14" t="inlineStr">
        <is>
          <t>RAIKAL 7</t>
        </is>
      </c>
      <c r="C38" s="4" t="n">
        <v>106</v>
      </c>
      <c r="D38" s="4" t="n">
        <v>197</v>
      </c>
      <c r="E38" s="4" t="n">
        <v>185</v>
      </c>
      <c r="F38" s="4" t="n">
        <v>3</v>
      </c>
      <c r="G38" s="4" t="n">
        <v>2</v>
      </c>
      <c r="H38" s="4" t="n">
        <v>2</v>
      </c>
      <c r="I38" s="4" t="n">
        <v>9</v>
      </c>
      <c r="J38" s="4" t="n">
        <v>1</v>
      </c>
      <c r="K38" s="4" t="n">
        <v>2</v>
      </c>
      <c r="L38" s="4" t="n">
        <v>3</v>
      </c>
      <c r="M38" s="4" t="n">
        <v>3</v>
      </c>
      <c r="N38" s="4" t="n">
        <v>14</v>
      </c>
      <c r="O38" s="4" t="n">
        <v>3</v>
      </c>
      <c r="P38" s="4" t="n">
        <v>0</v>
      </c>
      <c r="Q38" s="4" t="n">
        <v>2</v>
      </c>
      <c r="R38" s="4" t="n">
        <v>533</v>
      </c>
      <c r="S38" s="4" t="n">
        <v>0</v>
      </c>
      <c r="T38" s="4" t="n">
        <v>0</v>
      </c>
      <c r="U38" s="4" t="n">
        <v>537</v>
      </c>
      <c r="V38" s="4" t="n">
        <v>0</v>
      </c>
      <c r="W38" s="4">
        <f>SUM(C38:Q38)-R38</f>
        <v/>
      </c>
    </row>
    <row r="39">
      <c r="A39" s="4" t="n">
        <v>209</v>
      </c>
      <c r="B39" s="14" t="inlineStr">
        <is>
          <t>RAIKAL 7</t>
        </is>
      </c>
      <c r="C39" s="4" t="n">
        <v>101</v>
      </c>
      <c r="D39" s="4" t="n">
        <v>129</v>
      </c>
      <c r="E39" s="4" t="n">
        <v>137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0</v>
      </c>
      <c r="N39" s="4" t="n">
        <v>3</v>
      </c>
      <c r="O39" s="4" t="n">
        <v>1</v>
      </c>
      <c r="P39" s="4" t="n">
        <v>2</v>
      </c>
      <c r="Q39" s="4" t="n">
        <v>0</v>
      </c>
      <c r="R39" s="4" t="n">
        <v>378</v>
      </c>
      <c r="S39" s="4" t="n">
        <v>0</v>
      </c>
      <c r="T39" s="4" t="n">
        <v>0</v>
      </c>
      <c r="U39" s="4" t="n">
        <v>382</v>
      </c>
      <c r="V39" s="4" t="n">
        <v>0</v>
      </c>
      <c r="W39" s="4">
        <f>SUM(C39:Q39)-R39</f>
        <v/>
      </c>
    </row>
    <row r="40">
      <c r="A40" s="4" t="n">
        <v>210</v>
      </c>
      <c r="B40" s="14" t="inlineStr">
        <is>
          <t>VANGARA</t>
        </is>
      </c>
      <c r="C40" s="4" t="n">
        <v>182</v>
      </c>
      <c r="D40" s="4" t="n">
        <v>92</v>
      </c>
      <c r="E40" s="4" t="n">
        <v>138</v>
      </c>
      <c r="F40" s="4" t="n">
        <v>8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1</v>
      </c>
      <c r="L40" s="4" t="n">
        <v>3</v>
      </c>
      <c r="M40" s="4" t="n">
        <v>0</v>
      </c>
      <c r="N40" s="4" t="n">
        <v>5</v>
      </c>
      <c r="O40" s="4" t="n">
        <v>3</v>
      </c>
      <c r="P40" s="4" t="n">
        <v>0</v>
      </c>
      <c r="Q40" s="4" t="n">
        <v>2</v>
      </c>
      <c r="R40" s="4" t="n">
        <v>4</v>
      </c>
      <c r="S40" s="4" t="n">
        <v>0</v>
      </c>
      <c r="T40" s="4" t="n">
        <v>0</v>
      </c>
      <c r="U40" s="4" t="n">
        <v>446</v>
      </c>
      <c r="V40" s="4" t="n">
        <v>0</v>
      </c>
      <c r="W40" s="4">
        <f>SUM(C40:Q40)-R40</f>
        <v/>
      </c>
    </row>
    <row r="41">
      <c r="A41" s="4" t="n">
        <v>211</v>
      </c>
      <c r="B41" s="14" t="inlineStr">
        <is>
          <t>VANGARA</t>
        </is>
      </c>
      <c r="C41" s="4" t="n">
        <v>50</v>
      </c>
      <c r="D41" s="4" t="n">
        <v>230</v>
      </c>
      <c r="E41" s="4" t="n">
        <v>352</v>
      </c>
      <c r="F41" s="4" t="n">
        <v>0</v>
      </c>
      <c r="G41" s="4" t="n">
        <v>2</v>
      </c>
      <c r="H41" s="4" t="n">
        <v>2</v>
      </c>
      <c r="I41" s="4" t="n">
        <v>2</v>
      </c>
      <c r="J41" s="4" t="n">
        <v>0</v>
      </c>
      <c r="K41" s="4" t="n">
        <v>2</v>
      </c>
      <c r="L41" s="4" t="n">
        <v>3</v>
      </c>
      <c r="M41" s="4" t="n">
        <v>2</v>
      </c>
      <c r="N41" s="4" t="n">
        <v>26</v>
      </c>
      <c r="O41" s="4" t="n">
        <v>5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698</v>
      </c>
      <c r="V41" s="4" t="n">
        <v>0</v>
      </c>
      <c r="W41" s="4">
        <f>SUM(C41:Q41)-R41</f>
        <v/>
      </c>
    </row>
    <row r="42">
      <c r="A42" s="4" t="n">
        <v>212</v>
      </c>
      <c r="B42" s="14" t="inlineStr">
        <is>
          <t>KANGARA TS</t>
        </is>
      </c>
      <c r="C42" s="4" t="n">
        <v>2</v>
      </c>
      <c r="D42" s="4" t="n">
        <v>3</v>
      </c>
      <c r="E42" s="4" t="n">
        <v>4</v>
      </c>
      <c r="F42" s="4" t="n">
        <v>5</v>
      </c>
      <c r="G42" s="4" t="n">
        <v>6</v>
      </c>
      <c r="H42" s="4" t="n">
        <v>0</v>
      </c>
      <c r="I42" s="4" t="n">
        <v>8</v>
      </c>
      <c r="J42" s="4" t="n">
        <v>9</v>
      </c>
      <c r="K42" s="4" t="n">
        <v>10</v>
      </c>
      <c r="L42" s="4" t="n">
        <v>4</v>
      </c>
      <c r="M42" s="4" t="n">
        <v>12</v>
      </c>
      <c r="N42" s="4" t="n">
        <v>3</v>
      </c>
      <c r="O42" s="4" t="n">
        <v>0</v>
      </c>
      <c r="P42" s="4" t="n">
        <v>15</v>
      </c>
      <c r="Q42" s="4" t="n">
        <v>16</v>
      </c>
      <c r="R42" s="4" t="n">
        <v>17</v>
      </c>
      <c r="S42" s="4" t="n">
        <v>18</v>
      </c>
      <c r="T42" s="4" t="n">
        <v>19</v>
      </c>
      <c r="U42" s="4" t="n">
        <v>20</v>
      </c>
      <c r="V42" s="4" t="n">
        <v>21</v>
      </c>
      <c r="W42" s="4">
        <f>SUM(C42:Q42)-R42</f>
        <v/>
      </c>
    </row>
    <row r="43">
      <c r="A43" s="4" t="n">
        <v>240</v>
      </c>
      <c r="B43" s="14" t="inlineStr">
        <is>
          <t>KOTHAKONDA</t>
        </is>
      </c>
      <c r="C43" s="4" t="n">
        <v>140</v>
      </c>
      <c r="D43" s="4" t="n">
        <v>103</v>
      </c>
      <c r="E43" s="4" t="n">
        <v>366</v>
      </c>
      <c r="F43" s="4" t="n">
        <v>4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3</v>
      </c>
      <c r="N43" s="4" t="n">
        <v>13</v>
      </c>
      <c r="O43" s="4" t="n">
        <v>0</v>
      </c>
      <c r="P43" s="4" t="n">
        <v>0</v>
      </c>
      <c r="Q43" s="4" t="n">
        <v>0</v>
      </c>
      <c r="R43" s="4" t="n">
        <v>650</v>
      </c>
      <c r="S43" s="4" t="n">
        <v>0</v>
      </c>
      <c r="T43" s="4" t="n">
        <v>10</v>
      </c>
      <c r="U43" s="4" t="n">
        <v>660</v>
      </c>
      <c r="V43" s="4" t="n">
        <v>0</v>
      </c>
      <c r="W43" s="4">
        <f>SUM(C43:Q43)-R43</f>
        <v/>
      </c>
    </row>
    <row r="44">
      <c r="A44" s="4" t="n">
        <v>241</v>
      </c>
      <c r="B44" s="14" t="inlineStr">
        <is>
          <t>KOTHAKONDA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8</v>
      </c>
      <c r="J44" s="4" t="n">
        <v>3</v>
      </c>
      <c r="K44" s="4" t="n">
        <v>10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18</v>
      </c>
      <c r="T44" s="4" t="n">
        <v>0</v>
      </c>
      <c r="U44" s="4" t="n">
        <v>0</v>
      </c>
      <c r="V44" s="4" t="n">
        <v>0</v>
      </c>
      <c r="W44" s="4">
        <f>SUM(C44:Q44)-R44</f>
        <v/>
      </c>
    </row>
    <row r="45">
      <c r="A45" s="7" t="inlineStr">
        <is>
          <t>TOTAL EVM VOTES</t>
        </is>
      </c>
      <c r="B45" t="inlineStr"/>
      <c r="C45" s="8">
        <f>SUM(C6:C44)</f>
        <v/>
      </c>
      <c r="D45" s="8">
        <f>SUM(D6:D44)</f>
        <v/>
      </c>
      <c r="E45" s="8">
        <f>SUM(E6:E44)</f>
        <v/>
      </c>
      <c r="F45" s="8">
        <f>SUM(F6:F44)</f>
        <v/>
      </c>
      <c r="G45" s="8">
        <f>SUM(G6:G44)</f>
        <v/>
      </c>
      <c r="H45" s="8">
        <f>SUM(H6:H44)</f>
        <v/>
      </c>
      <c r="I45" s="8">
        <f>SUM(I6:I44)</f>
        <v/>
      </c>
      <c r="J45" s="8">
        <f>SUM(J6:J44)</f>
        <v/>
      </c>
      <c r="K45" s="8">
        <f>SUM(K6:K44)</f>
        <v/>
      </c>
      <c r="L45" s="8">
        <f>SUM(L6:L44)</f>
        <v/>
      </c>
      <c r="M45" s="8">
        <f>SUM(M6:M44)</f>
        <v/>
      </c>
      <c r="N45" s="8">
        <f>SUM(N6:N44)</f>
        <v/>
      </c>
      <c r="O45" s="8">
        <f>SUM(O6:O44)</f>
        <v/>
      </c>
      <c r="P45" s="8">
        <f>SUM(P6:P44)</f>
        <v/>
      </c>
      <c r="Q45" s="8">
        <f>SUM(Q6:Q44)</f>
        <v/>
      </c>
      <c r="R45" s="8">
        <f>SUM(R6:R44)</f>
        <v/>
      </c>
      <c r="S45" s="8">
        <f>SUM(S6:S44)</f>
        <v/>
      </c>
      <c r="T45" s="8">
        <f>SUM(T6:T44)</f>
        <v/>
      </c>
      <c r="U45" s="8">
        <f>R45+S45</f>
        <v/>
      </c>
      <c r="V45" s="8">
        <f>SUM(V6:V44)</f>
        <v/>
      </c>
      <c r="W45" s="8">
        <f>SUM(C45:Q45)-R45</f>
        <v/>
      </c>
    </row>
    <row r="46">
      <c r="A46" s="9" t="inlineStr">
        <is>
          <t>POSTAL BALLOT VOTES</t>
        </is>
      </c>
      <c r="B46" t="inlineStr"/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</row>
    <row r="47">
      <c r="A47" s="11" t="inlineStr">
        <is>
          <t>TOTAL VOTES POLLED</t>
        </is>
      </c>
      <c r="B47" t="inlineStr"/>
      <c r="C47" s="12">
        <f>C45+C46</f>
        <v/>
      </c>
      <c r="D47" s="12">
        <f>D45+D46</f>
        <v/>
      </c>
      <c r="E47" s="12">
        <f>E45+E46</f>
        <v/>
      </c>
      <c r="F47" s="12">
        <f>F45+F46</f>
        <v/>
      </c>
      <c r="G47" s="12">
        <f>G45+G46</f>
        <v/>
      </c>
      <c r="H47" s="12">
        <f>H45+H46</f>
        <v/>
      </c>
      <c r="I47" s="12">
        <f>I45+I46</f>
        <v/>
      </c>
      <c r="J47" s="12">
        <f>J45+J46</f>
        <v/>
      </c>
      <c r="K47" s="12">
        <f>K45+K46</f>
        <v/>
      </c>
      <c r="L47" s="12">
        <f>L45+L46</f>
        <v/>
      </c>
      <c r="M47" s="12">
        <f>M45+M46</f>
        <v/>
      </c>
      <c r="N47" s="12">
        <f>N45+N46</f>
        <v/>
      </c>
      <c r="O47" s="12">
        <f>O45+O46</f>
        <v/>
      </c>
      <c r="P47" s="12">
        <f>P45+P46</f>
        <v/>
      </c>
      <c r="Q47" s="12">
        <f>Q45+Q46</f>
        <v/>
      </c>
      <c r="R47" s="12">
        <f>R45+R46</f>
        <v/>
      </c>
      <c r="S47" s="12">
        <f>S45+S46</f>
        <v/>
      </c>
      <c r="T47" s="12">
        <f>T45+T46</f>
        <v/>
      </c>
      <c r="U47" s="12">
        <f>U45+U46</f>
        <v/>
      </c>
      <c r="V47" s="12">
        <f>V45+V46</f>
        <v/>
      </c>
      <c r="W47" s="12">
        <f>SUM(C47:Q47)-R47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2026-09-13T12:51:11Z</dcterms:created>
  <dcterms:modified xsi:type="dcterms:W3CDTF">2026-09-14T02:41:48Z</dcterms:modified>
</cp:coreProperties>
</file>