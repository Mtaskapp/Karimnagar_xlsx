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-Karimnagar" sheetId="1" state="visible" r:id="rId1"/>
    <sheet name="27-Choppadandi" sheetId="2" state="visible" r:id="rId2"/>
    <sheet name="28-Vemulawada" sheetId="3" state="visible" r:id="rId3"/>
    <sheet name="29-Sircilla" sheetId="4" state="visible" r:id="rId4"/>
    <sheet name="Form_20_Data" sheetId="5" state="visible" r:id="rId5"/>
    <sheet name="31-Huzurabad" sheetId="6" state="visible" r:id="rId6"/>
    <sheet name="Form_20_Data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Calibri"/>
      <color theme="1"/>
      <sz val="11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1B365D"/>
        <bgColor rgb="001F497D"/>
      </patternFill>
    </fill>
    <fill>
      <patternFill patternType="solid">
        <fgColor rgb="001B365D"/>
        <bgColor rgb="001B365D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3" fontId="6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0" fontId="2" fillId="4" borderId="1" pivotButton="0" quotePrefix="0" xfId="0"/>
    <xf numFmtId="3" fontId="7" fillId="4" borderId="2" applyAlignment="1" pivotButton="0" quotePrefix="0" xfId="0">
      <alignment horizontal="right"/>
    </xf>
    <xf numFmtId="3" fontId="7" fillId="4" borderId="3" applyAlignment="1" pivotButton="0" quotePrefix="0" xfId="0">
      <alignment horizontal="right"/>
    </xf>
    <xf numFmtId="0" fontId="8" fillId="0" borderId="1" pivotButton="0" quotePrefix="0" xfId="0"/>
    <xf numFmtId="0" fontId="9" fillId="5" borderId="2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/>
    </xf>
    <xf numFmtId="3" fontId="10" fillId="0" borderId="2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/>
    </xf>
    <xf numFmtId="0" fontId="2" fillId="4" borderId="5" pivotButton="0" quotePrefix="0" xfId="0"/>
    <xf numFmtId="0" fontId="7" fillId="4" borderId="4" applyAlignment="1" pivotButton="0" quotePrefix="0" xfId="0">
      <alignment horizontal="left"/>
    </xf>
    <xf numFmtId="0" fontId="2" fillId="4" borderId="4" pivotButton="0" quotePrefix="0" xfId="0"/>
    <xf numFmtId="0" fontId="7" fillId="4" borderId="6" applyAlignment="1" pivotButton="0" quotePrefix="0" xfId="0">
      <alignment horizontal="left"/>
    </xf>
    <xf numFmtId="0" fontId="2" fillId="4" borderId="6" pivotButton="0" quotePrefix="0" xfId="0"/>
    <xf numFmtId="0" fontId="1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0" customWidth="1" min="4" max="4"/>
    <col width="19" customWidth="1" min="5" max="5"/>
    <col width="21" customWidth="1" min="6" max="6"/>
    <col width="18" customWidth="1" min="7" max="7"/>
    <col width="18" customWidth="1" min="8" max="8"/>
    <col width="24" customWidth="1" min="9" max="9"/>
    <col width="30" customWidth="1" min="10" max="10"/>
    <col width="16" customWidth="1" min="11" max="11"/>
    <col width="25" customWidth="1" min="12" max="12"/>
    <col width="19" customWidth="1" min="13" max="13"/>
    <col width="20" customWidth="1" min="14" max="14"/>
    <col width="21" customWidth="1" min="15" max="15"/>
    <col width="19" customWidth="1" min="16" max="16"/>
    <col width="19" customWidth="1" min="17" max="17"/>
    <col width="23" customWidth="1" min="18" max="18"/>
    <col width="21" customWidth="1" min="19" max="19"/>
    <col width="16" customWidth="1" min="20" max="20"/>
    <col width="18" customWidth="1" min="21" max="21"/>
    <col width="17" customWidth="1" min="22" max="22"/>
    <col width="16" customWidth="1" min="23" max="23"/>
    <col width="25" customWidth="1" min="24" max="24"/>
    <col width="23" customWidth="1" min="25" max="25"/>
    <col width="20" customWidth="1" min="26" max="26"/>
    <col width="18" customWidth="1" min="27" max="27"/>
    <col width="20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Telangana Legislative Assembly General Election 2018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>
        <is>
          <t>26-Karimnagar Assembly Constituency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ANAGANDULA VENKANNA</t>
        </is>
      </c>
      <c r="D5" s="6" t="inlineStr">
        <is>
          <t>GANGULA KAMALAKAR</t>
        </is>
      </c>
      <c r="E5" s="6" t="inlineStr">
        <is>
          <t>PONNAM PRABHAKAR</t>
        </is>
      </c>
      <c r="F5" s="6" t="inlineStr">
        <is>
          <t>BANDI SANJAY KUMAR</t>
        </is>
      </c>
      <c r="G5" s="6" t="inlineStr">
        <is>
          <t>T. ARUNA JYOTHI</t>
        </is>
      </c>
      <c r="H5" s="6" t="inlineStr">
        <is>
          <t>EDAVELLY RAMESH</t>
        </is>
      </c>
      <c r="I5" s="6" t="inlineStr">
        <is>
          <t>KANUGULA NAVEEN KUMAR</t>
        </is>
      </c>
      <c r="J5" s="6" t="inlineStr">
        <is>
          <t>TEJ DEEP REDDY KOMATI REDDY</t>
        </is>
      </c>
      <c r="K5" s="6" t="inlineStr">
        <is>
          <t>DURGAM MOHAN</t>
        </is>
      </c>
      <c r="L5" s="6" t="inlineStr">
        <is>
          <t>MOLUMOORI DEENA DESHAI</t>
        </is>
      </c>
      <c r="M5" s="6" t="inlineStr">
        <is>
          <t>YANAMALA MANJULA</t>
        </is>
      </c>
      <c r="N5" s="6" t="inlineStr">
        <is>
          <t>WASEEMUDDIN AHMED</t>
        </is>
      </c>
      <c r="O5" s="6" t="inlineStr">
        <is>
          <t>SOMIDI VENU PRASAD</t>
        </is>
      </c>
      <c r="P5" s="6" t="inlineStr">
        <is>
          <t>KOTA SHYAM KUMAR</t>
        </is>
      </c>
      <c r="Q5" s="6" t="inlineStr">
        <is>
          <t>CHEEKOTI RAMESH.</t>
        </is>
      </c>
      <c r="R5" s="6" t="inlineStr">
        <is>
          <t>DURVASA REDDY PAKALA</t>
        </is>
      </c>
      <c r="S5" s="6" t="inlineStr">
        <is>
          <t>NAGUNOORI YELLAIAH</t>
        </is>
      </c>
      <c r="T5" s="6" t="inlineStr">
        <is>
          <t>K. NAGESH</t>
        </is>
      </c>
      <c r="U5" s="6" t="inlineStr">
        <is>
          <t>PULIKOTA RAMESH</t>
        </is>
      </c>
      <c r="V5" s="6" t="inlineStr">
        <is>
          <t>BANDI SRINIVAS</t>
        </is>
      </c>
      <c r="W5" s="6" t="inlineStr">
        <is>
          <t>MANETI RAJU</t>
        </is>
      </c>
      <c r="X5" s="6" t="inlineStr">
        <is>
          <t>MAMINDLA SANDEEP KUMAR</t>
        </is>
      </c>
      <c r="Y5" s="6" t="inlineStr">
        <is>
          <t>MUSKU MAHENDER REDDY</t>
        </is>
      </c>
      <c r="Z5" s="6" t="inlineStr">
        <is>
          <t>VURUMALLA VISHWAM</t>
        </is>
      </c>
      <c r="AA5" s="6" t="inlineStr">
        <is>
          <t>P. SANTHOSH</t>
        </is>
      </c>
      <c r="AB5" s="5" t="inlineStr">
        <is>
          <t>Total_Valid_Votes</t>
        </is>
      </c>
      <c r="AC5" s="5" t="inlineStr">
        <is>
          <t>Rejected_Votes</t>
        </is>
      </c>
      <c r="AD5" s="5" t="inlineStr">
        <is>
          <t>NOTA</t>
        </is>
      </c>
      <c r="AE5" s="5" t="inlineStr">
        <is>
          <t>Total_Votes</t>
        </is>
      </c>
      <c r="AF5" s="5" t="inlineStr">
        <is>
          <t>Tendered_Votes</t>
        </is>
      </c>
    </row>
    <row r="6">
      <c r="A6" s="7" t="n">
        <v>1</v>
      </c>
      <c r="B6" s="8" t="inlineStr">
        <is>
          <t>Polling Station 1</t>
        </is>
      </c>
      <c r="C6" s="9" t="n">
        <v>0</v>
      </c>
      <c r="D6" s="9" t="n">
        <v>4</v>
      </c>
      <c r="E6" s="9" t="n">
        <v>5</v>
      </c>
      <c r="F6" s="9" t="n">
        <v>6</v>
      </c>
      <c r="G6" s="9" t="n">
        <v>0</v>
      </c>
      <c r="H6" s="9" t="n">
        <v>0</v>
      </c>
      <c r="I6" s="9" t="n">
        <v>9</v>
      </c>
      <c r="J6" s="9" t="n">
        <v>10</v>
      </c>
      <c r="K6" s="9" t="n">
        <v>11</v>
      </c>
      <c r="L6" s="9" t="n">
        <v>0</v>
      </c>
      <c r="M6" s="9" t="n">
        <v>13</v>
      </c>
      <c r="N6" s="9" t="n">
        <v>14</v>
      </c>
      <c r="O6" s="9" t="n">
        <v>15</v>
      </c>
      <c r="P6" s="9" t="n">
        <v>16</v>
      </c>
      <c r="Q6" s="9" t="n">
        <v>17</v>
      </c>
      <c r="R6" s="9" t="n">
        <v>18</v>
      </c>
      <c r="S6" s="9" t="n">
        <v>19</v>
      </c>
      <c r="T6" s="9" t="n">
        <v>20</v>
      </c>
      <c r="U6" s="9" t="n">
        <v>21</v>
      </c>
      <c r="V6" s="9" t="n">
        <v>22</v>
      </c>
      <c r="W6" s="9" t="n">
        <v>23</v>
      </c>
      <c r="X6" s="9" t="n">
        <v>24</v>
      </c>
      <c r="Y6" s="9" t="n">
        <v>25</v>
      </c>
      <c r="Z6" s="9" t="n">
        <v>26</v>
      </c>
      <c r="AA6" s="9" t="n">
        <v>0</v>
      </c>
      <c r="AB6" s="10" t="n">
        <v>318</v>
      </c>
      <c r="AC6" s="10" t="n">
        <v>29</v>
      </c>
      <c r="AD6" s="10" t="n">
        <v>30</v>
      </c>
      <c r="AE6" s="10" t="n">
        <v>377</v>
      </c>
      <c r="AF6" s="10" t="n">
        <v>0</v>
      </c>
    </row>
    <row r="7">
      <c r="A7" s="7" t="n">
        <v>2</v>
      </c>
      <c r="B7" s="8" t="inlineStr">
        <is>
          <t>Polling Station 2</t>
        </is>
      </c>
      <c r="C7" s="9" t="n">
        <v>368</v>
      </c>
      <c r="D7" s="9" t="n">
        <v>137</v>
      </c>
      <c r="E7" s="9" t="n">
        <v>272</v>
      </c>
      <c r="F7" s="9" t="n">
        <v>12</v>
      </c>
      <c r="G7" s="9" t="n">
        <v>21</v>
      </c>
      <c r="H7" s="9" t="n">
        <v>0</v>
      </c>
      <c r="I7" s="9" t="n">
        <v>0</v>
      </c>
      <c r="J7" s="9" t="n">
        <v>0</v>
      </c>
      <c r="K7" s="9" t="n">
        <v>7</v>
      </c>
      <c r="L7" s="9" t="n">
        <v>2</v>
      </c>
      <c r="M7" s="9" t="n">
        <v>4</v>
      </c>
      <c r="N7" s="9" t="n">
        <v>6</v>
      </c>
      <c r="O7" s="9" t="n">
        <v>3</v>
      </c>
      <c r="P7" s="9" t="n">
        <v>7</v>
      </c>
      <c r="Q7" s="9" t="n">
        <v>8</v>
      </c>
      <c r="R7" s="9" t="n">
        <v>7</v>
      </c>
      <c r="S7" s="9" t="n">
        <v>11</v>
      </c>
      <c r="T7" s="9" t="n">
        <v>2</v>
      </c>
      <c r="U7" s="9" t="n">
        <v>1</v>
      </c>
      <c r="V7" s="9" t="n">
        <v>2</v>
      </c>
      <c r="W7" s="9" t="n">
        <v>0</v>
      </c>
      <c r="X7" s="9" t="n">
        <v>2</v>
      </c>
      <c r="Y7" s="9" t="n">
        <v>0</v>
      </c>
      <c r="Z7" s="9" t="n">
        <v>1</v>
      </c>
      <c r="AA7" s="9" t="n">
        <v>887</v>
      </c>
      <c r="AB7" s="10" t="n">
        <v>1760</v>
      </c>
      <c r="AC7" s="10" t="n">
        <v>0</v>
      </c>
      <c r="AD7" s="10" t="n">
        <v>0</v>
      </c>
      <c r="AE7" s="10" t="n">
        <v>1760</v>
      </c>
      <c r="AF7" s="10" t="n">
        <v>0</v>
      </c>
    </row>
    <row r="8">
      <c r="A8" s="7" t="n">
        <v>3</v>
      </c>
      <c r="B8" s="8" t="inlineStr">
        <is>
          <t>Polling Station 3</t>
        </is>
      </c>
      <c r="C8" s="9" t="n">
        <v>314</v>
      </c>
      <c r="D8" s="9" t="n">
        <v>187</v>
      </c>
      <c r="E8" s="9" t="n">
        <v>232</v>
      </c>
      <c r="F8" s="9" t="n">
        <v>4</v>
      </c>
      <c r="G8" s="9" t="n">
        <v>8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2</v>
      </c>
      <c r="O8" s="9" t="n">
        <v>0</v>
      </c>
      <c r="P8" s="9" t="n">
        <v>2</v>
      </c>
      <c r="Q8" s="9" t="n">
        <v>5</v>
      </c>
      <c r="R8" s="9" t="n">
        <v>4</v>
      </c>
      <c r="S8" s="9" t="n">
        <v>16</v>
      </c>
      <c r="T8" s="9" t="n">
        <v>1</v>
      </c>
      <c r="U8" s="9" t="n">
        <v>1</v>
      </c>
      <c r="V8" s="9" t="n">
        <v>1</v>
      </c>
      <c r="W8" s="9" t="n">
        <v>0</v>
      </c>
      <c r="X8" s="9" t="n">
        <v>3</v>
      </c>
      <c r="Y8" s="9" t="n">
        <v>0</v>
      </c>
      <c r="Z8" s="9" t="n">
        <v>0</v>
      </c>
      <c r="AA8" s="9" t="n">
        <v>795</v>
      </c>
      <c r="AB8" s="10" t="n">
        <v>1575</v>
      </c>
      <c r="AC8" s="10" t="n">
        <v>0</v>
      </c>
      <c r="AD8" s="10" t="n">
        <v>0</v>
      </c>
      <c r="AE8" s="10" t="n">
        <v>1575</v>
      </c>
      <c r="AF8" s="10" t="n">
        <v>0</v>
      </c>
    </row>
    <row r="9">
      <c r="A9" s="7" t="n">
        <v>4</v>
      </c>
      <c r="B9" s="8" t="inlineStr">
        <is>
          <t>Polling Station 4</t>
        </is>
      </c>
      <c r="C9" s="9" t="n">
        <v>318</v>
      </c>
      <c r="D9" s="9" t="n">
        <v>136</v>
      </c>
      <c r="E9" s="9" t="n">
        <v>255</v>
      </c>
      <c r="F9" s="9" t="n">
        <v>11</v>
      </c>
      <c r="G9" s="9" t="n">
        <v>19</v>
      </c>
      <c r="H9" s="9" t="n">
        <v>0</v>
      </c>
      <c r="I9" s="9" t="n">
        <v>0</v>
      </c>
      <c r="J9" s="9" t="n">
        <v>2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1</v>
      </c>
      <c r="Q9" s="9" t="n">
        <v>4</v>
      </c>
      <c r="R9" s="9" t="n">
        <v>6</v>
      </c>
      <c r="S9" s="9" t="n">
        <v>21</v>
      </c>
      <c r="T9" s="9" t="n">
        <v>1</v>
      </c>
      <c r="U9" s="9" t="n">
        <v>0</v>
      </c>
      <c r="V9" s="9" t="n">
        <v>2</v>
      </c>
      <c r="W9" s="9" t="n">
        <v>1</v>
      </c>
      <c r="X9" s="9" t="n">
        <v>0</v>
      </c>
      <c r="Y9" s="9" t="n">
        <v>0</v>
      </c>
      <c r="Z9" s="9" t="n">
        <v>2</v>
      </c>
      <c r="AA9" s="9" t="n">
        <v>787</v>
      </c>
      <c r="AB9" s="10" t="n">
        <v>1566</v>
      </c>
      <c r="AC9" s="10" t="n">
        <v>2</v>
      </c>
      <c r="AD9" s="10" t="n">
        <v>0</v>
      </c>
      <c r="AE9" s="10" t="n">
        <v>1568</v>
      </c>
      <c r="AF9" s="10" t="n">
        <v>0</v>
      </c>
    </row>
    <row r="10">
      <c r="A10" s="7" t="n">
        <v>5</v>
      </c>
      <c r="B10" s="8" t="inlineStr">
        <is>
          <t>Polling Station 5</t>
        </is>
      </c>
      <c r="C10" s="9" t="n">
        <v>402</v>
      </c>
      <c r="D10" s="9" t="n">
        <v>67</v>
      </c>
      <c r="E10" s="9" t="n">
        <v>245</v>
      </c>
      <c r="F10" s="9" t="n">
        <v>3</v>
      </c>
      <c r="G10" s="9" t="n">
        <v>12</v>
      </c>
      <c r="H10" s="9" t="n">
        <v>0</v>
      </c>
      <c r="I10" s="9" t="n">
        <v>7</v>
      </c>
      <c r="J10" s="9" t="n">
        <v>0</v>
      </c>
      <c r="K10" s="9" t="n">
        <v>3</v>
      </c>
      <c r="L10" s="9" t="n">
        <v>0</v>
      </c>
      <c r="M10" s="9" t="n">
        <v>0</v>
      </c>
      <c r="N10" s="9" t="n">
        <v>5</v>
      </c>
      <c r="O10" s="9" t="n">
        <v>0</v>
      </c>
      <c r="P10" s="9" t="n">
        <v>3</v>
      </c>
      <c r="Q10" s="9" t="n">
        <v>11</v>
      </c>
      <c r="R10" s="9" t="n">
        <v>10</v>
      </c>
      <c r="S10" s="9" t="n">
        <v>34</v>
      </c>
      <c r="T10" s="9" t="n">
        <v>2</v>
      </c>
      <c r="U10" s="9" t="n">
        <v>0</v>
      </c>
      <c r="V10" s="9" t="n">
        <v>3</v>
      </c>
      <c r="W10" s="9" t="n">
        <v>0</v>
      </c>
      <c r="X10" s="9" t="n">
        <v>1</v>
      </c>
      <c r="Y10" s="9" t="n">
        <v>1</v>
      </c>
      <c r="Z10" s="9" t="n">
        <v>2</v>
      </c>
      <c r="AA10" s="9" t="n">
        <v>812</v>
      </c>
      <c r="AB10" s="10" t="n">
        <v>1623</v>
      </c>
      <c r="AC10" s="10" t="n">
        <v>0</v>
      </c>
      <c r="AD10" s="10" t="n">
        <v>0</v>
      </c>
      <c r="AE10" s="10" t="n">
        <v>1623</v>
      </c>
      <c r="AF10" s="10" t="n">
        <v>0</v>
      </c>
    </row>
    <row r="11">
      <c r="A11" s="7" t="n">
        <v>6</v>
      </c>
      <c r="B11" s="8" t="inlineStr">
        <is>
          <t>Polling Station 6</t>
        </is>
      </c>
      <c r="C11" s="9" t="n">
        <v>320</v>
      </c>
      <c r="D11" s="9" t="n">
        <v>0</v>
      </c>
      <c r="E11" s="9" t="n">
        <v>238</v>
      </c>
      <c r="F11" s="9" t="n">
        <v>2</v>
      </c>
      <c r="G11" s="9" t="n">
        <v>7</v>
      </c>
      <c r="H11" s="9" t="n">
        <v>0</v>
      </c>
      <c r="I11" s="9" t="n">
        <v>4</v>
      </c>
      <c r="J11" s="9" t="n">
        <v>0</v>
      </c>
      <c r="K11" s="9" t="n">
        <v>0</v>
      </c>
      <c r="L11" s="9" t="n">
        <v>2</v>
      </c>
      <c r="M11" s="9" t="n">
        <v>0</v>
      </c>
      <c r="N11" s="9" t="n">
        <v>0</v>
      </c>
      <c r="O11" s="9" t="n">
        <v>3</v>
      </c>
      <c r="P11" s="9" t="n">
        <v>6</v>
      </c>
      <c r="Q11" s="9" t="n">
        <v>9</v>
      </c>
      <c r="R11" s="9" t="n">
        <v>10</v>
      </c>
      <c r="S11" s="9" t="n">
        <v>18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2</v>
      </c>
      <c r="Y11" s="9" t="n">
        <v>4</v>
      </c>
      <c r="Z11" s="9" t="n">
        <v>0</v>
      </c>
      <c r="AA11" s="9" t="n">
        <v>0</v>
      </c>
      <c r="AB11" s="10" t="n">
        <v>625</v>
      </c>
      <c r="AC11" s="10" t="n">
        <v>0</v>
      </c>
      <c r="AD11" s="10" t="n">
        <v>0</v>
      </c>
      <c r="AE11" s="10" t="n">
        <v>625</v>
      </c>
      <c r="AF11" s="10" t="n">
        <v>0</v>
      </c>
    </row>
    <row r="12">
      <c r="A12" s="7" t="n">
        <v>7</v>
      </c>
      <c r="B12" s="8" t="inlineStr">
        <is>
          <t>Polling Station 7</t>
        </is>
      </c>
      <c r="C12" s="9" t="n">
        <v>222</v>
      </c>
      <c r="D12" s="9" t="n">
        <v>61</v>
      </c>
      <c r="E12" s="9" t="n">
        <v>152</v>
      </c>
      <c r="F12" s="9" t="n">
        <v>0</v>
      </c>
      <c r="G12" s="9" t="n">
        <v>10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1</v>
      </c>
      <c r="Q12" s="9" t="n">
        <v>1</v>
      </c>
      <c r="R12" s="9" t="n">
        <v>7</v>
      </c>
      <c r="S12" s="9" t="n">
        <v>12</v>
      </c>
      <c r="T12" s="9" t="n">
        <v>1</v>
      </c>
      <c r="U12" s="9" t="n">
        <v>0</v>
      </c>
      <c r="V12" s="9" t="n">
        <v>0</v>
      </c>
      <c r="W12" s="9" t="n">
        <v>0</v>
      </c>
      <c r="X12" s="9" t="n">
        <v>2</v>
      </c>
      <c r="Y12" s="9" t="n">
        <v>0</v>
      </c>
      <c r="Z12" s="9" t="n">
        <v>0</v>
      </c>
      <c r="AA12" s="9" t="n">
        <v>477</v>
      </c>
      <c r="AB12" s="10" t="n">
        <v>946</v>
      </c>
      <c r="AC12" s="10" t="n">
        <v>4</v>
      </c>
      <c r="AD12" s="10" t="n">
        <v>479</v>
      </c>
      <c r="AE12" s="10" t="n">
        <v>1429</v>
      </c>
      <c r="AF12" s="10" t="n">
        <v>0</v>
      </c>
    </row>
    <row r="13">
      <c r="A13" s="7" t="n">
        <v>8</v>
      </c>
      <c r="B13" s="8" t="inlineStr">
        <is>
          <t>Polling Station 8</t>
        </is>
      </c>
      <c r="C13" s="9" t="n">
        <v>209</v>
      </c>
      <c r="D13" s="9" t="n">
        <v>319</v>
      </c>
      <c r="E13" s="9" t="n">
        <v>51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7</v>
      </c>
      <c r="N13" s="9" t="n">
        <v>0</v>
      </c>
      <c r="O13" s="9" t="n">
        <v>0</v>
      </c>
      <c r="P13" s="9" t="n">
        <v>2</v>
      </c>
      <c r="Q13" s="9" t="n">
        <v>10</v>
      </c>
      <c r="R13" s="9" t="n">
        <v>7</v>
      </c>
      <c r="S13" s="9" t="n">
        <v>14</v>
      </c>
      <c r="T13" s="9" t="n">
        <v>4</v>
      </c>
      <c r="U13" s="9" t="n">
        <v>1</v>
      </c>
      <c r="V13" s="9" t="n">
        <v>0</v>
      </c>
      <c r="W13" s="9" t="n">
        <v>0</v>
      </c>
      <c r="X13" s="9" t="n">
        <v>1</v>
      </c>
      <c r="Y13" s="9" t="n">
        <v>0</v>
      </c>
      <c r="Z13" s="9" t="n">
        <v>5</v>
      </c>
      <c r="AA13" s="9" t="n">
        <v>647</v>
      </c>
      <c r="AB13" s="10" t="n">
        <v>1277</v>
      </c>
      <c r="AC13" s="10" t="n">
        <v>0</v>
      </c>
      <c r="AD13" s="10" t="n">
        <v>0</v>
      </c>
      <c r="AE13" s="10" t="n">
        <v>1277</v>
      </c>
      <c r="AF13" s="10" t="n">
        <v>0</v>
      </c>
    </row>
    <row r="14">
      <c r="A14" s="7" t="n">
        <v>9</v>
      </c>
      <c r="B14" s="8" t="inlineStr">
        <is>
          <t>Polling Station 9</t>
        </is>
      </c>
      <c r="C14" s="9" t="n">
        <v>182</v>
      </c>
      <c r="D14" s="9" t="n">
        <v>82</v>
      </c>
      <c r="E14" s="9" t="n">
        <v>186</v>
      </c>
      <c r="F14" s="9" t="n">
        <v>7</v>
      </c>
      <c r="G14" s="9" t="n">
        <v>0</v>
      </c>
      <c r="H14" s="9" t="n">
        <v>0</v>
      </c>
      <c r="I14" s="9" t="n">
        <v>0</v>
      </c>
      <c r="J14" s="9" t="n">
        <v>7</v>
      </c>
      <c r="K14" s="9" t="n">
        <v>0</v>
      </c>
      <c r="L14" s="9" t="n">
        <v>0</v>
      </c>
      <c r="M14" s="9" t="n">
        <v>0</v>
      </c>
      <c r="N14" s="9" t="n">
        <v>10</v>
      </c>
      <c r="O14" s="9" t="n">
        <v>0</v>
      </c>
      <c r="P14" s="9" t="n">
        <v>3</v>
      </c>
      <c r="Q14" s="9" t="n">
        <v>3</v>
      </c>
      <c r="R14" s="9" t="n">
        <v>0</v>
      </c>
      <c r="S14" s="9" t="n">
        <v>13</v>
      </c>
      <c r="T14" s="9" t="n">
        <v>2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3</v>
      </c>
      <c r="AA14" s="9" t="n">
        <v>497</v>
      </c>
      <c r="AB14" s="10" t="n">
        <v>995</v>
      </c>
      <c r="AC14" s="10" t="n">
        <v>0</v>
      </c>
      <c r="AD14" s="10" t="n">
        <v>497</v>
      </c>
      <c r="AE14" s="10" t="n">
        <v>1492</v>
      </c>
      <c r="AF14" s="10" t="n">
        <v>0</v>
      </c>
    </row>
    <row r="15">
      <c r="A15" s="7" t="n">
        <v>10</v>
      </c>
      <c r="B15" s="8" t="inlineStr">
        <is>
          <t>Polling Station 10</t>
        </is>
      </c>
      <c r="C15" s="9" t="n">
        <v>179</v>
      </c>
      <c r="D15" s="9" t="n">
        <v>119</v>
      </c>
      <c r="E15" s="9" t="n">
        <v>242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4</v>
      </c>
      <c r="N15" s="9" t="n">
        <v>73</v>
      </c>
      <c r="O15" s="9" t="n">
        <v>7</v>
      </c>
      <c r="P15" s="9" t="n">
        <v>1</v>
      </c>
      <c r="Q15" s="9" t="n">
        <v>0</v>
      </c>
      <c r="R15" s="9" t="n">
        <v>5</v>
      </c>
      <c r="S15" s="9" t="n">
        <v>6</v>
      </c>
      <c r="T15" s="9" t="n">
        <v>2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887</v>
      </c>
      <c r="AB15" s="10" t="n">
        <v>1525</v>
      </c>
      <c r="AC15" s="10" t="n">
        <v>0</v>
      </c>
      <c r="AD15" s="10" t="n">
        <v>0</v>
      </c>
      <c r="AE15" s="10" t="n">
        <v>1525</v>
      </c>
      <c r="AF15" s="10" t="n">
        <v>0</v>
      </c>
    </row>
    <row r="16">
      <c r="A16" s="7" t="n">
        <v>11</v>
      </c>
      <c r="B16" s="8" t="inlineStr">
        <is>
          <t>Polling Station 11</t>
        </is>
      </c>
      <c r="C16" s="9" t="n">
        <v>244</v>
      </c>
      <c r="D16" s="9" t="n">
        <v>100</v>
      </c>
      <c r="E16" s="9" t="n">
        <v>219</v>
      </c>
      <c r="F16" s="9" t="n">
        <v>0</v>
      </c>
      <c r="G16" s="9" t="n">
        <v>0</v>
      </c>
      <c r="H16" s="9" t="n">
        <v>74</v>
      </c>
      <c r="I16" s="9" t="n">
        <v>0</v>
      </c>
      <c r="J16" s="9" t="n">
        <v>0</v>
      </c>
      <c r="K16" s="9" t="n">
        <v>74</v>
      </c>
      <c r="L16" s="9" t="n">
        <v>7</v>
      </c>
      <c r="M16" s="9" t="n">
        <v>4</v>
      </c>
      <c r="N16" s="9" t="n">
        <v>0</v>
      </c>
      <c r="O16" s="9" t="n">
        <v>0</v>
      </c>
      <c r="P16" s="9" t="n">
        <v>15</v>
      </c>
      <c r="Q16" s="9" t="n">
        <v>10</v>
      </c>
      <c r="R16" s="9" t="n">
        <v>5</v>
      </c>
      <c r="S16" s="9" t="n">
        <v>28</v>
      </c>
      <c r="T16" s="9" t="n">
        <v>4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79</v>
      </c>
      <c r="Z16" s="9" t="n">
        <v>0</v>
      </c>
      <c r="AA16" s="9" t="n">
        <v>656</v>
      </c>
      <c r="AB16" s="10" t="n">
        <v>1519</v>
      </c>
      <c r="AC16" s="10" t="n">
        <v>0</v>
      </c>
      <c r="AD16" s="10" t="n">
        <v>0</v>
      </c>
      <c r="AE16" s="10" t="n">
        <v>1519</v>
      </c>
      <c r="AF16" s="10" t="n">
        <v>0</v>
      </c>
    </row>
    <row r="17">
      <c r="A17" s="7" t="n">
        <v>12</v>
      </c>
      <c r="B17" s="8" t="inlineStr">
        <is>
          <t>Polling Station 12</t>
        </is>
      </c>
      <c r="C17" s="9" t="n">
        <v>210</v>
      </c>
      <c r="D17" s="9" t="n">
        <v>99</v>
      </c>
      <c r="E17" s="9" t="n">
        <v>141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30</v>
      </c>
      <c r="R17" s="9" t="n">
        <v>4</v>
      </c>
      <c r="S17" s="9" t="n">
        <v>2</v>
      </c>
      <c r="T17" s="9" t="n">
        <v>1</v>
      </c>
      <c r="U17" s="9" t="n">
        <v>0</v>
      </c>
      <c r="V17" s="9" t="n">
        <v>10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472</v>
      </c>
      <c r="AB17" s="10" t="n">
        <v>969</v>
      </c>
      <c r="AC17" s="10" t="n">
        <v>2</v>
      </c>
      <c r="AD17" s="10" t="n">
        <v>474</v>
      </c>
      <c r="AE17" s="10" t="n">
        <v>1445</v>
      </c>
      <c r="AF17" s="10" t="n">
        <v>0</v>
      </c>
    </row>
    <row r="18">
      <c r="A18" s="7" t="n">
        <v>13</v>
      </c>
      <c r="B18" s="8" t="inlineStr">
        <is>
          <t>Polling Station 13</t>
        </is>
      </c>
      <c r="C18" s="9" t="n">
        <v>274</v>
      </c>
      <c r="D18" s="9" t="n">
        <v>102</v>
      </c>
      <c r="E18" s="9" t="n">
        <v>270</v>
      </c>
      <c r="F18" s="9" t="n">
        <v>0</v>
      </c>
      <c r="G18" s="9" t="n">
        <v>28</v>
      </c>
      <c r="H18" s="9" t="n">
        <v>0</v>
      </c>
      <c r="I18" s="9" t="n">
        <v>0</v>
      </c>
      <c r="J18" s="9" t="n">
        <v>0</v>
      </c>
      <c r="K18" s="9" t="n">
        <v>5</v>
      </c>
      <c r="L18" s="9" t="n">
        <v>0</v>
      </c>
      <c r="M18" s="9" t="n">
        <v>34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8</v>
      </c>
      <c r="S18" s="9" t="n">
        <v>20</v>
      </c>
      <c r="T18" s="9" t="n">
        <v>2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4</v>
      </c>
      <c r="AB18" s="10" t="n">
        <v>747</v>
      </c>
      <c r="AC18" s="10" t="n">
        <v>0</v>
      </c>
      <c r="AD18" s="10" t="n">
        <v>0</v>
      </c>
      <c r="AE18" s="10" t="n">
        <v>747</v>
      </c>
      <c r="AF18" s="10" t="n">
        <v>0</v>
      </c>
    </row>
    <row r="19">
      <c r="A19" s="7" t="n">
        <v>14</v>
      </c>
      <c r="B19" s="8" t="inlineStr">
        <is>
          <t>Polling Station 14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2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5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10" t="n">
        <v>7</v>
      </c>
      <c r="AC19" s="10" t="n">
        <v>0</v>
      </c>
      <c r="AD19" s="10" t="n">
        <v>0</v>
      </c>
      <c r="AE19" s="10" t="n">
        <v>7</v>
      </c>
      <c r="AF19" s="10" t="n">
        <v>0</v>
      </c>
    </row>
    <row r="20">
      <c r="A20" s="7" t="n">
        <v>15</v>
      </c>
      <c r="B20" s="8" t="inlineStr">
        <is>
          <t>Polling Station 15</t>
        </is>
      </c>
      <c r="C20" s="9" t="n">
        <v>0</v>
      </c>
      <c r="D20" s="9" t="n">
        <v>4</v>
      </c>
      <c r="E20" s="9" t="n">
        <v>5</v>
      </c>
      <c r="F20" s="9" t="n">
        <v>6</v>
      </c>
      <c r="G20" s="9" t="n">
        <v>7</v>
      </c>
      <c r="H20" s="9" t="n">
        <v>8</v>
      </c>
      <c r="I20" s="9" t="n">
        <v>9</v>
      </c>
      <c r="J20" s="9" t="n">
        <v>10</v>
      </c>
      <c r="K20" s="9" t="n">
        <v>11</v>
      </c>
      <c r="L20" s="9" t="n">
        <v>12</v>
      </c>
      <c r="M20" s="9" t="n">
        <v>13</v>
      </c>
      <c r="N20" s="9" t="n">
        <v>14</v>
      </c>
      <c r="O20" s="9" t="n">
        <v>15</v>
      </c>
      <c r="P20" s="9" t="n">
        <v>16</v>
      </c>
      <c r="Q20" s="9" t="n">
        <v>17</v>
      </c>
      <c r="R20" s="9" t="n">
        <v>18</v>
      </c>
      <c r="S20" s="9" t="n">
        <v>19</v>
      </c>
      <c r="T20" s="9" t="n">
        <v>20</v>
      </c>
      <c r="U20" s="9" t="n">
        <v>21</v>
      </c>
      <c r="V20" s="9" t="n">
        <v>22</v>
      </c>
      <c r="W20" s="9" t="n">
        <v>23</v>
      </c>
      <c r="X20" s="9" t="n">
        <v>24</v>
      </c>
      <c r="Y20" s="9" t="n">
        <v>25</v>
      </c>
      <c r="Z20" s="9" t="n">
        <v>26</v>
      </c>
      <c r="AA20" s="9" t="n">
        <v>0</v>
      </c>
      <c r="AB20" s="10" t="n">
        <v>345</v>
      </c>
      <c r="AC20" s="10" t="n">
        <v>29</v>
      </c>
      <c r="AD20" s="10" t="n">
        <v>30</v>
      </c>
      <c r="AE20" s="10" t="n">
        <v>404</v>
      </c>
      <c r="AF20" s="10" t="n">
        <v>0</v>
      </c>
    </row>
    <row r="21">
      <c r="A21" s="7" t="n">
        <v>16</v>
      </c>
      <c r="B21" s="8" t="inlineStr">
        <is>
          <t>Polling Station 16</t>
        </is>
      </c>
      <c r="C21" s="9" t="n">
        <v>346</v>
      </c>
      <c r="D21" s="9" t="n">
        <v>296</v>
      </c>
      <c r="E21" s="9" t="n">
        <v>359</v>
      </c>
      <c r="F21" s="9" t="n">
        <v>0</v>
      </c>
      <c r="G21" s="9" t="n">
        <v>4</v>
      </c>
      <c r="H21" s="9" t="n">
        <v>1</v>
      </c>
      <c r="I21" s="9" t="n">
        <v>0</v>
      </c>
      <c r="J21" s="9" t="n">
        <v>0</v>
      </c>
      <c r="K21" s="9" t="n">
        <v>2</v>
      </c>
      <c r="L21" s="9" t="n">
        <v>0</v>
      </c>
      <c r="M21" s="9" t="n">
        <v>2</v>
      </c>
      <c r="N21" s="9" t="n">
        <v>1</v>
      </c>
      <c r="O21" s="9" t="n">
        <v>5</v>
      </c>
      <c r="P21" s="9" t="n">
        <v>5</v>
      </c>
      <c r="Q21" s="9" t="n">
        <v>10</v>
      </c>
      <c r="R21" s="9" t="n">
        <v>0</v>
      </c>
      <c r="S21" s="9" t="n">
        <v>10</v>
      </c>
      <c r="T21" s="9" t="n">
        <v>3</v>
      </c>
      <c r="U21" s="9" t="n">
        <v>0</v>
      </c>
      <c r="V21" s="9" t="n">
        <v>0</v>
      </c>
      <c r="W21" s="9" t="n">
        <v>1</v>
      </c>
      <c r="X21" s="9" t="n">
        <v>0</v>
      </c>
      <c r="Y21" s="9" t="n">
        <v>0</v>
      </c>
      <c r="Z21" s="9" t="n">
        <v>2</v>
      </c>
      <c r="AA21" s="9" t="n">
        <v>1062</v>
      </c>
      <c r="AB21" s="10" t="n">
        <v>2109</v>
      </c>
      <c r="AC21" s="10" t="n">
        <v>4</v>
      </c>
      <c r="AD21" s="10" t="n">
        <v>0</v>
      </c>
      <c r="AE21" s="10" t="n">
        <v>2113</v>
      </c>
      <c r="AF21" s="10" t="n">
        <v>0</v>
      </c>
    </row>
    <row r="22">
      <c r="A22" s="7" t="n">
        <v>17</v>
      </c>
      <c r="B22" s="8" t="inlineStr">
        <is>
          <t>Polling Station 17</t>
        </is>
      </c>
      <c r="C22" s="9" t="n">
        <v>248</v>
      </c>
      <c r="D22" s="9" t="n">
        <v>129</v>
      </c>
      <c r="E22" s="9" t="n">
        <v>221</v>
      </c>
      <c r="F22" s="9" t="n">
        <v>4</v>
      </c>
      <c r="G22" s="9" t="n">
        <v>5</v>
      </c>
      <c r="H22" s="9" t="n">
        <v>1</v>
      </c>
      <c r="I22" s="9" t="n">
        <v>0</v>
      </c>
      <c r="J22" s="9" t="n">
        <v>2</v>
      </c>
      <c r="K22" s="9" t="n">
        <v>0</v>
      </c>
      <c r="L22" s="9" t="n">
        <v>2</v>
      </c>
      <c r="M22" s="9" t="n">
        <v>0</v>
      </c>
      <c r="N22" s="9" t="n">
        <v>2</v>
      </c>
      <c r="O22" s="9" t="n">
        <v>0</v>
      </c>
      <c r="P22" s="9" t="n">
        <v>0</v>
      </c>
      <c r="Q22" s="9" t="n">
        <v>5</v>
      </c>
      <c r="R22" s="9" t="n">
        <v>4</v>
      </c>
      <c r="S22" s="9" t="n">
        <v>17</v>
      </c>
      <c r="T22" s="9" t="n">
        <v>1</v>
      </c>
      <c r="U22" s="9" t="n">
        <v>3</v>
      </c>
      <c r="V22" s="9" t="n">
        <v>3</v>
      </c>
      <c r="W22" s="9" t="n">
        <v>1</v>
      </c>
      <c r="X22" s="9" t="n">
        <v>3</v>
      </c>
      <c r="Y22" s="9" t="n">
        <v>0</v>
      </c>
      <c r="Z22" s="9" t="n">
        <v>0</v>
      </c>
      <c r="AA22" s="9" t="n">
        <v>653</v>
      </c>
      <c r="AB22" s="10" t="n">
        <v>1304</v>
      </c>
      <c r="AC22" s="10" t="n">
        <v>1</v>
      </c>
      <c r="AD22" s="10" t="n">
        <v>0</v>
      </c>
      <c r="AE22" s="10" t="n">
        <v>1305</v>
      </c>
      <c r="AF22" s="10" t="n">
        <v>0</v>
      </c>
    </row>
    <row r="23">
      <c r="A23" s="7" t="n">
        <v>18</v>
      </c>
      <c r="B23" s="8" t="inlineStr">
        <is>
          <t>Polling Station 18</t>
        </is>
      </c>
      <c r="C23" s="9" t="n">
        <v>175</v>
      </c>
      <c r="D23" s="9" t="n">
        <v>72</v>
      </c>
      <c r="E23" s="9" t="n">
        <v>129</v>
      </c>
      <c r="F23" s="9" t="n">
        <v>0</v>
      </c>
      <c r="G23" s="9" t="n">
        <v>5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</v>
      </c>
      <c r="O23" s="9" t="n">
        <v>0</v>
      </c>
      <c r="P23" s="9" t="n">
        <v>2</v>
      </c>
      <c r="Q23" s="9" t="n">
        <v>1</v>
      </c>
      <c r="R23" s="9" t="n">
        <v>2</v>
      </c>
      <c r="S23" s="9" t="n">
        <v>5</v>
      </c>
      <c r="T23" s="9" t="n">
        <v>1</v>
      </c>
      <c r="U23" s="9" t="n">
        <v>0</v>
      </c>
      <c r="V23" s="9" t="n">
        <v>0</v>
      </c>
      <c r="W23" s="9" t="n">
        <v>0</v>
      </c>
      <c r="X23" s="9" t="n">
        <v>1</v>
      </c>
      <c r="Y23" s="9" t="n">
        <v>0</v>
      </c>
      <c r="Z23" s="9" t="n">
        <v>4</v>
      </c>
      <c r="AA23" s="9" t="n">
        <v>395</v>
      </c>
      <c r="AB23" s="10" t="n">
        <v>793</v>
      </c>
      <c r="AC23" s="10" t="n">
        <v>2</v>
      </c>
      <c r="AD23" s="10" t="n">
        <v>397</v>
      </c>
      <c r="AE23" s="10" t="n">
        <v>1192</v>
      </c>
      <c r="AF23" s="10" t="n">
        <v>0</v>
      </c>
    </row>
    <row r="24">
      <c r="A24" s="7" t="n">
        <v>19</v>
      </c>
      <c r="B24" s="8" t="inlineStr">
        <is>
          <t>Polling Station 19</t>
        </is>
      </c>
      <c r="C24" s="9" t="n">
        <v>254</v>
      </c>
      <c r="D24" s="9" t="n">
        <v>217</v>
      </c>
      <c r="E24" s="9" t="n">
        <v>327</v>
      </c>
      <c r="F24" s="9" t="n">
        <v>7</v>
      </c>
      <c r="G24" s="9" t="n">
        <v>9</v>
      </c>
      <c r="H24" s="9" t="n">
        <v>3</v>
      </c>
      <c r="I24" s="9" t="n">
        <v>0</v>
      </c>
      <c r="J24" s="9" t="n">
        <v>5</v>
      </c>
      <c r="K24" s="9" t="n">
        <v>1</v>
      </c>
      <c r="L24" s="9" t="n">
        <v>1</v>
      </c>
      <c r="M24" s="9" t="n">
        <v>3</v>
      </c>
      <c r="N24" s="9" t="n">
        <v>2</v>
      </c>
      <c r="O24" s="9" t="n">
        <v>0</v>
      </c>
      <c r="P24" s="9" t="n">
        <v>2</v>
      </c>
      <c r="Q24" s="9" t="n">
        <v>6</v>
      </c>
      <c r="R24" s="9" t="n">
        <v>5</v>
      </c>
      <c r="S24" s="9" t="n">
        <v>17</v>
      </c>
      <c r="T24" s="9" t="n">
        <v>2</v>
      </c>
      <c r="U24" s="9" t="n">
        <v>2</v>
      </c>
      <c r="V24" s="9" t="n">
        <v>3</v>
      </c>
      <c r="W24" s="9" t="n">
        <v>0</v>
      </c>
      <c r="X24" s="9" t="n">
        <v>1</v>
      </c>
      <c r="Y24" s="9" t="n">
        <v>1</v>
      </c>
      <c r="Z24" s="9" t="n">
        <v>0</v>
      </c>
      <c r="AA24" s="9" t="n">
        <v>880</v>
      </c>
      <c r="AB24" s="10" t="n">
        <v>1748</v>
      </c>
      <c r="AC24" s="10" t="n">
        <v>1</v>
      </c>
      <c r="AD24" s="10" t="n">
        <v>0</v>
      </c>
      <c r="AE24" s="10" t="n">
        <v>1749</v>
      </c>
      <c r="AF24" s="10" t="n">
        <v>0</v>
      </c>
    </row>
    <row r="25">
      <c r="A25" s="7" t="n">
        <v>20</v>
      </c>
      <c r="B25" s="8" t="inlineStr">
        <is>
          <t>Polling Station 20</t>
        </is>
      </c>
      <c r="C25" s="9" t="n">
        <v>238</v>
      </c>
      <c r="D25" s="9" t="n">
        <v>268</v>
      </c>
      <c r="E25" s="9" t="n">
        <v>368</v>
      </c>
      <c r="F25" s="9" t="n">
        <v>6</v>
      </c>
      <c r="G25" s="9" t="n">
        <v>11</v>
      </c>
      <c r="H25" s="9" t="n">
        <v>2</v>
      </c>
      <c r="I25" s="9" t="n">
        <v>1</v>
      </c>
      <c r="J25" s="9" t="n">
        <v>6</v>
      </c>
      <c r="K25" s="9" t="n">
        <v>1</v>
      </c>
      <c r="L25" s="9" t="n">
        <v>0</v>
      </c>
      <c r="M25" s="9" t="n">
        <v>1</v>
      </c>
      <c r="N25" s="9" t="n">
        <v>4</v>
      </c>
      <c r="O25" s="9" t="n">
        <v>2</v>
      </c>
      <c r="P25" s="9" t="n">
        <v>0</v>
      </c>
      <c r="Q25" s="9" t="n">
        <v>6</v>
      </c>
      <c r="R25" s="9" t="n">
        <v>11</v>
      </c>
      <c r="S25" s="9" t="n">
        <v>14</v>
      </c>
      <c r="T25" s="9" t="n">
        <v>2</v>
      </c>
      <c r="U25" s="9" t="n">
        <v>2</v>
      </c>
      <c r="V25" s="9" t="n">
        <v>0</v>
      </c>
      <c r="W25" s="9" t="n">
        <v>1</v>
      </c>
      <c r="X25" s="9" t="n">
        <v>4</v>
      </c>
      <c r="Y25" s="9" t="n">
        <v>2</v>
      </c>
      <c r="Z25" s="9" t="n">
        <v>0</v>
      </c>
      <c r="AA25" s="9" t="n">
        <v>961</v>
      </c>
      <c r="AB25" s="10" t="n">
        <v>1911</v>
      </c>
      <c r="AC25" s="10" t="n">
        <v>1</v>
      </c>
      <c r="AD25" s="10" t="n">
        <v>0</v>
      </c>
      <c r="AE25" s="10" t="n">
        <v>1912</v>
      </c>
      <c r="AF25" s="10" t="n">
        <v>0</v>
      </c>
    </row>
    <row r="26">
      <c r="A26" s="7" t="n">
        <v>21</v>
      </c>
      <c r="B26" s="8" t="inlineStr">
        <is>
          <t>Polling Station 21</t>
        </is>
      </c>
      <c r="C26" s="9" t="n">
        <v>386</v>
      </c>
      <c r="D26" s="9" t="n">
        <v>245</v>
      </c>
      <c r="E26" s="9" t="n">
        <v>382</v>
      </c>
      <c r="F26" s="9" t="n">
        <v>5</v>
      </c>
      <c r="G26" s="9" t="n">
        <v>14</v>
      </c>
      <c r="H26" s="9" t="n">
        <v>0</v>
      </c>
      <c r="I26" s="9" t="n">
        <v>1</v>
      </c>
      <c r="J26" s="9" t="n">
        <v>1</v>
      </c>
      <c r="K26" s="9" t="n">
        <v>2</v>
      </c>
      <c r="L26" s="9" t="n">
        <v>0</v>
      </c>
      <c r="M26" s="9" t="n">
        <v>0</v>
      </c>
      <c r="N26" s="9" t="n">
        <v>2</v>
      </c>
      <c r="O26" s="9" t="n">
        <v>3</v>
      </c>
      <c r="P26" s="9" t="n">
        <v>3</v>
      </c>
      <c r="Q26" s="9" t="n">
        <v>0</v>
      </c>
      <c r="R26" s="9" t="n">
        <v>3</v>
      </c>
      <c r="S26" s="9" t="n">
        <v>12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1</v>
      </c>
      <c r="Y26" s="9" t="n">
        <v>0</v>
      </c>
      <c r="Z26" s="9" t="n">
        <v>0</v>
      </c>
      <c r="AA26" s="9" t="n">
        <v>1068</v>
      </c>
      <c r="AB26" s="10" t="n">
        <v>2128</v>
      </c>
      <c r="AC26" s="10" t="n">
        <v>6</v>
      </c>
      <c r="AD26" s="10" t="n">
        <v>0</v>
      </c>
      <c r="AE26" s="10" t="n">
        <v>2134</v>
      </c>
      <c r="AF26" s="10" t="n">
        <v>0</v>
      </c>
    </row>
    <row r="27">
      <c r="A27" s="7" t="n">
        <v>22</v>
      </c>
      <c r="B27" s="8" t="inlineStr">
        <is>
          <t>Polling Station 22</t>
        </is>
      </c>
      <c r="C27" s="9" t="n">
        <v>275</v>
      </c>
      <c r="D27" s="9" t="n">
        <v>274</v>
      </c>
      <c r="E27" s="9" t="n">
        <v>171</v>
      </c>
      <c r="F27" s="9" t="n">
        <v>3</v>
      </c>
      <c r="G27" s="9" t="n">
        <v>0</v>
      </c>
      <c r="H27" s="9" t="n">
        <v>0</v>
      </c>
      <c r="I27" s="9" t="n">
        <v>1</v>
      </c>
      <c r="J27" s="9" t="n">
        <v>0</v>
      </c>
      <c r="K27" s="9" t="n">
        <v>0</v>
      </c>
      <c r="L27" s="9" t="n">
        <v>0</v>
      </c>
      <c r="M27" s="9" t="n">
        <v>2</v>
      </c>
      <c r="N27" s="9" t="n">
        <v>1</v>
      </c>
      <c r="O27" s="9" t="n">
        <v>3</v>
      </c>
      <c r="P27" s="9" t="n">
        <v>0</v>
      </c>
      <c r="Q27" s="9" t="n">
        <v>11</v>
      </c>
      <c r="R27" s="9" t="n">
        <v>3</v>
      </c>
      <c r="S27" s="9" t="n">
        <v>10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1</v>
      </c>
      <c r="Z27" s="9" t="n">
        <v>0</v>
      </c>
      <c r="AA27" s="9" t="n">
        <v>765</v>
      </c>
      <c r="AB27" s="10" t="n">
        <v>1520</v>
      </c>
      <c r="AC27" s="10" t="n">
        <v>2</v>
      </c>
      <c r="AD27" s="10" t="n">
        <v>0</v>
      </c>
      <c r="AE27" s="10" t="n">
        <v>1522</v>
      </c>
      <c r="AF27" s="10" t="n">
        <v>0</v>
      </c>
    </row>
    <row r="28">
      <c r="A28" s="7" t="n">
        <v>23</v>
      </c>
      <c r="B28" s="8" t="inlineStr">
        <is>
          <t>Polling Station 23</t>
        </is>
      </c>
      <c r="C28" s="9" t="n">
        <v>339</v>
      </c>
      <c r="D28" s="9" t="n">
        <v>255</v>
      </c>
      <c r="E28" s="9" t="n">
        <v>234</v>
      </c>
      <c r="F28" s="9" t="n">
        <v>4</v>
      </c>
      <c r="G28" s="9" t="n">
        <v>4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3</v>
      </c>
      <c r="P28" s="9" t="n">
        <v>2</v>
      </c>
      <c r="Q28" s="9" t="n">
        <v>3</v>
      </c>
      <c r="R28" s="9" t="n">
        <v>3</v>
      </c>
      <c r="S28" s="9" t="n">
        <v>13</v>
      </c>
      <c r="T28" s="9" t="n">
        <v>7</v>
      </c>
      <c r="U28" s="9" t="n">
        <v>5</v>
      </c>
      <c r="V28" s="9" t="n">
        <v>0</v>
      </c>
      <c r="W28" s="9" t="n">
        <v>3</v>
      </c>
      <c r="X28" s="9" t="n">
        <v>0</v>
      </c>
      <c r="Y28" s="9" t="n">
        <v>1</v>
      </c>
      <c r="Z28" s="9" t="n">
        <v>0</v>
      </c>
      <c r="AA28" s="9" t="n">
        <v>881</v>
      </c>
      <c r="AB28" s="10" t="n">
        <v>1757</v>
      </c>
      <c r="AC28" s="10" t="n">
        <v>2</v>
      </c>
      <c r="AD28" s="10" t="n">
        <v>0</v>
      </c>
      <c r="AE28" s="10" t="n">
        <v>1759</v>
      </c>
      <c r="AF28" s="10" t="n">
        <v>0</v>
      </c>
    </row>
    <row r="29">
      <c r="A29" s="7" t="n">
        <v>24</v>
      </c>
      <c r="B29" s="8" t="inlineStr">
        <is>
          <t>Polling Station 24</t>
        </is>
      </c>
      <c r="C29" s="9" t="n">
        <v>204</v>
      </c>
      <c r="D29" s="9" t="n">
        <v>43</v>
      </c>
      <c r="E29" s="9" t="n">
        <v>238</v>
      </c>
      <c r="F29" s="9" t="n">
        <v>0</v>
      </c>
      <c r="G29" s="9" t="n">
        <v>9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1</v>
      </c>
      <c r="O29" s="9" t="n">
        <v>0</v>
      </c>
      <c r="P29" s="9" t="n">
        <v>2</v>
      </c>
      <c r="Q29" s="9" t="n">
        <v>0</v>
      </c>
      <c r="R29" s="9" t="n">
        <v>2</v>
      </c>
      <c r="S29" s="9" t="n">
        <v>9</v>
      </c>
      <c r="T29" s="9" t="n">
        <v>0</v>
      </c>
      <c r="U29" s="9" t="n">
        <v>1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515</v>
      </c>
      <c r="AB29" s="10" t="n">
        <v>1024</v>
      </c>
      <c r="AC29" s="10" t="n">
        <v>3</v>
      </c>
      <c r="AD29" s="10" t="n">
        <v>0</v>
      </c>
      <c r="AE29" s="10" t="n">
        <v>1027</v>
      </c>
      <c r="AF29" s="10" t="n">
        <v>0</v>
      </c>
    </row>
    <row r="30">
      <c r="A30" s="7" t="n">
        <v>25</v>
      </c>
      <c r="B30" s="8" t="inlineStr">
        <is>
          <t>Polling Station 25</t>
        </is>
      </c>
      <c r="C30" s="9" t="n">
        <v>198</v>
      </c>
      <c r="D30" s="9" t="n">
        <v>52</v>
      </c>
      <c r="E30" s="9" t="n">
        <v>197</v>
      </c>
      <c r="F30" s="9" t="n">
        <v>1</v>
      </c>
      <c r="G30" s="9" t="n">
        <v>4</v>
      </c>
      <c r="H30" s="9" t="n">
        <v>1</v>
      </c>
      <c r="I30" s="9" t="n">
        <v>0</v>
      </c>
      <c r="J30" s="9" t="n">
        <v>1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1</v>
      </c>
      <c r="P30" s="9" t="n">
        <v>0</v>
      </c>
      <c r="Q30" s="9" t="n">
        <v>0</v>
      </c>
      <c r="R30" s="9" t="n">
        <v>1</v>
      </c>
      <c r="S30" s="9" t="n">
        <v>3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462</v>
      </c>
      <c r="AB30" s="10" t="n">
        <v>921</v>
      </c>
      <c r="AC30" s="10" t="n">
        <v>3</v>
      </c>
      <c r="AD30" s="10" t="n">
        <v>465</v>
      </c>
      <c r="AE30" s="10" t="n">
        <v>1389</v>
      </c>
      <c r="AF30" s="10" t="n">
        <v>0</v>
      </c>
    </row>
    <row r="31">
      <c r="A31" s="7" t="n">
        <v>26</v>
      </c>
      <c r="B31" s="8" t="inlineStr">
        <is>
          <t>Polling Station 26</t>
        </is>
      </c>
      <c r="C31" s="9" t="n">
        <v>337</v>
      </c>
      <c r="D31" s="9" t="n">
        <v>296</v>
      </c>
      <c r="E31" s="9" t="n">
        <v>336</v>
      </c>
      <c r="F31" s="9" t="n">
        <v>4</v>
      </c>
      <c r="G31" s="9" t="n">
        <v>20</v>
      </c>
      <c r="H31" s="9" t="n">
        <v>0</v>
      </c>
      <c r="I31" s="9" t="n">
        <v>2</v>
      </c>
      <c r="J31" s="9" t="n">
        <v>0</v>
      </c>
      <c r="K31" s="9" t="n">
        <v>0</v>
      </c>
      <c r="L31" s="9" t="n">
        <v>0</v>
      </c>
      <c r="M31" s="9" t="n">
        <v>4</v>
      </c>
      <c r="N31" s="9" t="n">
        <v>2</v>
      </c>
      <c r="O31" s="9" t="n">
        <v>0</v>
      </c>
      <c r="P31" s="9" t="n">
        <v>2</v>
      </c>
      <c r="Q31" s="9" t="n">
        <v>11</v>
      </c>
      <c r="R31" s="9" t="n">
        <v>5</v>
      </c>
      <c r="S31" s="9" t="n">
        <v>12</v>
      </c>
      <c r="T31" s="9" t="n">
        <v>4</v>
      </c>
      <c r="U31" s="9" t="n">
        <v>3</v>
      </c>
      <c r="V31" s="9" t="n">
        <v>0</v>
      </c>
      <c r="W31" s="9" t="n">
        <v>1</v>
      </c>
      <c r="X31" s="9" t="n">
        <v>3</v>
      </c>
      <c r="Y31" s="9" t="n">
        <v>2</v>
      </c>
      <c r="Z31" s="9" t="n">
        <v>2</v>
      </c>
      <c r="AA31" s="9" t="n">
        <v>1050</v>
      </c>
      <c r="AB31" s="10" t="n">
        <v>2096</v>
      </c>
      <c r="AC31" s="10" t="n">
        <v>7</v>
      </c>
      <c r="AD31" s="10" t="n">
        <v>0</v>
      </c>
      <c r="AE31" s="10" t="n">
        <v>2103</v>
      </c>
      <c r="AF31" s="10" t="n">
        <v>0</v>
      </c>
    </row>
    <row r="32">
      <c r="A32" s="7" t="n">
        <v>27</v>
      </c>
      <c r="B32" s="8" t="inlineStr">
        <is>
          <t>Polling Station 27</t>
        </is>
      </c>
      <c r="C32" s="9" t="n">
        <v>169</v>
      </c>
      <c r="D32" s="9" t="n">
        <v>288</v>
      </c>
      <c r="E32" s="9" t="n">
        <v>128</v>
      </c>
      <c r="F32" s="9" t="n">
        <v>6</v>
      </c>
      <c r="G32" s="9" t="n">
        <v>5</v>
      </c>
      <c r="H32" s="9" t="n">
        <v>1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1</v>
      </c>
      <c r="N32" s="9" t="n">
        <v>4</v>
      </c>
      <c r="O32" s="9" t="n">
        <v>0</v>
      </c>
      <c r="P32" s="9" t="n">
        <v>0</v>
      </c>
      <c r="Q32" s="9" t="n">
        <v>4</v>
      </c>
      <c r="R32" s="9" t="n">
        <v>3</v>
      </c>
      <c r="S32" s="9" t="n">
        <v>15</v>
      </c>
      <c r="T32" s="9" t="n">
        <v>6</v>
      </c>
      <c r="U32" s="9" t="n">
        <v>0</v>
      </c>
      <c r="V32" s="9" t="n">
        <v>0</v>
      </c>
      <c r="W32" s="9" t="n">
        <v>1</v>
      </c>
      <c r="X32" s="9" t="n">
        <v>0</v>
      </c>
      <c r="Y32" s="9" t="n">
        <v>0</v>
      </c>
      <c r="Z32" s="9" t="n">
        <v>1</v>
      </c>
      <c r="AA32" s="9" t="n">
        <v>638</v>
      </c>
      <c r="AB32" s="10" t="n">
        <v>1270</v>
      </c>
      <c r="AC32" s="10" t="n">
        <v>1</v>
      </c>
      <c r="AD32" s="10" t="n">
        <v>0</v>
      </c>
      <c r="AE32" s="10" t="n">
        <v>1271</v>
      </c>
      <c r="AF32" s="10" t="n">
        <v>0</v>
      </c>
    </row>
    <row r="33">
      <c r="A33" s="7" t="n">
        <v>28</v>
      </c>
      <c r="B33" s="8" t="inlineStr">
        <is>
          <t>Polling Station 28</t>
        </is>
      </c>
      <c r="C33" s="9" t="n">
        <v>431</v>
      </c>
      <c r="D33" s="9" t="n">
        <v>194</v>
      </c>
      <c r="E33" s="9" t="n">
        <v>266</v>
      </c>
      <c r="F33" s="9" t="n">
        <v>0</v>
      </c>
      <c r="G33" s="9" t="n">
        <v>19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1</v>
      </c>
      <c r="M33" s="9" t="n">
        <v>1</v>
      </c>
      <c r="N33" s="9" t="n">
        <v>2</v>
      </c>
      <c r="O33" s="9" t="n">
        <v>4</v>
      </c>
      <c r="P33" s="9" t="n">
        <v>8</v>
      </c>
      <c r="Q33" s="9" t="n">
        <v>9</v>
      </c>
      <c r="R33" s="9" t="n">
        <v>4</v>
      </c>
      <c r="S33" s="9" t="n">
        <v>23</v>
      </c>
      <c r="T33" s="9" t="n">
        <v>5</v>
      </c>
      <c r="U33" s="9" t="n">
        <v>2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986</v>
      </c>
      <c r="AB33" s="10" t="n">
        <v>1955</v>
      </c>
      <c r="AC33" s="10" t="n">
        <v>3</v>
      </c>
      <c r="AD33" s="10" t="n">
        <v>0</v>
      </c>
      <c r="AE33" s="10" t="n">
        <v>1958</v>
      </c>
      <c r="AF33" s="10" t="n">
        <v>0</v>
      </c>
    </row>
    <row r="34">
      <c r="A34" s="7" t="n">
        <v>29</v>
      </c>
      <c r="B34" s="8" t="inlineStr">
        <is>
          <t>Polling Station 29</t>
        </is>
      </c>
      <c r="C34" s="9" t="n">
        <v>297</v>
      </c>
      <c r="D34" s="9" t="n">
        <v>246</v>
      </c>
      <c r="E34" s="9" t="n">
        <v>175</v>
      </c>
      <c r="F34" s="9" t="n">
        <v>4</v>
      </c>
      <c r="G34" s="9" t="n">
        <v>15</v>
      </c>
      <c r="H34" s="9" t="n">
        <v>0</v>
      </c>
      <c r="I34" s="9" t="n">
        <v>0</v>
      </c>
      <c r="J34" s="9" t="n">
        <v>0</v>
      </c>
      <c r="K34" s="9" t="n">
        <v>2</v>
      </c>
      <c r="L34" s="9" t="n">
        <v>0</v>
      </c>
      <c r="M34" s="9" t="n">
        <v>0</v>
      </c>
      <c r="N34" s="9" t="n">
        <v>3</v>
      </c>
      <c r="O34" s="9" t="n">
        <v>1</v>
      </c>
      <c r="P34" s="9" t="n">
        <v>0</v>
      </c>
      <c r="Q34" s="9" t="n">
        <v>9</v>
      </c>
      <c r="R34" s="9" t="n">
        <v>0</v>
      </c>
      <c r="S34" s="9" t="n">
        <v>8</v>
      </c>
      <c r="T34" s="9" t="n">
        <v>3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1</v>
      </c>
      <c r="AA34" s="9" t="n">
        <v>774</v>
      </c>
      <c r="AB34" s="10" t="n">
        <v>1538</v>
      </c>
      <c r="AC34" s="10" t="n">
        <v>2</v>
      </c>
      <c r="AD34" s="10" t="n">
        <v>0</v>
      </c>
      <c r="AE34" s="10" t="n">
        <v>1540</v>
      </c>
      <c r="AF34" s="10" t="n">
        <v>0</v>
      </c>
    </row>
    <row r="35">
      <c r="A35" s="7" t="n">
        <v>30</v>
      </c>
      <c r="B35" s="8" t="inlineStr">
        <is>
          <t>Polling Station 30</t>
        </is>
      </c>
      <c r="C35" s="9" t="n">
        <v>277</v>
      </c>
      <c r="D35" s="9" t="n">
        <v>172</v>
      </c>
      <c r="E35" s="9" t="n">
        <v>85</v>
      </c>
      <c r="F35" s="9" t="n">
        <v>1</v>
      </c>
      <c r="G35" s="9" t="n">
        <v>6</v>
      </c>
      <c r="H35" s="9" t="n">
        <v>1</v>
      </c>
      <c r="I35" s="9" t="n">
        <v>0</v>
      </c>
      <c r="J35" s="9" t="n">
        <v>0</v>
      </c>
      <c r="K35" s="9" t="n">
        <v>0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0</v>
      </c>
      <c r="Q35" s="9" t="n">
        <v>4</v>
      </c>
      <c r="R35" s="9" t="n">
        <v>4</v>
      </c>
      <c r="S35" s="9" t="n">
        <v>5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2</v>
      </c>
      <c r="AA35" s="9" t="n">
        <v>563</v>
      </c>
      <c r="AB35" s="10" t="n">
        <v>1124</v>
      </c>
      <c r="AC35" s="10" t="n">
        <v>0</v>
      </c>
      <c r="AD35" s="10" t="n">
        <v>0</v>
      </c>
      <c r="AE35" s="10" t="n">
        <v>1124</v>
      </c>
      <c r="AF35" s="10" t="n">
        <v>0</v>
      </c>
    </row>
    <row r="36">
      <c r="A36" s="7" t="n">
        <v>31</v>
      </c>
      <c r="B36" s="8" t="inlineStr">
        <is>
          <t>Polling Station 31</t>
        </is>
      </c>
      <c r="C36" s="9" t="n">
        <v>240</v>
      </c>
      <c r="D36" s="9" t="n">
        <v>169</v>
      </c>
      <c r="E36" s="9" t="n">
        <v>94</v>
      </c>
      <c r="F36" s="9" t="n">
        <v>1</v>
      </c>
      <c r="G36" s="9" t="n">
        <v>8</v>
      </c>
      <c r="H36" s="9" t="n">
        <v>0</v>
      </c>
      <c r="I36" s="9" t="n">
        <v>0</v>
      </c>
      <c r="J36" s="9" t="n">
        <v>1</v>
      </c>
      <c r="K36" s="9" t="n">
        <v>0</v>
      </c>
      <c r="L36" s="9" t="n">
        <v>0</v>
      </c>
      <c r="M36" s="9" t="n">
        <v>5</v>
      </c>
      <c r="N36" s="9" t="n">
        <v>0</v>
      </c>
      <c r="O36" s="9" t="n">
        <v>1</v>
      </c>
      <c r="P36" s="9" t="n">
        <v>2</v>
      </c>
      <c r="Q36" s="9" t="n">
        <v>3</v>
      </c>
      <c r="R36" s="9" t="n">
        <v>3</v>
      </c>
      <c r="S36" s="9" t="n">
        <v>6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1</v>
      </c>
      <c r="AA36" s="9" t="n">
        <v>538</v>
      </c>
      <c r="AB36" s="10" t="n">
        <v>1072</v>
      </c>
      <c r="AC36" s="10" t="n">
        <v>5</v>
      </c>
      <c r="AD36" s="10" t="n">
        <v>0</v>
      </c>
      <c r="AE36" s="10" t="n">
        <v>1077</v>
      </c>
      <c r="AF36" s="10" t="n">
        <v>0</v>
      </c>
    </row>
    <row r="37">
      <c r="A37" s="7" t="n">
        <v>32</v>
      </c>
      <c r="B37" s="8" t="inlineStr">
        <is>
          <t>Polling Station 32</t>
        </is>
      </c>
      <c r="C37" s="9" t="n">
        <v>212</v>
      </c>
      <c r="D37" s="9" t="n">
        <v>159</v>
      </c>
      <c r="E37" s="9" t="n">
        <v>264</v>
      </c>
      <c r="F37" s="9" t="n">
        <v>5</v>
      </c>
      <c r="G37" s="9" t="n">
        <v>4</v>
      </c>
      <c r="H37" s="9" t="n">
        <v>1</v>
      </c>
      <c r="I37" s="9" t="n">
        <v>0</v>
      </c>
      <c r="J37" s="9" t="n">
        <v>0</v>
      </c>
      <c r="K37" s="9" t="n">
        <v>0</v>
      </c>
      <c r="L37" s="9" t="n">
        <v>1</v>
      </c>
      <c r="M37" s="9" t="n">
        <v>0</v>
      </c>
      <c r="N37" s="9" t="n">
        <v>4</v>
      </c>
      <c r="O37" s="9" t="n">
        <v>0</v>
      </c>
      <c r="P37" s="9" t="n">
        <v>0</v>
      </c>
      <c r="Q37" s="9" t="n">
        <v>4</v>
      </c>
      <c r="R37" s="9" t="n">
        <v>4</v>
      </c>
      <c r="S37" s="9" t="n">
        <v>6</v>
      </c>
      <c r="T37" s="9" t="n">
        <v>0</v>
      </c>
      <c r="U37" s="9" t="n">
        <v>1</v>
      </c>
      <c r="V37" s="9" t="n">
        <v>1</v>
      </c>
      <c r="W37" s="9" t="n">
        <v>0</v>
      </c>
      <c r="X37" s="9" t="n">
        <v>0</v>
      </c>
      <c r="Y37" s="9" t="n">
        <v>1</v>
      </c>
      <c r="Z37" s="9" t="n">
        <v>0</v>
      </c>
      <c r="AA37" s="9" t="n">
        <v>671</v>
      </c>
      <c r="AB37" s="10" t="n">
        <v>1338</v>
      </c>
      <c r="AC37" s="10" t="n">
        <v>2</v>
      </c>
      <c r="AD37" s="10" t="n">
        <v>0</v>
      </c>
      <c r="AE37" s="10" t="n">
        <v>1340</v>
      </c>
      <c r="AF37" s="10" t="n">
        <v>0</v>
      </c>
    </row>
    <row r="38">
      <c r="A38" s="7" t="n">
        <v>33</v>
      </c>
      <c r="B38" s="8" t="inlineStr">
        <is>
          <t>Polling Station 33</t>
        </is>
      </c>
      <c r="C38" s="9" t="n">
        <v>162</v>
      </c>
      <c r="D38" s="9" t="n">
        <v>166</v>
      </c>
      <c r="E38" s="9" t="n">
        <v>137</v>
      </c>
      <c r="F38" s="9" t="n">
        <v>2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1</v>
      </c>
      <c r="M38" s="9" t="n">
        <v>1</v>
      </c>
      <c r="N38" s="9" t="n">
        <v>0</v>
      </c>
      <c r="O38" s="9" t="n">
        <v>0</v>
      </c>
      <c r="P38" s="9" t="n">
        <v>0</v>
      </c>
      <c r="Q38" s="9" t="n">
        <v>3</v>
      </c>
      <c r="R38" s="9" t="n">
        <v>2</v>
      </c>
      <c r="S38" s="9" t="n">
        <v>8</v>
      </c>
      <c r="T38" s="9" t="n">
        <v>0</v>
      </c>
      <c r="U38" s="9" t="n">
        <v>4</v>
      </c>
      <c r="V38" s="9" t="n">
        <v>0</v>
      </c>
      <c r="W38" s="9" t="n">
        <v>0</v>
      </c>
      <c r="X38" s="9" t="n">
        <v>1</v>
      </c>
      <c r="Y38" s="9" t="n">
        <v>0</v>
      </c>
      <c r="Z38" s="9" t="n">
        <v>1</v>
      </c>
      <c r="AA38" s="9" t="n">
        <v>496</v>
      </c>
      <c r="AB38" s="10" t="n">
        <v>984</v>
      </c>
      <c r="AC38" s="10" t="n">
        <v>6</v>
      </c>
      <c r="AD38" s="10" t="n">
        <v>0</v>
      </c>
      <c r="AE38" s="10" t="n">
        <v>990</v>
      </c>
      <c r="AF38" s="10" t="n">
        <v>0</v>
      </c>
    </row>
    <row r="39">
      <c r="A39" s="7" t="n">
        <v>34</v>
      </c>
      <c r="B39" s="8" t="inlineStr">
        <is>
          <t>O06</t>
        </is>
      </c>
      <c r="C39" s="9" t="n">
        <v>411</v>
      </c>
      <c r="D39" s="9" t="n">
        <v>152</v>
      </c>
      <c r="E39" s="9" t="n">
        <v>167</v>
      </c>
      <c r="F39" s="9" t="n">
        <v>7</v>
      </c>
      <c r="G39" s="9" t="n">
        <v>1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13</v>
      </c>
      <c r="N39" s="9" t="n">
        <v>6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126</v>
      </c>
      <c r="T39" s="9" t="n">
        <v>0</v>
      </c>
      <c r="U39" s="9" t="n">
        <v>0</v>
      </c>
      <c r="V39" s="9" t="n">
        <v>4</v>
      </c>
      <c r="W39" s="9" t="n">
        <v>2</v>
      </c>
      <c r="X39" s="9" t="n">
        <v>0</v>
      </c>
      <c r="Y39" s="9" t="n">
        <v>0</v>
      </c>
      <c r="Z39" s="9" t="n">
        <v>0</v>
      </c>
      <c r="AA39" s="9" t="n">
        <v>72</v>
      </c>
      <c r="AB39" s="10" t="n">
        <v>961</v>
      </c>
      <c r="AC39" s="10" t="n">
        <v>0</v>
      </c>
      <c r="AD39" s="10" t="n">
        <v>0</v>
      </c>
      <c r="AE39" s="10" t="n">
        <v>961</v>
      </c>
      <c r="AF39" s="10" t="n">
        <v>0</v>
      </c>
    </row>
    <row r="40">
      <c r="A40" s="7" t="n">
        <v>35</v>
      </c>
      <c r="B40" s="8" t="inlineStr">
        <is>
          <t>Polling Station 35</t>
        </is>
      </c>
      <c r="C40" s="9" t="n">
        <v>3</v>
      </c>
      <c r="D40" s="9" t="n">
        <v>4</v>
      </c>
      <c r="E40" s="9" t="n">
        <v>5</v>
      </c>
      <c r="F40" s="9" t="n">
        <v>6</v>
      </c>
      <c r="G40" s="9" t="n">
        <v>0</v>
      </c>
      <c r="H40" s="9" t="n">
        <v>0</v>
      </c>
      <c r="I40" s="9" t="n">
        <v>9</v>
      </c>
      <c r="J40" s="9" t="n">
        <v>10</v>
      </c>
      <c r="K40" s="9" t="n">
        <v>11</v>
      </c>
      <c r="L40" s="9" t="n">
        <v>12</v>
      </c>
      <c r="M40" s="9" t="n">
        <v>13</v>
      </c>
      <c r="N40" s="9" t="n">
        <v>14</v>
      </c>
      <c r="O40" s="9" t="n">
        <v>15</v>
      </c>
      <c r="P40" s="9" t="n">
        <v>16</v>
      </c>
      <c r="Q40" s="9" t="n">
        <v>17</v>
      </c>
      <c r="R40" s="9" t="n">
        <v>18</v>
      </c>
      <c r="S40" s="9" t="n">
        <v>19</v>
      </c>
      <c r="T40" s="9" t="n">
        <v>20</v>
      </c>
      <c r="U40" s="9" t="n">
        <v>21</v>
      </c>
      <c r="V40" s="9" t="n">
        <v>22</v>
      </c>
      <c r="W40" s="9" t="n">
        <v>23</v>
      </c>
      <c r="X40" s="9" t="n">
        <v>24</v>
      </c>
      <c r="Y40" s="9" t="n">
        <v>25</v>
      </c>
      <c r="Z40" s="9" t="n">
        <v>26</v>
      </c>
      <c r="AA40" s="9" t="n">
        <v>0</v>
      </c>
      <c r="AB40" s="10" t="n">
        <v>333</v>
      </c>
      <c r="AC40" s="10" t="n">
        <v>29</v>
      </c>
      <c r="AD40" s="10" t="n">
        <v>30</v>
      </c>
      <c r="AE40" s="10" t="n">
        <v>392</v>
      </c>
      <c r="AF40" s="10" t="n">
        <v>0</v>
      </c>
    </row>
    <row r="41">
      <c r="A41" s="7" t="n">
        <v>36</v>
      </c>
      <c r="B41" s="8" t="inlineStr">
        <is>
          <t>Polling Station 36</t>
        </is>
      </c>
      <c r="C41" s="9" t="n">
        <v>237</v>
      </c>
      <c r="D41" s="9" t="n">
        <v>180</v>
      </c>
      <c r="E41" s="9" t="n">
        <v>226</v>
      </c>
      <c r="F41" s="9" t="n">
        <v>0</v>
      </c>
      <c r="G41" s="9" t="n">
        <v>2</v>
      </c>
      <c r="H41" s="9" t="n">
        <v>0</v>
      </c>
      <c r="I41" s="9" t="n">
        <v>0</v>
      </c>
      <c r="J41" s="9" t="n">
        <v>1</v>
      </c>
      <c r="K41" s="9" t="n">
        <v>0</v>
      </c>
      <c r="L41" s="9" t="n">
        <v>1</v>
      </c>
      <c r="M41" s="9" t="n">
        <v>3</v>
      </c>
      <c r="N41" s="9" t="n">
        <v>0</v>
      </c>
      <c r="O41" s="9" t="n">
        <v>1</v>
      </c>
      <c r="P41" s="9" t="n">
        <v>2</v>
      </c>
      <c r="Q41" s="9" t="n">
        <v>10</v>
      </c>
      <c r="R41" s="9" t="n">
        <v>7</v>
      </c>
      <c r="S41" s="9" t="n">
        <v>12</v>
      </c>
      <c r="T41" s="9" t="n">
        <v>1</v>
      </c>
      <c r="U41" s="9" t="n">
        <v>1</v>
      </c>
      <c r="V41" s="9" t="n">
        <v>1</v>
      </c>
      <c r="W41" s="9" t="n">
        <v>0</v>
      </c>
      <c r="X41" s="9" t="n">
        <v>1</v>
      </c>
      <c r="Y41" s="9" t="n">
        <v>0</v>
      </c>
      <c r="Z41" s="9" t="n">
        <v>1</v>
      </c>
      <c r="AA41" s="9" t="n">
        <v>698</v>
      </c>
      <c r="AB41" s="10" t="n">
        <v>1385</v>
      </c>
      <c r="AC41" s="10" t="n">
        <v>2</v>
      </c>
      <c r="AD41" s="10" t="n">
        <v>0</v>
      </c>
      <c r="AE41" s="10" t="n">
        <v>1387</v>
      </c>
      <c r="AF41" s="10" t="n">
        <v>0</v>
      </c>
    </row>
    <row r="42">
      <c r="A42" s="7" t="n">
        <v>37</v>
      </c>
      <c r="B42" s="8" t="inlineStr">
        <is>
          <t>Polling Station 37</t>
        </is>
      </c>
      <c r="C42" s="9" t="n">
        <v>170</v>
      </c>
      <c r="D42" s="9" t="n">
        <v>148</v>
      </c>
      <c r="E42" s="9" t="n">
        <v>210</v>
      </c>
      <c r="F42" s="9" t="n">
        <v>3</v>
      </c>
      <c r="G42" s="9" t="n">
        <v>16</v>
      </c>
      <c r="H42" s="9" t="n">
        <v>1</v>
      </c>
      <c r="I42" s="9" t="n">
        <v>3</v>
      </c>
      <c r="J42" s="9" t="n">
        <v>1</v>
      </c>
      <c r="K42" s="9" t="n">
        <v>0</v>
      </c>
      <c r="L42" s="9" t="n">
        <v>0</v>
      </c>
      <c r="M42" s="9" t="n">
        <v>2</v>
      </c>
      <c r="N42" s="9" t="n">
        <v>2</v>
      </c>
      <c r="O42" s="9" t="n">
        <v>1</v>
      </c>
      <c r="P42" s="9" t="n">
        <v>2</v>
      </c>
      <c r="Q42" s="9" t="n">
        <v>10</v>
      </c>
      <c r="R42" s="9" t="n">
        <v>4</v>
      </c>
      <c r="S42" s="9" t="n">
        <v>13</v>
      </c>
      <c r="T42" s="9" t="n">
        <v>1</v>
      </c>
      <c r="U42" s="9" t="n">
        <v>1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4</v>
      </c>
      <c r="AA42" s="9" t="n">
        <v>592</v>
      </c>
      <c r="AB42" s="10" t="n">
        <v>1184</v>
      </c>
      <c r="AC42" s="10" t="n">
        <v>5</v>
      </c>
      <c r="AD42" s="10" t="n">
        <v>0</v>
      </c>
      <c r="AE42" s="10" t="n">
        <v>1189</v>
      </c>
      <c r="AF42" s="10" t="n">
        <v>0</v>
      </c>
    </row>
    <row r="43">
      <c r="A43" s="7" t="n">
        <v>38</v>
      </c>
      <c r="B43" s="8" t="inlineStr">
        <is>
          <t>Polling Station 38</t>
        </is>
      </c>
      <c r="C43" s="9" t="n">
        <v>86</v>
      </c>
      <c r="D43" s="9" t="n">
        <v>156</v>
      </c>
      <c r="E43" s="9" t="n">
        <v>0</v>
      </c>
      <c r="F43" s="9" t="n">
        <v>0</v>
      </c>
      <c r="G43" s="9" t="n">
        <v>1</v>
      </c>
      <c r="H43" s="9" t="n">
        <v>0</v>
      </c>
      <c r="I43" s="9" t="n">
        <v>0</v>
      </c>
      <c r="J43" s="9" t="n">
        <v>0</v>
      </c>
      <c r="K43" s="9" t="n">
        <v>1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1</v>
      </c>
      <c r="R43" s="9" t="n">
        <v>0</v>
      </c>
      <c r="S43" s="9" t="n">
        <v>4</v>
      </c>
      <c r="T43" s="9" t="n">
        <v>2</v>
      </c>
      <c r="U43" s="9" t="n">
        <v>1</v>
      </c>
      <c r="V43" s="9" t="n">
        <v>0</v>
      </c>
      <c r="W43" s="9" t="n">
        <v>1</v>
      </c>
      <c r="X43" s="9" t="n">
        <v>0</v>
      </c>
      <c r="Y43" s="9" t="n">
        <v>0</v>
      </c>
      <c r="Z43" s="9" t="n">
        <v>0</v>
      </c>
      <c r="AA43" s="9" t="n">
        <v>0</v>
      </c>
      <c r="AB43" s="10" t="n">
        <v>253</v>
      </c>
      <c r="AC43" s="10" t="n">
        <v>0</v>
      </c>
      <c r="AD43" s="10" t="n">
        <v>316</v>
      </c>
      <c r="AE43" s="10" t="n">
        <v>569</v>
      </c>
      <c r="AF43" s="10" t="n">
        <v>0</v>
      </c>
    </row>
    <row r="44">
      <c r="A44" s="7" t="n">
        <v>39</v>
      </c>
      <c r="B44" s="8" t="inlineStr">
        <is>
          <t>Polling Station 39</t>
        </is>
      </c>
      <c r="C44" s="9" t="n">
        <v>99</v>
      </c>
      <c r="D44" s="9" t="n">
        <v>323</v>
      </c>
      <c r="E44" s="9" t="n">
        <v>69</v>
      </c>
      <c r="F44" s="9" t="n">
        <v>3</v>
      </c>
      <c r="G44" s="9" t="n">
        <v>0</v>
      </c>
      <c r="H44" s="9" t="n">
        <v>1</v>
      </c>
      <c r="I44" s="9" t="n">
        <v>0</v>
      </c>
      <c r="J44" s="9" t="n">
        <v>0</v>
      </c>
      <c r="K44" s="9" t="n">
        <v>2</v>
      </c>
      <c r="L44" s="9" t="n">
        <v>0</v>
      </c>
      <c r="M44" s="9" t="n">
        <v>0</v>
      </c>
      <c r="N44" s="9" t="n">
        <v>3</v>
      </c>
      <c r="O44" s="9" t="n">
        <v>4</v>
      </c>
      <c r="P44" s="9" t="n">
        <v>1</v>
      </c>
      <c r="Q44" s="9" t="n">
        <v>0</v>
      </c>
      <c r="R44" s="9" t="n">
        <v>2</v>
      </c>
      <c r="S44" s="9" t="n">
        <v>5</v>
      </c>
      <c r="T44" s="9" t="n">
        <v>5</v>
      </c>
      <c r="U44" s="9" t="n">
        <v>1</v>
      </c>
      <c r="V44" s="9" t="n">
        <v>2</v>
      </c>
      <c r="W44" s="9" t="n">
        <v>1</v>
      </c>
      <c r="X44" s="9" t="n">
        <v>4</v>
      </c>
      <c r="Y44" s="9" t="n">
        <v>1</v>
      </c>
      <c r="Z44" s="9" t="n">
        <v>0</v>
      </c>
      <c r="AA44" s="9" t="n">
        <v>543</v>
      </c>
      <c r="AB44" s="10" t="n">
        <v>1069</v>
      </c>
      <c r="AC44" s="10" t="n">
        <v>22</v>
      </c>
      <c r="AD44" s="10" t="n">
        <v>0</v>
      </c>
      <c r="AE44" s="10" t="n">
        <v>1091</v>
      </c>
      <c r="AF44" s="10" t="n">
        <v>0</v>
      </c>
    </row>
    <row r="45">
      <c r="A45" s="7" t="n">
        <v>40</v>
      </c>
      <c r="B45" s="8" t="inlineStr">
        <is>
          <t>AQ</t>
        </is>
      </c>
      <c r="C45" s="9" t="n">
        <v>140</v>
      </c>
      <c r="D45" s="9" t="n">
        <v>310</v>
      </c>
      <c r="E45" s="9" t="n">
        <v>64</v>
      </c>
      <c r="F45" s="9" t="n">
        <v>7</v>
      </c>
      <c r="G45" s="9" t="n">
        <v>5</v>
      </c>
      <c r="H45" s="9" t="n">
        <v>0</v>
      </c>
      <c r="I45" s="9" t="n">
        <v>0</v>
      </c>
      <c r="J45" s="9" t="n">
        <v>1</v>
      </c>
      <c r="K45" s="9" t="n">
        <v>3</v>
      </c>
      <c r="L45" s="9" t="n">
        <v>0</v>
      </c>
      <c r="M45" s="9" t="n">
        <v>1</v>
      </c>
      <c r="N45" s="9" t="n">
        <v>0</v>
      </c>
      <c r="O45" s="9" t="n">
        <v>2</v>
      </c>
      <c r="P45" s="9" t="n">
        <v>3</v>
      </c>
      <c r="Q45" s="9" t="n">
        <v>0</v>
      </c>
      <c r="R45" s="9" t="n">
        <v>3</v>
      </c>
      <c r="S45" s="9" t="n">
        <v>5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550</v>
      </c>
      <c r="AB45" s="10" t="n">
        <v>1094</v>
      </c>
      <c r="AC45" s="10" t="n">
        <v>0</v>
      </c>
      <c r="AD45" s="10" t="n">
        <v>0</v>
      </c>
      <c r="AE45" s="10" t="n">
        <v>1094</v>
      </c>
      <c r="AF45" s="10" t="n">
        <v>0</v>
      </c>
    </row>
    <row r="46">
      <c r="A46" s="7" t="n">
        <v>41</v>
      </c>
      <c r="B46" s="8" t="inlineStr">
        <is>
          <t>AL</t>
        </is>
      </c>
      <c r="C46" s="9" t="n">
        <v>243</v>
      </c>
      <c r="D46" s="9" t="n">
        <v>1182</v>
      </c>
      <c r="E46" s="9" t="n">
        <v>225</v>
      </c>
      <c r="F46" s="9" t="n">
        <v>0</v>
      </c>
      <c r="G46" s="9" t="n">
        <v>5</v>
      </c>
      <c r="H46" s="9" t="n">
        <v>0</v>
      </c>
      <c r="I46" s="9" t="n">
        <v>0</v>
      </c>
      <c r="J46" s="9" t="n">
        <v>1</v>
      </c>
      <c r="K46" s="9" t="n">
        <v>0</v>
      </c>
      <c r="L46" s="9" t="n">
        <v>0</v>
      </c>
      <c r="M46" s="9" t="n">
        <v>1</v>
      </c>
      <c r="N46" s="9" t="n">
        <v>0</v>
      </c>
      <c r="O46" s="9" t="n">
        <v>2</v>
      </c>
      <c r="P46" s="9" t="n">
        <v>1</v>
      </c>
      <c r="Q46" s="9" t="n">
        <v>0</v>
      </c>
      <c r="R46" s="9" t="n">
        <v>5</v>
      </c>
      <c r="S46" s="9" t="n">
        <v>18</v>
      </c>
      <c r="T46" s="9" t="n">
        <v>3</v>
      </c>
      <c r="U46" s="9" t="n">
        <v>2</v>
      </c>
      <c r="V46" s="9" t="n">
        <v>1</v>
      </c>
      <c r="W46" s="9" t="n">
        <v>1</v>
      </c>
      <c r="X46" s="9" t="n">
        <v>0</v>
      </c>
      <c r="Y46" s="9" t="n">
        <v>1</v>
      </c>
      <c r="Z46" s="9" t="n">
        <v>0</v>
      </c>
      <c r="AA46" s="9" t="n">
        <v>0</v>
      </c>
      <c r="AB46" s="10" t="n">
        <v>1691</v>
      </c>
      <c r="AC46" s="10" t="n">
        <v>0</v>
      </c>
      <c r="AD46" s="10" t="n">
        <v>0</v>
      </c>
      <c r="AE46" s="10" t="n">
        <v>1691</v>
      </c>
      <c r="AF46" s="10" t="n">
        <v>0</v>
      </c>
    </row>
    <row r="47">
      <c r="A47" s="7" t="n">
        <v>42</v>
      </c>
      <c r="B47" s="8" t="inlineStr">
        <is>
          <t>‘42</t>
        </is>
      </c>
      <c r="C47" s="9" t="n">
        <v>1365</v>
      </c>
      <c r="D47" s="9" t="n">
        <v>164</v>
      </c>
      <c r="E47" s="9" t="n">
        <v>198</v>
      </c>
      <c r="F47" s="9" t="n">
        <v>3</v>
      </c>
      <c r="G47" s="9" t="n">
        <v>6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2</v>
      </c>
      <c r="P47" s="9" t="n">
        <v>2</v>
      </c>
      <c r="Q47" s="9" t="n">
        <v>0</v>
      </c>
      <c r="R47" s="9" t="n">
        <v>0</v>
      </c>
      <c r="S47" s="9" t="n">
        <v>13</v>
      </c>
      <c r="T47" s="9" t="n">
        <v>3</v>
      </c>
      <c r="U47" s="9" t="n">
        <v>1</v>
      </c>
      <c r="V47" s="9" t="n">
        <v>0</v>
      </c>
      <c r="W47" s="9" t="n">
        <v>2</v>
      </c>
      <c r="X47" s="9" t="n">
        <v>0</v>
      </c>
      <c r="Y47" s="9" t="n">
        <v>0</v>
      </c>
      <c r="Z47" s="9" t="n">
        <v>0</v>
      </c>
      <c r="AA47" s="9" t="n">
        <v>0</v>
      </c>
      <c r="AB47" s="10" t="n">
        <v>1759</v>
      </c>
      <c r="AC47" s="10" t="n">
        <v>2</v>
      </c>
      <c r="AD47" s="10" t="n">
        <v>0</v>
      </c>
      <c r="AE47" s="10" t="n">
        <v>1761</v>
      </c>
      <c r="AF47" s="10" t="n">
        <v>0</v>
      </c>
    </row>
    <row r="48">
      <c r="A48" s="7" t="n">
        <v>43</v>
      </c>
      <c r="B48" s="8" t="inlineStr">
        <is>
          <t>Polling Station 43</t>
        </is>
      </c>
      <c r="C48" s="9" t="n">
        <v>344</v>
      </c>
      <c r="D48" s="9" t="n">
        <v>147</v>
      </c>
      <c r="E48" s="9" t="n">
        <v>251</v>
      </c>
      <c r="F48" s="9" t="n">
        <v>0</v>
      </c>
      <c r="G48" s="9" t="n">
        <v>9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2</v>
      </c>
      <c r="N48" s="9" t="n">
        <v>0</v>
      </c>
      <c r="O48" s="9" t="n">
        <v>0</v>
      </c>
      <c r="P48" s="9" t="n">
        <v>4</v>
      </c>
      <c r="Q48" s="9" t="n">
        <v>0</v>
      </c>
      <c r="R48" s="9" t="n">
        <v>1</v>
      </c>
      <c r="S48" s="9" t="n">
        <v>17</v>
      </c>
      <c r="T48" s="9" t="n">
        <v>4</v>
      </c>
      <c r="U48" s="9" t="n">
        <v>1</v>
      </c>
      <c r="V48" s="9" t="n">
        <v>1</v>
      </c>
      <c r="W48" s="9" t="n">
        <v>0</v>
      </c>
      <c r="X48" s="9" t="n">
        <v>4</v>
      </c>
      <c r="Y48" s="9" t="n">
        <v>0</v>
      </c>
      <c r="Z48" s="9" t="n">
        <v>0</v>
      </c>
      <c r="AA48" s="9" t="n">
        <v>806</v>
      </c>
      <c r="AB48" s="10" t="n">
        <v>1591</v>
      </c>
      <c r="AC48" s="10" t="n">
        <v>0</v>
      </c>
      <c r="AD48" s="10" t="n">
        <v>0</v>
      </c>
      <c r="AE48" s="10" t="n">
        <v>1591</v>
      </c>
      <c r="AF48" s="10" t="n">
        <v>0</v>
      </c>
    </row>
    <row r="49">
      <c r="A49" s="7" t="n">
        <v>44</v>
      </c>
      <c r="B49" s="8" t="inlineStr">
        <is>
          <t>Polling Station 44</t>
        </is>
      </c>
      <c r="C49" s="9" t="n">
        <v>215</v>
      </c>
      <c r="D49" s="9" t="n">
        <v>79</v>
      </c>
      <c r="E49" s="9" t="n">
        <v>225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3</v>
      </c>
      <c r="P49" s="9" t="n">
        <v>0</v>
      </c>
      <c r="Q49" s="9" t="n">
        <v>0</v>
      </c>
      <c r="R49" s="9" t="n">
        <v>11</v>
      </c>
      <c r="S49" s="9" t="n">
        <v>38</v>
      </c>
      <c r="T49" s="9" t="n">
        <v>0</v>
      </c>
      <c r="U49" s="9" t="n">
        <v>10</v>
      </c>
      <c r="V49" s="9" t="n">
        <v>0</v>
      </c>
      <c r="W49" s="9" t="n">
        <v>3</v>
      </c>
      <c r="X49" s="9" t="n">
        <v>2</v>
      </c>
      <c r="Y49" s="9" t="n">
        <v>0</v>
      </c>
      <c r="Z49" s="9" t="n">
        <v>0</v>
      </c>
      <c r="AA49" s="9" t="n">
        <v>614</v>
      </c>
      <c r="AB49" s="10" t="n">
        <v>1200</v>
      </c>
      <c r="AC49" s="10" t="n">
        <v>0</v>
      </c>
      <c r="AD49" s="10" t="n">
        <v>0</v>
      </c>
      <c r="AE49" s="10" t="n">
        <v>1200</v>
      </c>
      <c r="AF49" s="10" t="n">
        <v>0</v>
      </c>
    </row>
    <row r="50">
      <c r="A50" s="7" t="n">
        <v>45</v>
      </c>
      <c r="B50" s="8" t="inlineStr">
        <is>
          <t>Polling Station 45</t>
        </is>
      </c>
      <c r="C50" s="9" t="n">
        <v>220</v>
      </c>
      <c r="D50" s="9" t="n">
        <v>70</v>
      </c>
      <c r="E50" s="9" t="n">
        <v>210</v>
      </c>
      <c r="F50" s="9" t="n">
        <v>0</v>
      </c>
      <c r="G50" s="9" t="n">
        <v>10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1</v>
      </c>
      <c r="M50" s="9" t="n">
        <v>4</v>
      </c>
      <c r="N50" s="9" t="n">
        <v>0</v>
      </c>
      <c r="O50" s="9" t="n">
        <v>3</v>
      </c>
      <c r="P50" s="9" t="n">
        <v>1</v>
      </c>
      <c r="Q50" s="9" t="n">
        <v>0</v>
      </c>
      <c r="R50" s="9" t="n">
        <v>5</v>
      </c>
      <c r="S50" s="9" t="n">
        <v>14</v>
      </c>
      <c r="T50" s="9" t="n">
        <v>2</v>
      </c>
      <c r="U50" s="9" t="n">
        <v>1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555</v>
      </c>
      <c r="AB50" s="10" t="n">
        <v>1096</v>
      </c>
      <c r="AC50" s="10" t="n">
        <v>0</v>
      </c>
      <c r="AD50" s="10" t="n">
        <v>0</v>
      </c>
      <c r="AE50" s="10" t="n">
        <v>1096</v>
      </c>
      <c r="AF50" s="10" t="n">
        <v>0</v>
      </c>
    </row>
    <row r="51">
      <c r="A51" s="7" t="n">
        <v>46</v>
      </c>
      <c r="B51" s="8" t="inlineStr">
        <is>
          <t>AG!</t>
        </is>
      </c>
      <c r="C51" s="9" t="n">
        <v>340</v>
      </c>
      <c r="D51" s="9" t="n">
        <v>145</v>
      </c>
      <c r="E51" s="9" t="n">
        <v>388</v>
      </c>
      <c r="F51" s="9" t="n">
        <v>12</v>
      </c>
      <c r="G51" s="9" t="n">
        <v>0</v>
      </c>
      <c r="H51" s="9" t="n">
        <v>37</v>
      </c>
      <c r="I51" s="9" t="n">
        <v>0</v>
      </c>
      <c r="J51" s="9" t="n">
        <v>0</v>
      </c>
      <c r="K51" s="9" t="n">
        <v>3</v>
      </c>
      <c r="L51" s="9" t="n">
        <v>0</v>
      </c>
      <c r="M51" s="9" t="n">
        <v>2</v>
      </c>
      <c r="N51" s="9" t="n">
        <v>0</v>
      </c>
      <c r="O51" s="9" t="n">
        <v>0</v>
      </c>
      <c r="P51" s="9" t="n">
        <v>1</v>
      </c>
      <c r="Q51" s="9" t="n">
        <v>0</v>
      </c>
      <c r="R51" s="9" t="n">
        <v>2</v>
      </c>
      <c r="S51" s="9" t="n">
        <v>8</v>
      </c>
      <c r="T51" s="9" t="n">
        <v>2</v>
      </c>
      <c r="U51" s="9" t="n">
        <v>3</v>
      </c>
      <c r="V51" s="9" t="n">
        <v>1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932</v>
      </c>
      <c r="AB51" s="10" t="n">
        <v>1876</v>
      </c>
      <c r="AC51" s="10" t="n">
        <v>14</v>
      </c>
      <c r="AD51" s="10" t="n">
        <v>0</v>
      </c>
      <c r="AE51" s="10" t="n">
        <v>1890</v>
      </c>
      <c r="AF51" s="10" t="n">
        <v>0</v>
      </c>
    </row>
    <row r="52">
      <c r="A52" s="7" t="n">
        <v>47</v>
      </c>
      <c r="B52" s="8" t="inlineStr">
        <is>
          <t>Polling Station 47</t>
        </is>
      </c>
      <c r="C52" s="9" t="n">
        <v>257</v>
      </c>
      <c r="D52" s="9" t="n">
        <v>170</v>
      </c>
      <c r="E52" s="9" t="n">
        <v>330</v>
      </c>
      <c r="F52" s="9" t="n">
        <v>0</v>
      </c>
      <c r="G52" s="9" t="n">
        <v>0</v>
      </c>
      <c r="H52" s="9" t="n">
        <v>2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1</v>
      </c>
      <c r="N52" s="9" t="n">
        <v>0</v>
      </c>
      <c r="O52" s="9" t="n">
        <v>1</v>
      </c>
      <c r="P52" s="9" t="n">
        <v>4</v>
      </c>
      <c r="Q52" s="9" t="n">
        <v>7</v>
      </c>
      <c r="R52" s="9" t="n">
        <v>3</v>
      </c>
      <c r="S52" s="9" t="n">
        <v>27</v>
      </c>
      <c r="T52" s="9" t="n">
        <v>4</v>
      </c>
      <c r="U52" s="9" t="n">
        <v>0</v>
      </c>
      <c r="V52" s="9" t="n">
        <v>1</v>
      </c>
      <c r="W52" s="9" t="n">
        <v>0</v>
      </c>
      <c r="X52" s="9" t="n">
        <v>5</v>
      </c>
      <c r="Y52" s="9" t="n">
        <v>0</v>
      </c>
      <c r="Z52" s="9" t="n">
        <v>0</v>
      </c>
      <c r="AA52" s="9" t="n">
        <v>830</v>
      </c>
      <c r="AB52" s="10" t="n">
        <v>1642</v>
      </c>
      <c r="AC52" s="10" t="n">
        <v>0</v>
      </c>
      <c r="AD52" s="10" t="n">
        <v>0</v>
      </c>
      <c r="AE52" s="10" t="n">
        <v>1642</v>
      </c>
      <c r="AF52" s="10" t="n">
        <v>0</v>
      </c>
    </row>
    <row r="53">
      <c r="A53" s="7" t="n">
        <v>48</v>
      </c>
      <c r="B53" s="8" t="inlineStr">
        <is>
          <t>Polling Station 48</t>
        </is>
      </c>
      <c r="C53" s="9" t="n">
        <v>301</v>
      </c>
      <c r="D53" s="9" t="n">
        <v>179</v>
      </c>
      <c r="E53" s="9" t="n">
        <v>241</v>
      </c>
      <c r="F53" s="9" t="n">
        <v>0</v>
      </c>
      <c r="G53" s="9" t="n">
        <v>6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1</v>
      </c>
      <c r="M53" s="9" t="n">
        <v>1</v>
      </c>
      <c r="N53" s="9" t="n">
        <v>0</v>
      </c>
      <c r="O53" s="9" t="n">
        <v>3</v>
      </c>
      <c r="P53" s="9" t="n">
        <v>0</v>
      </c>
      <c r="Q53" s="9" t="n">
        <v>28</v>
      </c>
      <c r="R53" s="9" t="n">
        <v>2</v>
      </c>
      <c r="S53" s="9" t="n">
        <v>0</v>
      </c>
      <c r="T53" s="9" t="n">
        <v>1</v>
      </c>
      <c r="U53" s="9" t="n">
        <v>0</v>
      </c>
      <c r="V53" s="9" t="n">
        <v>0</v>
      </c>
      <c r="W53" s="9" t="n">
        <v>1</v>
      </c>
      <c r="X53" s="9" t="n">
        <v>1</v>
      </c>
      <c r="Y53" s="9" t="n">
        <v>0</v>
      </c>
      <c r="Z53" s="9" t="n">
        <v>0</v>
      </c>
      <c r="AA53" s="9" t="n">
        <v>761</v>
      </c>
      <c r="AB53" s="10" t="n">
        <v>1526</v>
      </c>
      <c r="AC53" s="10" t="n">
        <v>0</v>
      </c>
      <c r="AD53" s="10" t="n">
        <v>0</v>
      </c>
      <c r="AE53" s="10" t="n">
        <v>1526</v>
      </c>
      <c r="AF53" s="10" t="n">
        <v>0</v>
      </c>
    </row>
    <row r="54">
      <c r="A54" s="7" t="n">
        <v>49</v>
      </c>
      <c r="B54" s="8" t="inlineStr">
        <is>
          <t>Polling Station 49</t>
        </is>
      </c>
      <c r="C54" s="9" t="n">
        <v>302</v>
      </c>
      <c r="D54" s="9" t="n">
        <v>118</v>
      </c>
      <c r="E54" s="9" t="n">
        <v>347</v>
      </c>
      <c r="F54" s="9" t="n">
        <v>0</v>
      </c>
      <c r="G54" s="9" t="n">
        <v>7</v>
      </c>
      <c r="H54" s="9" t="n">
        <v>4</v>
      </c>
      <c r="I54" s="9" t="n">
        <v>0</v>
      </c>
      <c r="J54" s="9" t="n">
        <v>0</v>
      </c>
      <c r="K54" s="9" t="n">
        <v>0</v>
      </c>
      <c r="L54" s="9" t="n">
        <v>2</v>
      </c>
      <c r="M54" s="9" t="n">
        <v>1</v>
      </c>
      <c r="N54" s="9" t="n">
        <v>0</v>
      </c>
      <c r="O54" s="9" t="n">
        <v>1</v>
      </c>
      <c r="P54" s="9" t="n">
        <v>0</v>
      </c>
      <c r="Q54" s="9" t="n">
        <v>0</v>
      </c>
      <c r="R54" s="9" t="n">
        <v>2</v>
      </c>
      <c r="S54" s="9" t="n">
        <v>10</v>
      </c>
      <c r="T54" s="9" t="n">
        <v>1</v>
      </c>
      <c r="U54" s="9" t="n">
        <v>2</v>
      </c>
      <c r="V54" s="9" t="n">
        <v>0</v>
      </c>
      <c r="W54" s="9" t="n">
        <v>0</v>
      </c>
      <c r="X54" s="9" t="n">
        <v>0</v>
      </c>
      <c r="Y54" s="9" t="n">
        <v>1</v>
      </c>
      <c r="Z54" s="9" t="n">
        <v>0</v>
      </c>
      <c r="AA54" s="9" t="n">
        <v>0</v>
      </c>
      <c r="AB54" s="10" t="n">
        <v>798</v>
      </c>
      <c r="AC54" s="10" t="n">
        <v>3</v>
      </c>
      <c r="AD54" s="10" t="n">
        <v>0</v>
      </c>
      <c r="AE54" s="10" t="n">
        <v>801</v>
      </c>
      <c r="AF54" s="10" t="n">
        <v>0</v>
      </c>
    </row>
    <row r="55">
      <c r="A55" s="7" t="n">
        <v>50</v>
      </c>
      <c r="B55" s="8" t="inlineStr">
        <is>
          <t>Polling Station 50</t>
        </is>
      </c>
      <c r="C55" s="9" t="n">
        <v>194</v>
      </c>
      <c r="D55" s="9" t="n">
        <v>109</v>
      </c>
      <c r="E55" s="9" t="n">
        <v>303</v>
      </c>
      <c r="F55" s="9" t="n">
        <v>4</v>
      </c>
      <c r="G55" s="9" t="n">
        <v>2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1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2</v>
      </c>
      <c r="S55" s="9" t="n">
        <v>9</v>
      </c>
      <c r="T55" s="9" t="n">
        <v>2</v>
      </c>
      <c r="U55" s="9" t="n">
        <v>0</v>
      </c>
      <c r="V55" s="9" t="n">
        <v>0</v>
      </c>
      <c r="W55" s="9" t="n">
        <v>1</v>
      </c>
      <c r="X55" s="9" t="n">
        <v>0</v>
      </c>
      <c r="Y55" s="9" t="n">
        <v>0</v>
      </c>
      <c r="Z55" s="9" t="n">
        <v>90</v>
      </c>
      <c r="AA55" s="9" t="n">
        <v>0</v>
      </c>
      <c r="AB55" s="10" t="n">
        <v>717</v>
      </c>
      <c r="AC55" s="10" t="n">
        <v>0</v>
      </c>
      <c r="AD55" s="10" t="n">
        <v>0</v>
      </c>
      <c r="AE55" s="10" t="n">
        <v>717</v>
      </c>
      <c r="AF55" s="10" t="n">
        <v>0</v>
      </c>
    </row>
    <row r="56">
      <c r="A56" s="7" t="n">
        <v>51</v>
      </c>
      <c r="B56" s="8" t="inlineStr">
        <is>
          <t>Polling Station 51</t>
        </is>
      </c>
      <c r="C56" s="9" t="n">
        <v>393</v>
      </c>
      <c r="D56" s="9" t="n">
        <v>178</v>
      </c>
      <c r="E56" s="9" t="n">
        <v>275</v>
      </c>
      <c r="F56" s="9" t="n">
        <v>6</v>
      </c>
      <c r="G56" s="9" t="n">
        <v>12</v>
      </c>
      <c r="H56" s="9" t="n">
        <v>0</v>
      </c>
      <c r="I56" s="9" t="n">
        <v>0</v>
      </c>
      <c r="J56" s="9" t="n">
        <v>4</v>
      </c>
      <c r="K56" s="9" t="n">
        <v>0</v>
      </c>
      <c r="L56" s="9" t="n">
        <v>0</v>
      </c>
      <c r="M56" s="9" t="n">
        <v>0</v>
      </c>
      <c r="N56" s="9" t="n">
        <v>3</v>
      </c>
      <c r="O56" s="9" t="n">
        <v>3</v>
      </c>
      <c r="P56" s="9" t="n">
        <v>0</v>
      </c>
      <c r="Q56" s="9" t="n">
        <v>45</v>
      </c>
      <c r="R56" s="9" t="n">
        <v>7</v>
      </c>
      <c r="S56" s="9" t="n">
        <v>16</v>
      </c>
      <c r="T56" s="9" t="n">
        <v>5</v>
      </c>
      <c r="U56" s="9" t="n">
        <v>2</v>
      </c>
      <c r="V56" s="9" t="n">
        <v>1</v>
      </c>
      <c r="W56" s="9" t="n">
        <v>1</v>
      </c>
      <c r="X56" s="9" t="n">
        <v>0</v>
      </c>
      <c r="Y56" s="9" t="n">
        <v>0</v>
      </c>
      <c r="Z56" s="9" t="n">
        <v>0</v>
      </c>
      <c r="AA56" s="9" t="n">
        <v>938</v>
      </c>
      <c r="AB56" s="10" t="n">
        <v>1889</v>
      </c>
      <c r="AC56" s="10" t="n">
        <v>2</v>
      </c>
      <c r="AD56" s="10" t="n">
        <v>0</v>
      </c>
      <c r="AE56" s="10" t="n">
        <v>1891</v>
      </c>
      <c r="AF56" s="10" t="n">
        <v>0</v>
      </c>
    </row>
    <row r="57">
      <c r="A57" s="7" t="n">
        <v>52</v>
      </c>
      <c r="B57" s="8" t="inlineStr">
        <is>
          <t>Polling Station 52</t>
        </is>
      </c>
      <c r="C57" s="9" t="n">
        <v>303</v>
      </c>
      <c r="D57" s="9" t="n">
        <v>219</v>
      </c>
      <c r="E57" s="9" t="n">
        <v>310</v>
      </c>
      <c r="F57" s="9" t="n">
        <v>0</v>
      </c>
      <c r="G57" s="9" t="n">
        <v>3</v>
      </c>
      <c r="H57" s="9" t="n">
        <v>0</v>
      </c>
      <c r="I57" s="9" t="n">
        <v>0</v>
      </c>
      <c r="J57" s="9" t="n">
        <v>0</v>
      </c>
      <c r="K57" s="9" t="n">
        <v>8</v>
      </c>
      <c r="L57" s="9" t="n">
        <v>1</v>
      </c>
      <c r="M57" s="9" t="n">
        <v>0</v>
      </c>
      <c r="N57" s="9" t="n">
        <v>37</v>
      </c>
      <c r="O57" s="9" t="n">
        <v>3</v>
      </c>
      <c r="P57" s="9" t="n">
        <v>0</v>
      </c>
      <c r="Q57" s="9" t="n">
        <v>0</v>
      </c>
      <c r="R57" s="9" t="n">
        <v>6</v>
      </c>
      <c r="S57" s="9" t="n">
        <v>23</v>
      </c>
      <c r="T57" s="9" t="n">
        <v>5</v>
      </c>
      <c r="U57" s="9" t="n">
        <v>1</v>
      </c>
      <c r="V57" s="9" t="n">
        <v>1</v>
      </c>
      <c r="W57" s="9" t="n">
        <v>1</v>
      </c>
      <c r="X57" s="9" t="n">
        <v>1</v>
      </c>
      <c r="Y57" s="9" t="n">
        <v>0</v>
      </c>
      <c r="Z57" s="9" t="n">
        <v>80</v>
      </c>
      <c r="AA57" s="9" t="n">
        <v>907</v>
      </c>
      <c r="AB57" s="10" t="n">
        <v>1909</v>
      </c>
      <c r="AC57" s="10" t="n">
        <v>0</v>
      </c>
      <c r="AD57" s="10" t="n">
        <v>0</v>
      </c>
      <c r="AE57" s="10" t="n">
        <v>1909</v>
      </c>
      <c r="AF57" s="10" t="n">
        <v>0</v>
      </c>
    </row>
    <row r="58">
      <c r="A58" s="7" t="n">
        <v>53</v>
      </c>
      <c r="B58" s="8" t="inlineStr">
        <is>
          <t>S32</t>
        </is>
      </c>
      <c r="C58" s="9" t="n">
        <v>403</v>
      </c>
      <c r="D58" s="9" t="n">
        <v>141</v>
      </c>
      <c r="E58" s="9" t="n">
        <v>370</v>
      </c>
      <c r="F58" s="9" t="n">
        <v>0</v>
      </c>
      <c r="G58" s="9" t="n">
        <v>7</v>
      </c>
      <c r="H58" s="9" t="n">
        <v>0</v>
      </c>
      <c r="I58" s="9" t="n">
        <v>0</v>
      </c>
      <c r="J58" s="9" t="n">
        <v>371</v>
      </c>
      <c r="K58" s="9" t="n">
        <v>0</v>
      </c>
      <c r="L58" s="9" t="n">
        <v>0</v>
      </c>
      <c r="M58" s="9" t="n">
        <v>4</v>
      </c>
      <c r="N58" s="9" t="n">
        <v>0</v>
      </c>
      <c r="O58" s="9" t="n">
        <v>0</v>
      </c>
      <c r="P58" s="9" t="n">
        <v>0</v>
      </c>
      <c r="Q58" s="9" t="n">
        <v>10</v>
      </c>
      <c r="R58" s="9" t="n">
        <v>5</v>
      </c>
      <c r="S58" s="9" t="n">
        <v>14</v>
      </c>
      <c r="T58" s="9" t="n">
        <v>4</v>
      </c>
      <c r="U58" s="9" t="n">
        <v>0</v>
      </c>
      <c r="V58" s="9" t="n">
        <v>0</v>
      </c>
      <c r="W58" s="9" t="n">
        <v>0</v>
      </c>
      <c r="X58" s="9" t="n">
        <v>3</v>
      </c>
      <c r="Y58" s="9" t="n">
        <v>0</v>
      </c>
      <c r="Z58" s="9" t="n">
        <v>0</v>
      </c>
      <c r="AA58" s="9" t="n">
        <v>982</v>
      </c>
      <c r="AB58" s="10" t="n">
        <v>2314</v>
      </c>
      <c r="AC58" s="10" t="n">
        <v>0</v>
      </c>
      <c r="AD58" s="10" t="n">
        <v>0</v>
      </c>
      <c r="AE58" s="10" t="n">
        <v>2314</v>
      </c>
      <c r="AF58" s="10" t="n">
        <v>0</v>
      </c>
    </row>
    <row r="59">
      <c r="A59" s="7" t="n">
        <v>54</v>
      </c>
      <c r="B59" s="8" t="inlineStr">
        <is>
          <t>S4l</t>
        </is>
      </c>
      <c r="C59" s="9" t="n">
        <v>280</v>
      </c>
      <c r="D59" s="9" t="n">
        <v>238</v>
      </c>
      <c r="E59" s="9" t="n">
        <v>235</v>
      </c>
      <c r="F59" s="9" t="n">
        <v>0</v>
      </c>
      <c r="G59" s="9" t="n">
        <v>7</v>
      </c>
      <c r="H59" s="9" t="n">
        <v>33</v>
      </c>
      <c r="I59" s="9" t="n">
        <v>3</v>
      </c>
      <c r="J59" s="9" t="n">
        <v>0</v>
      </c>
      <c r="K59" s="9" t="n">
        <v>35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4</v>
      </c>
      <c r="R59" s="9" t="n">
        <v>0</v>
      </c>
      <c r="S59" s="9" t="n">
        <v>9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793</v>
      </c>
      <c r="AB59" s="10" t="n">
        <v>1637</v>
      </c>
      <c r="AC59" s="10" t="n">
        <v>0</v>
      </c>
      <c r="AD59" s="10" t="n">
        <v>0</v>
      </c>
      <c r="AE59" s="10" t="n">
        <v>1637</v>
      </c>
      <c r="AF59" s="10" t="n">
        <v>0</v>
      </c>
    </row>
    <row r="60">
      <c r="A60" s="7" t="n">
        <v>55</v>
      </c>
      <c r="B60" s="8" t="inlineStr">
        <is>
          <t>Polling Station 55</t>
        </is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3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10" t="n">
        <v>3</v>
      </c>
      <c r="AC60" s="10" t="n">
        <v>0</v>
      </c>
      <c r="AD60" s="10" t="n">
        <v>0</v>
      </c>
      <c r="AE60" s="10" t="n">
        <v>3</v>
      </c>
      <c r="AF60" s="10" t="n">
        <v>0</v>
      </c>
    </row>
    <row r="61">
      <c r="A61" s="7" t="n">
        <v>56</v>
      </c>
      <c r="B61" s="8" t="inlineStr">
        <is>
          <t>Polling Station 56</t>
        </is>
      </c>
      <c r="C61" s="9" t="n">
        <v>3</v>
      </c>
      <c r="D61" s="9" t="n">
        <v>4</v>
      </c>
      <c r="E61" s="9" t="n">
        <v>5</v>
      </c>
      <c r="F61" s="9" t="n">
        <v>6</v>
      </c>
      <c r="G61" s="9" t="n">
        <v>2</v>
      </c>
      <c r="H61" s="9" t="n">
        <v>0</v>
      </c>
      <c r="I61" s="9" t="n">
        <v>9</v>
      </c>
      <c r="J61" s="9" t="n">
        <v>10</v>
      </c>
      <c r="K61" s="9" t="n">
        <v>11</v>
      </c>
      <c r="L61" s="9" t="n">
        <v>12</v>
      </c>
      <c r="M61" s="9" t="n">
        <v>13</v>
      </c>
      <c r="N61" s="9" t="n">
        <v>14</v>
      </c>
      <c r="O61" s="9" t="n">
        <v>15</v>
      </c>
      <c r="P61" s="9" t="n">
        <v>16</v>
      </c>
      <c r="Q61" s="9" t="n">
        <v>17</v>
      </c>
      <c r="R61" s="9" t="n">
        <v>18</v>
      </c>
      <c r="S61" s="9" t="n">
        <v>19</v>
      </c>
      <c r="T61" s="9" t="n">
        <v>20</v>
      </c>
      <c r="U61" s="9" t="n">
        <v>21</v>
      </c>
      <c r="V61" s="9" t="n">
        <v>22</v>
      </c>
      <c r="W61" s="9" t="n">
        <v>23</v>
      </c>
      <c r="X61" s="9" t="n">
        <v>24</v>
      </c>
      <c r="Y61" s="9" t="n">
        <v>25</v>
      </c>
      <c r="Z61" s="9" t="n">
        <v>26</v>
      </c>
      <c r="AA61" s="9" t="n">
        <v>0</v>
      </c>
      <c r="AB61" s="10" t="n">
        <v>335</v>
      </c>
      <c r="AC61" s="10" t="n">
        <v>29</v>
      </c>
      <c r="AD61" s="10" t="n">
        <v>30</v>
      </c>
      <c r="AE61" s="10" t="n">
        <v>394</v>
      </c>
      <c r="AF61" s="10" t="n">
        <v>0</v>
      </c>
    </row>
    <row r="62">
      <c r="A62" s="7" t="n">
        <v>57</v>
      </c>
      <c r="B62" s="8" t="inlineStr">
        <is>
          <t>Polling Station 57</t>
        </is>
      </c>
      <c r="C62" s="9" t="n">
        <v>257</v>
      </c>
      <c r="D62" s="9" t="n">
        <v>121</v>
      </c>
      <c r="E62" s="9" t="n">
        <v>210</v>
      </c>
      <c r="F62" s="9" t="n">
        <v>1</v>
      </c>
      <c r="G62" s="9" t="n">
        <v>4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2</v>
      </c>
      <c r="N62" s="9" t="n">
        <v>0</v>
      </c>
      <c r="O62" s="9" t="n">
        <v>1</v>
      </c>
      <c r="P62" s="9" t="n">
        <v>0</v>
      </c>
      <c r="Q62" s="9" t="n">
        <v>0</v>
      </c>
      <c r="R62" s="9" t="n">
        <v>1</v>
      </c>
      <c r="S62" s="9" t="n">
        <v>4</v>
      </c>
      <c r="T62" s="9" t="n">
        <v>1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606</v>
      </c>
      <c r="AB62" s="10" t="n">
        <v>1208</v>
      </c>
      <c r="AC62" s="10" t="n">
        <v>5</v>
      </c>
      <c r="AD62" s="10" t="n">
        <v>0</v>
      </c>
      <c r="AE62" s="10" t="n">
        <v>1213</v>
      </c>
      <c r="AF62" s="10" t="n">
        <v>0</v>
      </c>
    </row>
    <row r="63">
      <c r="A63" s="7" t="n">
        <v>58</v>
      </c>
      <c r="B63" s="8" t="inlineStr">
        <is>
          <t>Polling Station 58</t>
        </is>
      </c>
      <c r="C63" s="9" t="n">
        <v>256</v>
      </c>
      <c r="D63" s="9" t="n">
        <v>93</v>
      </c>
      <c r="E63" s="9" t="n">
        <v>220</v>
      </c>
      <c r="F63" s="9" t="n">
        <v>2</v>
      </c>
      <c r="G63" s="9" t="n">
        <v>4</v>
      </c>
      <c r="H63" s="9" t="n">
        <v>0</v>
      </c>
      <c r="I63" s="9" t="n">
        <v>3</v>
      </c>
      <c r="J63" s="9" t="n">
        <v>0</v>
      </c>
      <c r="K63" s="9" t="n">
        <v>0</v>
      </c>
      <c r="L63" s="9" t="n">
        <v>0</v>
      </c>
      <c r="M63" s="9" t="n">
        <v>2</v>
      </c>
      <c r="N63" s="9" t="n">
        <v>2</v>
      </c>
      <c r="O63" s="9" t="n">
        <v>2</v>
      </c>
      <c r="P63" s="9" t="n">
        <v>0</v>
      </c>
      <c r="Q63" s="9" t="n">
        <v>6</v>
      </c>
      <c r="R63" s="9" t="n">
        <v>5</v>
      </c>
      <c r="S63" s="9" t="n">
        <v>5</v>
      </c>
      <c r="T63" s="9" t="n">
        <v>2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609</v>
      </c>
      <c r="AB63" s="10" t="n">
        <v>1211</v>
      </c>
      <c r="AC63" s="10" t="n">
        <v>0</v>
      </c>
      <c r="AD63" s="10" t="n">
        <v>0</v>
      </c>
      <c r="AE63" s="10" t="n">
        <v>1211</v>
      </c>
      <c r="AF63" s="10" t="n">
        <v>0</v>
      </c>
    </row>
    <row r="64">
      <c r="A64" s="7" t="n">
        <v>59</v>
      </c>
      <c r="B64" s="8" t="inlineStr">
        <is>
          <t>Polling Station 59</t>
        </is>
      </c>
      <c r="C64" s="9" t="n">
        <v>280</v>
      </c>
      <c r="D64" s="9" t="n">
        <v>154</v>
      </c>
      <c r="E64" s="9" t="n">
        <v>296</v>
      </c>
      <c r="F64" s="9" t="n">
        <v>2</v>
      </c>
      <c r="G64" s="9" t="n">
        <v>5</v>
      </c>
      <c r="H64" s="9" t="n">
        <v>0</v>
      </c>
      <c r="I64" s="9" t="n">
        <v>1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2</v>
      </c>
      <c r="P64" s="9" t="n">
        <v>1</v>
      </c>
      <c r="Q64" s="9" t="n">
        <v>4</v>
      </c>
      <c r="R64" s="9" t="n">
        <v>2</v>
      </c>
      <c r="S64" s="9" t="n">
        <v>5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756</v>
      </c>
      <c r="AB64" s="10" t="n">
        <v>1508</v>
      </c>
      <c r="AC64" s="10" t="n">
        <v>4</v>
      </c>
      <c r="AD64" s="10" t="n">
        <v>0</v>
      </c>
      <c r="AE64" s="10" t="n">
        <v>1512</v>
      </c>
      <c r="AF64" s="10" t="n">
        <v>0</v>
      </c>
    </row>
    <row r="65">
      <c r="A65" s="7" t="n">
        <v>60</v>
      </c>
      <c r="B65" s="8" t="inlineStr">
        <is>
          <t>Polling Station 60</t>
        </is>
      </c>
      <c r="C65" s="9" t="n">
        <v>298</v>
      </c>
      <c r="D65" s="9" t="n">
        <v>102</v>
      </c>
      <c r="E65" s="9" t="n">
        <v>291</v>
      </c>
      <c r="F65" s="9" t="n">
        <v>0</v>
      </c>
      <c r="G65" s="9" t="n">
        <v>6</v>
      </c>
      <c r="H65" s="9" t="n">
        <v>0</v>
      </c>
      <c r="I65" s="9" t="n">
        <v>0</v>
      </c>
      <c r="J65" s="9" t="n">
        <v>6</v>
      </c>
      <c r="K65" s="9" t="n">
        <v>0</v>
      </c>
      <c r="L65" s="9" t="n">
        <v>0</v>
      </c>
      <c r="M65" s="9" t="n">
        <v>1</v>
      </c>
      <c r="N65" s="9" t="n">
        <v>2</v>
      </c>
      <c r="O65" s="9" t="n">
        <v>0</v>
      </c>
      <c r="P65" s="9" t="n">
        <v>0</v>
      </c>
      <c r="Q65" s="9" t="n">
        <v>4</v>
      </c>
      <c r="R65" s="9" t="n">
        <v>2</v>
      </c>
      <c r="S65" s="9" t="n">
        <v>11</v>
      </c>
      <c r="T65" s="9" t="n">
        <v>1</v>
      </c>
      <c r="U65" s="9" t="n">
        <v>0</v>
      </c>
      <c r="V65" s="9" t="n">
        <v>0</v>
      </c>
      <c r="W65" s="9" t="n">
        <v>1</v>
      </c>
      <c r="X65" s="9" t="n">
        <v>0</v>
      </c>
      <c r="Y65" s="9" t="n">
        <v>1</v>
      </c>
      <c r="Z65" s="9" t="n">
        <v>0</v>
      </c>
      <c r="AA65" s="9" t="n">
        <v>724</v>
      </c>
      <c r="AB65" s="10" t="n">
        <v>1450</v>
      </c>
      <c r="AC65" s="10" t="n">
        <v>5</v>
      </c>
      <c r="AD65" s="10" t="n">
        <v>0</v>
      </c>
      <c r="AE65" s="10" t="n">
        <v>1455</v>
      </c>
      <c r="AF65" s="10" t="n">
        <v>0</v>
      </c>
    </row>
    <row r="66">
      <c r="A66" s="7" t="n">
        <v>61</v>
      </c>
      <c r="B66" s="8" t="inlineStr">
        <is>
          <t>Polling Station 61</t>
        </is>
      </c>
      <c r="C66" s="9" t="n">
        <v>207</v>
      </c>
      <c r="D66" s="9" t="n">
        <v>67</v>
      </c>
      <c r="E66" s="9" t="n">
        <v>232</v>
      </c>
      <c r="F66" s="9" t="n">
        <v>0</v>
      </c>
      <c r="G66" s="9" t="n">
        <v>11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2</v>
      </c>
      <c r="N66" s="9" t="n">
        <v>0</v>
      </c>
      <c r="O66" s="9" t="n">
        <v>0</v>
      </c>
      <c r="P66" s="9" t="n">
        <v>3</v>
      </c>
      <c r="Q66" s="9" t="n">
        <v>8</v>
      </c>
      <c r="R66" s="9" t="n">
        <v>6</v>
      </c>
      <c r="S66" s="9" t="n">
        <v>8</v>
      </c>
      <c r="T66" s="9" t="n">
        <v>0</v>
      </c>
      <c r="U66" s="9" t="n">
        <v>0</v>
      </c>
      <c r="V66" s="9" t="n">
        <v>0</v>
      </c>
      <c r="W66" s="9" t="n">
        <v>1</v>
      </c>
      <c r="X66" s="9" t="n">
        <v>0</v>
      </c>
      <c r="Y66" s="9" t="n">
        <v>1</v>
      </c>
      <c r="Z66" s="9" t="n">
        <v>1</v>
      </c>
      <c r="AA66" s="9" t="n">
        <v>549</v>
      </c>
      <c r="AB66" s="10" t="n">
        <v>1096</v>
      </c>
      <c r="AC66" s="10" t="n">
        <v>2</v>
      </c>
      <c r="AD66" s="10" t="n">
        <v>0</v>
      </c>
      <c r="AE66" s="10" t="n">
        <v>1098</v>
      </c>
      <c r="AF66" s="10" t="n">
        <v>0</v>
      </c>
    </row>
    <row r="67">
      <c r="A67" s="7" t="n">
        <v>62</v>
      </c>
      <c r="B67" s="8" t="inlineStr">
        <is>
          <t>Polling Station 62</t>
        </is>
      </c>
      <c r="C67" s="9" t="n">
        <v>173</v>
      </c>
      <c r="D67" s="9" t="n">
        <v>107</v>
      </c>
      <c r="E67" s="9" t="n">
        <v>154</v>
      </c>
      <c r="F67" s="9" t="n">
        <v>6</v>
      </c>
      <c r="G67" s="9" t="n">
        <v>7</v>
      </c>
      <c r="H67" s="9" t="n">
        <v>0</v>
      </c>
      <c r="I67" s="9" t="n">
        <v>2</v>
      </c>
      <c r="J67" s="9" t="n">
        <v>5</v>
      </c>
      <c r="K67" s="9" t="n">
        <v>0</v>
      </c>
      <c r="L67" s="9" t="n">
        <v>1</v>
      </c>
      <c r="M67" s="9" t="n">
        <v>1</v>
      </c>
      <c r="N67" s="9" t="n">
        <v>4</v>
      </c>
      <c r="O67" s="9" t="n">
        <v>3</v>
      </c>
      <c r="P67" s="9" t="n">
        <v>6</v>
      </c>
      <c r="Q67" s="9" t="n">
        <v>0</v>
      </c>
      <c r="R67" s="9" t="n">
        <v>4</v>
      </c>
      <c r="S67" s="9" t="n">
        <v>7</v>
      </c>
      <c r="T67" s="9" t="n">
        <v>2</v>
      </c>
      <c r="U67" s="9" t="n">
        <v>2</v>
      </c>
      <c r="V67" s="9" t="n">
        <v>0</v>
      </c>
      <c r="W67" s="9" t="n">
        <v>0</v>
      </c>
      <c r="X67" s="9" t="n">
        <v>1</v>
      </c>
      <c r="Y67" s="9" t="n">
        <v>1</v>
      </c>
      <c r="Z67" s="9" t="n">
        <v>0</v>
      </c>
      <c r="AA67" s="9" t="n">
        <v>493</v>
      </c>
      <c r="AB67" s="10" t="n">
        <v>979</v>
      </c>
      <c r="AC67" s="10" t="n">
        <v>2</v>
      </c>
      <c r="AD67" s="10" t="n">
        <v>495</v>
      </c>
      <c r="AE67" s="10" t="n">
        <v>1476</v>
      </c>
      <c r="AF67" s="10" t="n">
        <v>0</v>
      </c>
    </row>
    <row r="68">
      <c r="A68" s="7" t="n">
        <v>63</v>
      </c>
      <c r="B68" s="8" t="inlineStr">
        <is>
          <t>Polling Station 63</t>
        </is>
      </c>
      <c r="C68" s="9" t="n">
        <v>236</v>
      </c>
      <c r="D68" s="9" t="n">
        <v>47</v>
      </c>
      <c r="E68" s="9" t="n">
        <v>193</v>
      </c>
      <c r="F68" s="9" t="n">
        <v>0</v>
      </c>
      <c r="G68" s="9" t="n">
        <v>9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1</v>
      </c>
      <c r="O68" s="9" t="n">
        <v>4</v>
      </c>
      <c r="P68" s="9" t="n">
        <v>0</v>
      </c>
      <c r="Q68" s="9" t="n">
        <v>0</v>
      </c>
      <c r="R68" s="9" t="n">
        <v>3</v>
      </c>
      <c r="S68" s="9" t="n">
        <v>12</v>
      </c>
      <c r="T68" s="9" t="n">
        <v>0</v>
      </c>
      <c r="U68" s="9" t="n">
        <v>1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512</v>
      </c>
      <c r="AB68" s="10" t="n">
        <v>1018</v>
      </c>
      <c r="AC68" s="10" t="n">
        <v>0</v>
      </c>
      <c r="AD68" s="10" t="n">
        <v>0</v>
      </c>
      <c r="AE68" s="10" t="n">
        <v>1018</v>
      </c>
      <c r="AF68" s="10" t="n">
        <v>0</v>
      </c>
    </row>
    <row r="69">
      <c r="A69" s="7" t="n">
        <v>64</v>
      </c>
      <c r="B69" s="8" t="inlineStr">
        <is>
          <t>Polling Station 64</t>
        </is>
      </c>
      <c r="C69" s="9" t="n">
        <v>158</v>
      </c>
      <c r="D69" s="9" t="n">
        <v>203</v>
      </c>
      <c r="E69" s="9" t="n">
        <v>188</v>
      </c>
      <c r="F69" s="9" t="n">
        <v>4</v>
      </c>
      <c r="G69" s="9" t="n">
        <v>5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2</v>
      </c>
      <c r="P69" s="9" t="n">
        <v>0</v>
      </c>
      <c r="Q69" s="9" t="n">
        <v>0</v>
      </c>
      <c r="R69" s="9" t="n">
        <v>4</v>
      </c>
      <c r="S69" s="9" t="n">
        <v>16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3</v>
      </c>
      <c r="Z69" s="9" t="n">
        <v>0</v>
      </c>
      <c r="AA69" s="9" t="n">
        <v>599</v>
      </c>
      <c r="AB69" s="10" t="n">
        <v>1182</v>
      </c>
      <c r="AC69" s="10" t="n">
        <v>1</v>
      </c>
      <c r="AD69" s="10" t="n">
        <v>0</v>
      </c>
      <c r="AE69" s="10" t="n">
        <v>1183</v>
      </c>
      <c r="AF69" s="10" t="n">
        <v>0</v>
      </c>
    </row>
    <row r="70">
      <c r="A70" s="7" t="n">
        <v>65</v>
      </c>
      <c r="B70" s="8" t="inlineStr">
        <is>
          <t>Polling Station 65</t>
        </is>
      </c>
      <c r="C70" s="9" t="n">
        <v>227</v>
      </c>
      <c r="D70" s="9" t="n">
        <v>147</v>
      </c>
      <c r="E70" s="9" t="n">
        <v>217</v>
      </c>
      <c r="F70" s="9" t="n">
        <v>0</v>
      </c>
      <c r="G70" s="9" t="n">
        <v>16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2</v>
      </c>
      <c r="N70" s="9" t="n">
        <v>0</v>
      </c>
      <c r="O70" s="9" t="n">
        <v>2</v>
      </c>
      <c r="P70" s="9" t="n">
        <v>0</v>
      </c>
      <c r="Q70" s="9" t="n">
        <v>0</v>
      </c>
      <c r="R70" s="9" t="n">
        <v>4</v>
      </c>
      <c r="S70" s="9" t="n">
        <v>12</v>
      </c>
      <c r="T70" s="9" t="n">
        <v>8</v>
      </c>
      <c r="U70" s="9" t="n">
        <v>0</v>
      </c>
      <c r="V70" s="9" t="n">
        <v>0</v>
      </c>
      <c r="W70" s="9" t="n">
        <v>0</v>
      </c>
      <c r="X70" s="9" t="n">
        <v>2</v>
      </c>
      <c r="Y70" s="9" t="n">
        <v>0</v>
      </c>
      <c r="Z70" s="9" t="n">
        <v>1</v>
      </c>
      <c r="AA70" s="9" t="n">
        <v>675</v>
      </c>
      <c r="AB70" s="10" t="n">
        <v>1313</v>
      </c>
      <c r="AC70" s="10" t="n">
        <v>7</v>
      </c>
      <c r="AD70" s="10" t="n">
        <v>0</v>
      </c>
      <c r="AE70" s="10" t="n">
        <v>1320</v>
      </c>
      <c r="AF70" s="10" t="n">
        <v>0</v>
      </c>
    </row>
    <row r="71">
      <c r="A71" s="7" t="n">
        <v>66</v>
      </c>
      <c r="B71" s="8" t="inlineStr">
        <is>
          <t>Polling Station 66</t>
        </is>
      </c>
      <c r="C71" s="9" t="n">
        <v>130</v>
      </c>
      <c r="D71" s="9" t="n">
        <v>220</v>
      </c>
      <c r="E71" s="9" t="n">
        <v>79</v>
      </c>
      <c r="F71" s="9" t="n">
        <v>0</v>
      </c>
      <c r="G71" s="9" t="n">
        <v>4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1</v>
      </c>
      <c r="M71" s="9" t="n">
        <v>0</v>
      </c>
      <c r="N71" s="9" t="n">
        <v>29</v>
      </c>
      <c r="O71" s="9" t="n">
        <v>2</v>
      </c>
      <c r="P71" s="9" t="n">
        <v>7</v>
      </c>
      <c r="Q71" s="9" t="n">
        <v>0</v>
      </c>
      <c r="R71" s="9" t="n">
        <v>2</v>
      </c>
      <c r="S71" s="9" t="n">
        <v>0</v>
      </c>
      <c r="T71" s="9" t="n">
        <v>3</v>
      </c>
      <c r="U71" s="9" t="n">
        <v>0</v>
      </c>
      <c r="V71" s="9" t="n">
        <v>0</v>
      </c>
      <c r="W71" s="9" t="n">
        <v>0</v>
      </c>
      <c r="X71" s="9" t="n">
        <v>2</v>
      </c>
      <c r="Y71" s="9" t="n">
        <v>1</v>
      </c>
      <c r="Z71" s="9" t="n">
        <v>0</v>
      </c>
      <c r="AA71" s="9" t="n">
        <v>472</v>
      </c>
      <c r="AB71" s="10" t="n">
        <v>952</v>
      </c>
      <c r="AC71" s="10" t="n">
        <v>0</v>
      </c>
      <c r="AD71" s="10" t="n">
        <v>2</v>
      </c>
      <c r="AE71" s="10" t="n">
        <v>954</v>
      </c>
      <c r="AF71" s="10" t="n">
        <v>0</v>
      </c>
    </row>
    <row r="72">
      <c r="A72" s="7" t="n">
        <v>67</v>
      </c>
      <c r="B72" s="8" t="inlineStr">
        <is>
          <t>Polling Station 67</t>
        </is>
      </c>
      <c r="C72" s="9" t="n">
        <v>269</v>
      </c>
      <c r="D72" s="9" t="n">
        <v>175</v>
      </c>
      <c r="E72" s="9" t="n">
        <v>232</v>
      </c>
      <c r="F72" s="9" t="n">
        <v>0</v>
      </c>
      <c r="G72" s="9" t="n">
        <v>1</v>
      </c>
      <c r="H72" s="9" t="n">
        <v>3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2</v>
      </c>
      <c r="N72" s="9" t="n">
        <v>0</v>
      </c>
      <c r="O72" s="9" t="n">
        <v>3</v>
      </c>
      <c r="P72" s="9" t="n">
        <v>0</v>
      </c>
      <c r="Q72" s="9" t="n">
        <v>0</v>
      </c>
      <c r="R72" s="9" t="n">
        <v>5</v>
      </c>
      <c r="S72" s="9" t="n">
        <v>0</v>
      </c>
      <c r="T72" s="9" t="n">
        <v>6</v>
      </c>
      <c r="U72" s="9" t="n">
        <v>2</v>
      </c>
      <c r="V72" s="9" t="n">
        <v>0</v>
      </c>
      <c r="W72" s="9" t="n">
        <v>0</v>
      </c>
      <c r="X72" s="9" t="n">
        <v>3</v>
      </c>
      <c r="Y72" s="9" t="n">
        <v>0</v>
      </c>
      <c r="Z72" s="9" t="n">
        <v>0</v>
      </c>
      <c r="AA72" s="9" t="n">
        <v>788</v>
      </c>
      <c r="AB72" s="10" t="n">
        <v>1489</v>
      </c>
      <c r="AC72" s="10" t="n">
        <v>0</v>
      </c>
      <c r="AD72" s="10" t="n">
        <v>0</v>
      </c>
      <c r="AE72" s="10" t="n">
        <v>1489</v>
      </c>
      <c r="AF72" s="10" t="n">
        <v>0</v>
      </c>
    </row>
    <row r="73">
      <c r="A73" s="7" t="n">
        <v>72</v>
      </c>
      <c r="B73" s="8" t="inlineStr">
        <is>
          <t>Polling Station 72</t>
        </is>
      </c>
      <c r="C73" s="9" t="n">
        <v>269</v>
      </c>
      <c r="D73" s="9" t="n">
        <v>115</v>
      </c>
      <c r="E73" s="9" t="n">
        <v>114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57</v>
      </c>
      <c r="Q73" s="9" t="n">
        <v>0</v>
      </c>
      <c r="R73" s="9" t="n">
        <v>16</v>
      </c>
      <c r="S73" s="9" t="n">
        <v>0</v>
      </c>
      <c r="T73" s="9" t="n">
        <v>0</v>
      </c>
      <c r="U73" s="9" t="n">
        <v>120</v>
      </c>
      <c r="V73" s="9" t="n">
        <v>0</v>
      </c>
      <c r="W73" s="9" t="n">
        <v>0</v>
      </c>
      <c r="X73" s="9" t="n">
        <v>8</v>
      </c>
      <c r="Y73" s="9" t="n">
        <v>1</v>
      </c>
      <c r="Z73" s="9" t="n">
        <v>0</v>
      </c>
      <c r="AA73" s="9" t="n">
        <v>546</v>
      </c>
      <c r="AB73" s="10" t="n">
        <v>1246</v>
      </c>
      <c r="AC73" s="10" t="n">
        <v>4</v>
      </c>
      <c r="AD73" s="10" t="n">
        <v>0</v>
      </c>
      <c r="AE73" s="10" t="n">
        <v>1250</v>
      </c>
      <c r="AF73" s="10" t="n">
        <v>0</v>
      </c>
    </row>
    <row r="74">
      <c r="A74" s="7" t="n">
        <v>106</v>
      </c>
      <c r="B74" s="8" t="inlineStr">
        <is>
          <t>Polling Station 106</t>
        </is>
      </c>
      <c r="C74" s="9" t="n">
        <v>252</v>
      </c>
      <c r="D74" s="9" t="n">
        <v>131</v>
      </c>
      <c r="E74" s="9" t="n">
        <v>134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5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10" t="n">
        <v>522</v>
      </c>
      <c r="AC74" s="10" t="n">
        <v>0</v>
      </c>
      <c r="AD74" s="10" t="n">
        <v>0</v>
      </c>
      <c r="AE74" s="10" t="n">
        <v>522</v>
      </c>
      <c r="AF74" s="10" t="n">
        <v>0</v>
      </c>
    </row>
    <row r="75">
      <c r="A75" s="7" t="n">
        <v>107</v>
      </c>
      <c r="B75" s="8" t="inlineStr">
        <is>
          <t>]</t>
        </is>
      </c>
      <c r="C75" s="9" t="n">
        <v>234</v>
      </c>
      <c r="D75" s="9" t="n">
        <v>67</v>
      </c>
      <c r="E75" s="9" t="n">
        <v>39</v>
      </c>
      <c r="F75" s="9" t="n">
        <v>74</v>
      </c>
      <c r="G75" s="9" t="n">
        <v>2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1</v>
      </c>
      <c r="M75" s="9" t="n">
        <v>4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4</v>
      </c>
      <c r="S75" s="9" t="n">
        <v>0</v>
      </c>
      <c r="T75" s="9" t="n">
        <v>1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10" t="n">
        <v>426</v>
      </c>
      <c r="AC75" s="10" t="n">
        <v>0</v>
      </c>
      <c r="AD75" s="10" t="n">
        <v>0</v>
      </c>
      <c r="AE75" s="10" t="n">
        <v>426</v>
      </c>
      <c r="AF75" s="10" t="n">
        <v>0</v>
      </c>
    </row>
    <row r="76">
      <c r="A76" s="7" t="n">
        <v>108</v>
      </c>
      <c r="B76" s="8" t="inlineStr">
        <is>
          <t>Polling Station 108</t>
        </is>
      </c>
      <c r="C76" s="9" t="n">
        <v>0</v>
      </c>
      <c r="D76" s="9" t="n">
        <v>0</v>
      </c>
      <c r="E76" s="9" t="n">
        <v>0</v>
      </c>
      <c r="F76" s="9" t="n">
        <v>3</v>
      </c>
      <c r="G76" s="9" t="n">
        <v>0</v>
      </c>
      <c r="H76" s="9" t="n">
        <v>2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6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5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10" t="n">
        <v>16</v>
      </c>
      <c r="AC76" s="10" t="n">
        <v>0</v>
      </c>
      <c r="AD76" s="10" t="n">
        <v>0</v>
      </c>
      <c r="AE76" s="10" t="n">
        <v>16</v>
      </c>
      <c r="AF76" s="10" t="n">
        <v>0</v>
      </c>
    </row>
    <row r="77">
      <c r="A77" s="7" t="n">
        <v>109</v>
      </c>
      <c r="B77" s="8" t="inlineStr">
        <is>
          <t>Polling Station 109</t>
        </is>
      </c>
      <c r="C77" s="9" t="n">
        <v>3</v>
      </c>
      <c r="D77" s="9" t="n">
        <v>4</v>
      </c>
      <c r="E77" s="9" t="n">
        <v>5</v>
      </c>
      <c r="F77" s="9" t="n">
        <v>6</v>
      </c>
      <c r="G77" s="9" t="n">
        <v>7</v>
      </c>
      <c r="H77" s="9" t="n">
        <v>0</v>
      </c>
      <c r="I77" s="9" t="n">
        <v>9</v>
      </c>
      <c r="J77" s="9" t="n">
        <v>10</v>
      </c>
      <c r="K77" s="9" t="n">
        <v>1</v>
      </c>
      <c r="L77" s="9" t="n">
        <v>12</v>
      </c>
      <c r="M77" s="9" t="n">
        <v>13</v>
      </c>
      <c r="N77" s="9" t="n">
        <v>14</v>
      </c>
      <c r="O77" s="9" t="n">
        <v>15</v>
      </c>
      <c r="P77" s="9" t="n">
        <v>16</v>
      </c>
      <c r="Q77" s="9" t="n">
        <v>17</v>
      </c>
      <c r="R77" s="9" t="n">
        <v>18</v>
      </c>
      <c r="S77" s="9" t="n">
        <v>19</v>
      </c>
      <c r="T77" s="9" t="n">
        <v>20</v>
      </c>
      <c r="U77" s="9" t="n">
        <v>21</v>
      </c>
      <c r="V77" s="9" t="n">
        <v>22</v>
      </c>
      <c r="W77" s="9" t="n">
        <v>23</v>
      </c>
      <c r="X77" s="9" t="n">
        <v>24</v>
      </c>
      <c r="Y77" s="9" t="n">
        <v>25</v>
      </c>
      <c r="Z77" s="9" t="n">
        <v>26</v>
      </c>
      <c r="AA77" s="9" t="n">
        <v>0</v>
      </c>
      <c r="AB77" s="10" t="n">
        <v>330</v>
      </c>
      <c r="AC77" s="10" t="n">
        <v>29</v>
      </c>
      <c r="AD77" s="10" t="n">
        <v>30</v>
      </c>
      <c r="AE77" s="10" t="n">
        <v>389</v>
      </c>
      <c r="AF77" s="10" t="n">
        <v>0</v>
      </c>
    </row>
    <row r="78">
      <c r="A78" s="7" t="n">
        <v>110</v>
      </c>
      <c r="B78" s="8" t="inlineStr">
        <is>
          <t>]</t>
        </is>
      </c>
      <c r="C78" s="9" t="n">
        <v>246</v>
      </c>
      <c r="D78" s="9" t="n">
        <v>86</v>
      </c>
      <c r="E78" s="9" t="n">
        <v>309</v>
      </c>
      <c r="F78" s="9" t="n">
        <v>0</v>
      </c>
      <c r="G78" s="9" t="n">
        <v>2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1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12</v>
      </c>
      <c r="T78" s="9" t="n">
        <v>2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1</v>
      </c>
      <c r="AA78" s="9" t="n">
        <v>666</v>
      </c>
      <c r="AB78" s="10" t="n">
        <v>1325</v>
      </c>
      <c r="AC78" s="10" t="n">
        <v>4</v>
      </c>
      <c r="AD78" s="10" t="n">
        <v>0</v>
      </c>
      <c r="AE78" s="10" t="n">
        <v>1329</v>
      </c>
      <c r="AF78" s="10" t="n">
        <v>0</v>
      </c>
    </row>
    <row r="79">
      <c r="A79" s="7" t="n">
        <v>111</v>
      </c>
      <c r="B79" s="8" t="inlineStr">
        <is>
          <t>Q|</t>
        </is>
      </c>
      <c r="C79" s="9" t="n">
        <v>221</v>
      </c>
      <c r="D79" s="9" t="n">
        <v>114</v>
      </c>
      <c r="E79" s="9" t="n">
        <v>142</v>
      </c>
      <c r="F79" s="9" t="n">
        <v>4</v>
      </c>
      <c r="G79" s="9" t="n">
        <v>0</v>
      </c>
      <c r="H79" s="9" t="n">
        <v>5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10</v>
      </c>
      <c r="P79" s="9" t="n">
        <v>0</v>
      </c>
      <c r="Q79" s="9" t="n">
        <v>1</v>
      </c>
      <c r="R79" s="9" t="n">
        <v>0</v>
      </c>
      <c r="S79" s="9" t="n">
        <v>10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504</v>
      </c>
      <c r="AB79" s="10" t="n">
        <v>1011</v>
      </c>
      <c r="AC79" s="10" t="n">
        <v>4</v>
      </c>
      <c r="AD79" s="10" t="n">
        <v>0</v>
      </c>
      <c r="AE79" s="10" t="n">
        <v>1015</v>
      </c>
      <c r="AF79" s="10" t="n">
        <v>0</v>
      </c>
    </row>
    <row r="80">
      <c r="A80" s="7" t="n">
        <v>117</v>
      </c>
      <c r="B80" s="8" t="inlineStr">
        <is>
          <t>Polling Station 117</t>
        </is>
      </c>
      <c r="C80" s="9" t="n">
        <v>128</v>
      </c>
      <c r="D80" s="9" t="n">
        <v>34</v>
      </c>
      <c r="E80" s="9" t="n">
        <v>99</v>
      </c>
      <c r="F80" s="9" t="n">
        <v>0</v>
      </c>
      <c r="G80" s="9" t="n">
        <v>1</v>
      </c>
      <c r="H80" s="9" t="n">
        <v>0</v>
      </c>
      <c r="I80" s="9" t="n">
        <v>1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1</v>
      </c>
      <c r="R80" s="9" t="n">
        <v>0</v>
      </c>
      <c r="S80" s="9" t="n">
        <v>2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267</v>
      </c>
      <c r="AB80" s="10" t="n">
        <v>533</v>
      </c>
      <c r="AC80" s="10" t="n">
        <v>0</v>
      </c>
      <c r="AD80" s="10" t="n">
        <v>267</v>
      </c>
      <c r="AE80" s="10" t="n">
        <v>800</v>
      </c>
      <c r="AF80" s="10" t="n">
        <v>0</v>
      </c>
    </row>
    <row r="81">
      <c r="A81" s="7" t="n">
        <v>118</v>
      </c>
      <c r="B81" s="8" t="inlineStr">
        <is>
          <t>Polling Station 118</t>
        </is>
      </c>
      <c r="C81" s="9" t="n">
        <v>12</v>
      </c>
      <c r="D81" s="9" t="n">
        <v>0</v>
      </c>
      <c r="E81" s="9" t="n">
        <v>13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1</v>
      </c>
      <c r="AA81" s="9" t="n">
        <v>38</v>
      </c>
      <c r="AB81" s="10" t="n">
        <v>64</v>
      </c>
      <c r="AC81" s="10" t="n">
        <v>1</v>
      </c>
      <c r="AD81" s="10" t="n">
        <v>39</v>
      </c>
      <c r="AE81" s="10" t="n">
        <v>104</v>
      </c>
      <c r="AF81" s="10" t="n">
        <v>0</v>
      </c>
    </row>
    <row r="82">
      <c r="A82" s="7" t="n">
        <v>119</v>
      </c>
      <c r="B82" s="8" t="inlineStr">
        <is>
          <t>Polling Station 119</t>
        </is>
      </c>
      <c r="C82" s="9" t="n">
        <v>112</v>
      </c>
      <c r="D82" s="9" t="n">
        <v>69</v>
      </c>
      <c r="E82" s="9" t="n">
        <v>129</v>
      </c>
      <c r="F82" s="9" t="n">
        <v>1</v>
      </c>
      <c r="G82" s="9" t="n">
        <v>4</v>
      </c>
      <c r="H82" s="9" t="n">
        <v>0</v>
      </c>
      <c r="I82" s="9" t="n">
        <v>0</v>
      </c>
      <c r="J82" s="9" t="n">
        <v>1</v>
      </c>
      <c r="K82" s="9" t="n">
        <v>0</v>
      </c>
      <c r="L82" s="9" t="n">
        <v>0</v>
      </c>
      <c r="M82" s="9" t="n">
        <v>2</v>
      </c>
      <c r="N82" s="9" t="n">
        <v>2</v>
      </c>
      <c r="O82" s="9" t="n">
        <v>0</v>
      </c>
      <c r="P82" s="9" t="n">
        <v>0</v>
      </c>
      <c r="Q82" s="9" t="n">
        <v>0</v>
      </c>
      <c r="R82" s="9" t="n">
        <v>4</v>
      </c>
      <c r="S82" s="9" t="n">
        <v>2</v>
      </c>
      <c r="T82" s="9" t="n">
        <v>0</v>
      </c>
      <c r="U82" s="9" t="n">
        <v>0</v>
      </c>
      <c r="V82" s="9" t="n">
        <v>1</v>
      </c>
      <c r="W82" s="9" t="n">
        <v>0</v>
      </c>
      <c r="X82" s="9" t="n">
        <v>1</v>
      </c>
      <c r="Y82" s="9" t="n">
        <v>0</v>
      </c>
      <c r="Z82" s="9" t="n">
        <v>1</v>
      </c>
      <c r="AA82" s="9" t="n">
        <v>330</v>
      </c>
      <c r="AB82" s="10" t="n">
        <v>659</v>
      </c>
      <c r="AC82" s="10" t="n">
        <v>2</v>
      </c>
      <c r="AD82" s="10" t="n">
        <v>332</v>
      </c>
      <c r="AE82" s="10" t="n">
        <v>993</v>
      </c>
      <c r="AF82" s="10" t="n">
        <v>0</v>
      </c>
    </row>
    <row r="83">
      <c r="A83" s="7" t="n">
        <v>120</v>
      </c>
      <c r="B83" s="8" t="inlineStr">
        <is>
          <t>Polling Station 120</t>
        </is>
      </c>
      <c r="C83" s="9" t="n">
        <v>107</v>
      </c>
      <c r="D83" s="9" t="n">
        <v>0</v>
      </c>
      <c r="E83" s="9" t="n">
        <v>31</v>
      </c>
      <c r="F83" s="9" t="n">
        <v>0</v>
      </c>
      <c r="G83" s="9" t="n">
        <v>1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1</v>
      </c>
      <c r="S83" s="9" t="n">
        <v>3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172</v>
      </c>
      <c r="AB83" s="10" t="n">
        <v>315</v>
      </c>
      <c r="AC83" s="10" t="n">
        <v>0</v>
      </c>
      <c r="AD83" s="10" t="n">
        <v>172</v>
      </c>
      <c r="AE83" s="10" t="n">
        <v>487</v>
      </c>
      <c r="AF83" s="10" t="n">
        <v>0</v>
      </c>
    </row>
    <row r="84">
      <c r="A84" s="7" t="n">
        <v>121</v>
      </c>
      <c r="B84" s="8" t="inlineStr">
        <is>
          <t>Polling Station 121</t>
        </is>
      </c>
      <c r="C84" s="9" t="n">
        <v>0</v>
      </c>
      <c r="D84" s="9" t="n">
        <v>0</v>
      </c>
      <c r="E84" s="9" t="n">
        <v>50</v>
      </c>
      <c r="F84" s="9" t="n">
        <v>1</v>
      </c>
      <c r="G84" s="9" t="n">
        <v>0</v>
      </c>
      <c r="H84" s="9" t="n">
        <v>0</v>
      </c>
      <c r="I84" s="9" t="n">
        <v>1</v>
      </c>
      <c r="J84" s="9" t="n">
        <v>1</v>
      </c>
      <c r="K84" s="9" t="n">
        <v>0</v>
      </c>
      <c r="L84" s="9" t="n">
        <v>0</v>
      </c>
      <c r="M84" s="9" t="n">
        <v>2</v>
      </c>
      <c r="N84" s="9" t="n">
        <v>0</v>
      </c>
      <c r="O84" s="9" t="n">
        <v>0</v>
      </c>
      <c r="P84" s="9" t="n">
        <v>0</v>
      </c>
      <c r="Q84" s="9" t="n">
        <v>2</v>
      </c>
      <c r="R84" s="9" t="n">
        <v>0</v>
      </c>
      <c r="S84" s="9" t="n">
        <v>5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401</v>
      </c>
      <c r="AB84" s="10" t="n">
        <v>463</v>
      </c>
      <c r="AC84" s="10" t="n">
        <v>0</v>
      </c>
      <c r="AD84" s="10" t="n">
        <v>401</v>
      </c>
      <c r="AE84" s="10" t="n">
        <v>864</v>
      </c>
      <c r="AF84" s="10" t="n">
        <v>0</v>
      </c>
    </row>
    <row r="85">
      <c r="A85" s="7" t="n">
        <v>122</v>
      </c>
      <c r="B85" s="8" t="inlineStr">
        <is>
          <t>Polling Station 122</t>
        </is>
      </c>
      <c r="C85" s="9" t="n">
        <v>0</v>
      </c>
      <c r="D85" s="9" t="n">
        <v>0</v>
      </c>
      <c r="E85" s="9" t="n">
        <v>9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2</v>
      </c>
      <c r="R85" s="9" t="n">
        <v>0</v>
      </c>
      <c r="S85" s="9" t="n">
        <v>8</v>
      </c>
      <c r="T85" s="9" t="n">
        <v>2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264</v>
      </c>
      <c r="AB85" s="10" t="n">
        <v>285</v>
      </c>
      <c r="AC85" s="10" t="n">
        <v>0</v>
      </c>
      <c r="AD85" s="10" t="n">
        <v>264</v>
      </c>
      <c r="AE85" s="10" t="n">
        <v>549</v>
      </c>
      <c r="AF85" s="10" t="n">
        <v>0</v>
      </c>
    </row>
    <row r="86">
      <c r="A86" s="7" t="n">
        <v>123</v>
      </c>
      <c r="B86" s="8" t="inlineStr">
        <is>
          <t>Polling Station 123</t>
        </is>
      </c>
      <c r="C86" s="9" t="n">
        <v>243</v>
      </c>
      <c r="D86" s="9" t="n">
        <v>0</v>
      </c>
      <c r="E86" s="9" t="n">
        <v>0</v>
      </c>
      <c r="F86" s="9" t="n">
        <v>0</v>
      </c>
      <c r="G86" s="9" t="n">
        <v>1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2</v>
      </c>
      <c r="S86" s="9" t="n">
        <v>6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308</v>
      </c>
      <c r="AB86" s="10" t="n">
        <v>560</v>
      </c>
      <c r="AC86" s="10" t="n">
        <v>0</v>
      </c>
      <c r="AD86" s="10" t="n">
        <v>308</v>
      </c>
      <c r="AE86" s="10" t="n">
        <v>868</v>
      </c>
      <c r="AF86" s="10" t="n">
        <v>0</v>
      </c>
    </row>
    <row r="87">
      <c r="A87" s="7" t="n">
        <v>124</v>
      </c>
      <c r="B87" s="8" t="inlineStr">
        <is>
          <t>Polling Station 124</t>
        </is>
      </c>
      <c r="C87" s="9" t="n">
        <v>495</v>
      </c>
      <c r="D87" s="9" t="n">
        <v>5</v>
      </c>
      <c r="E87" s="9" t="n">
        <v>8</v>
      </c>
      <c r="F87" s="9" t="n">
        <v>1</v>
      </c>
      <c r="G87" s="9" t="n">
        <v>2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1</v>
      </c>
      <c r="N87" s="9" t="n">
        <v>0</v>
      </c>
      <c r="O87" s="9" t="n">
        <v>0</v>
      </c>
      <c r="P87" s="9" t="n">
        <v>0</v>
      </c>
      <c r="Q87" s="9" t="n">
        <v>2</v>
      </c>
      <c r="R87" s="9" t="n">
        <v>1</v>
      </c>
      <c r="S87" s="9" t="n">
        <v>0</v>
      </c>
      <c r="T87" s="9" t="n">
        <v>2</v>
      </c>
      <c r="U87" s="9" t="n">
        <v>1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638</v>
      </c>
      <c r="AB87" s="10" t="n">
        <v>1156</v>
      </c>
      <c r="AC87" s="10" t="n">
        <v>3</v>
      </c>
      <c r="AD87" s="10" t="n">
        <v>0</v>
      </c>
      <c r="AE87" s="10" t="n">
        <v>1159</v>
      </c>
      <c r="AF87" s="10" t="n">
        <v>0</v>
      </c>
    </row>
    <row r="88">
      <c r="A88" s="7" t="n">
        <v>125</v>
      </c>
      <c r="B88" s="8" t="inlineStr">
        <is>
          <t>Polling Station 125</t>
        </is>
      </c>
      <c r="C88" s="9" t="n">
        <v>560</v>
      </c>
      <c r="D88" s="9" t="n">
        <v>157</v>
      </c>
      <c r="E88" s="9" t="n">
        <v>1</v>
      </c>
      <c r="F88" s="9" t="n">
        <v>2</v>
      </c>
      <c r="G88" s="9" t="n">
        <v>1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1</v>
      </c>
      <c r="Q88" s="9" t="n">
        <v>1</v>
      </c>
      <c r="R88" s="9" t="n">
        <v>4</v>
      </c>
      <c r="S88" s="9" t="n">
        <v>6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1</v>
      </c>
      <c r="Y88" s="9" t="n">
        <v>0</v>
      </c>
      <c r="Z88" s="9" t="n">
        <v>0</v>
      </c>
      <c r="AA88" s="9" t="n">
        <v>768</v>
      </c>
      <c r="AB88" s="10" t="n">
        <v>1502</v>
      </c>
      <c r="AC88" s="10" t="n">
        <v>1</v>
      </c>
      <c r="AD88" s="10" t="n">
        <v>0</v>
      </c>
      <c r="AE88" s="10" t="n">
        <v>1503</v>
      </c>
      <c r="AF88" s="10" t="n">
        <v>0</v>
      </c>
    </row>
    <row r="89">
      <c r="A89" s="7" t="n">
        <v>126</v>
      </c>
      <c r="B89" s="8" t="inlineStr">
        <is>
          <t>Polling Station 126</t>
        </is>
      </c>
      <c r="C89" s="9" t="n">
        <v>162</v>
      </c>
      <c r="D89" s="9" t="n">
        <v>0</v>
      </c>
      <c r="E89" s="9" t="n">
        <v>0</v>
      </c>
      <c r="F89" s="9" t="n">
        <v>0</v>
      </c>
      <c r="G89" s="9" t="n">
        <v>1</v>
      </c>
      <c r="H89" s="9" t="n">
        <v>0</v>
      </c>
      <c r="I89" s="9" t="n">
        <v>1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1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295</v>
      </c>
      <c r="AB89" s="10" t="n">
        <v>461</v>
      </c>
      <c r="AC89" s="10" t="n">
        <v>1</v>
      </c>
      <c r="AD89" s="10" t="n">
        <v>296</v>
      </c>
      <c r="AE89" s="10" t="n">
        <v>758</v>
      </c>
      <c r="AF89" s="10" t="n">
        <v>0</v>
      </c>
    </row>
    <row r="90">
      <c r="A90" s="7" t="n">
        <v>127</v>
      </c>
      <c r="B90" s="8" t="inlineStr">
        <is>
          <t>Polling Station 127</t>
        </is>
      </c>
      <c r="C90" s="9" t="n">
        <v>4</v>
      </c>
      <c r="D90" s="9" t="n">
        <v>0</v>
      </c>
      <c r="E90" s="9" t="n">
        <v>0</v>
      </c>
      <c r="F90" s="9" t="n">
        <v>1</v>
      </c>
      <c r="G90" s="9" t="n">
        <v>0</v>
      </c>
      <c r="H90" s="9" t="n">
        <v>0</v>
      </c>
      <c r="I90" s="9" t="n">
        <v>4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9" t="n">
        <v>4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1</v>
      </c>
      <c r="Y90" s="9" t="n">
        <v>0</v>
      </c>
      <c r="Z90" s="9" t="n">
        <v>0</v>
      </c>
      <c r="AA90" s="9" t="n">
        <v>265</v>
      </c>
      <c r="AB90" s="10" t="n">
        <v>279</v>
      </c>
      <c r="AC90" s="10" t="n">
        <v>1</v>
      </c>
      <c r="AD90" s="10" t="n">
        <v>266</v>
      </c>
      <c r="AE90" s="10" t="n">
        <v>546</v>
      </c>
      <c r="AF90" s="10" t="n">
        <v>0</v>
      </c>
    </row>
    <row r="91">
      <c r="A91" s="7" t="n">
        <v>128</v>
      </c>
      <c r="B91" s="8" t="inlineStr">
        <is>
          <t>Polling Station 128</t>
        </is>
      </c>
      <c r="C91" s="9" t="n">
        <v>0</v>
      </c>
      <c r="D91" s="9" t="n">
        <v>4</v>
      </c>
      <c r="E91" s="9" t="n">
        <v>136</v>
      </c>
      <c r="F91" s="9" t="n">
        <v>0</v>
      </c>
      <c r="G91" s="9" t="n">
        <v>1</v>
      </c>
      <c r="H91" s="9" t="n">
        <v>0</v>
      </c>
      <c r="I91" s="9" t="n">
        <v>0</v>
      </c>
      <c r="J91" s="9" t="n">
        <v>0</v>
      </c>
      <c r="K91" s="9" t="n">
        <v>1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2</v>
      </c>
      <c r="R91" s="9" t="n">
        <v>2</v>
      </c>
      <c r="S91" s="9" t="n">
        <v>3</v>
      </c>
      <c r="T91" s="9" t="n">
        <v>0</v>
      </c>
      <c r="U91" s="9" t="n">
        <v>1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421</v>
      </c>
      <c r="AB91" s="10" t="n">
        <v>571</v>
      </c>
      <c r="AC91" s="10" t="n">
        <v>2</v>
      </c>
      <c r="AD91" s="10" t="n">
        <v>423</v>
      </c>
      <c r="AE91" s="10" t="n">
        <v>996</v>
      </c>
      <c r="AF91" s="10" t="n">
        <v>0</v>
      </c>
    </row>
    <row r="92">
      <c r="A92" s="7" t="n">
        <v>129</v>
      </c>
      <c r="B92" s="8" t="inlineStr">
        <is>
          <t>Polling Station 129</t>
        </is>
      </c>
      <c r="C92" s="9" t="n">
        <v>0</v>
      </c>
      <c r="D92" s="9" t="n">
        <v>92</v>
      </c>
      <c r="E92" s="9" t="n">
        <v>230</v>
      </c>
      <c r="F92" s="9" t="n">
        <v>0</v>
      </c>
      <c r="G92" s="9" t="n">
        <v>2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1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2</v>
      </c>
      <c r="S92" s="9" t="n">
        <v>3</v>
      </c>
      <c r="T92" s="9" t="n">
        <v>0</v>
      </c>
      <c r="U92" s="9" t="n">
        <v>0</v>
      </c>
      <c r="V92" s="9" t="n">
        <v>1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566</v>
      </c>
      <c r="AB92" s="10" t="n">
        <v>897</v>
      </c>
      <c r="AC92" s="10" t="n">
        <v>0</v>
      </c>
      <c r="AD92" s="10" t="n">
        <v>0</v>
      </c>
      <c r="AE92" s="10" t="n">
        <v>897</v>
      </c>
      <c r="AF92" s="10" t="n">
        <v>0</v>
      </c>
    </row>
    <row r="93">
      <c r="A93" s="7" t="n">
        <v>130</v>
      </c>
      <c r="B93" s="8" t="inlineStr">
        <is>
          <t>Polling Station 130</t>
        </is>
      </c>
      <c r="C93" s="9" t="n">
        <v>0</v>
      </c>
      <c r="D93" s="9" t="n">
        <v>0</v>
      </c>
      <c r="E93" s="9" t="n">
        <v>6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224</v>
      </c>
      <c r="AB93" s="10" t="n">
        <v>231</v>
      </c>
      <c r="AC93" s="10" t="n">
        <v>2</v>
      </c>
      <c r="AD93" s="10" t="n">
        <v>226</v>
      </c>
      <c r="AE93" s="10" t="n">
        <v>459</v>
      </c>
      <c r="AF93" s="10" t="n">
        <v>0</v>
      </c>
    </row>
    <row r="94">
      <c r="A94" s="7" t="n">
        <v>131</v>
      </c>
      <c r="B94" s="8" t="inlineStr">
        <is>
          <t>Polling Station 131</t>
        </is>
      </c>
      <c r="C94" s="9" t="n">
        <v>0</v>
      </c>
      <c r="D94" s="9" t="n">
        <v>0</v>
      </c>
      <c r="E94" s="9" t="n">
        <v>6</v>
      </c>
      <c r="F94" s="9" t="n">
        <v>0</v>
      </c>
      <c r="G94" s="9" t="n">
        <v>1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211</v>
      </c>
      <c r="AB94" s="10" t="n">
        <v>219</v>
      </c>
      <c r="AC94" s="10" t="n">
        <v>0</v>
      </c>
      <c r="AD94" s="10" t="n">
        <v>211</v>
      </c>
      <c r="AE94" s="10" t="n">
        <v>430</v>
      </c>
      <c r="AF94" s="10" t="n">
        <v>0</v>
      </c>
    </row>
    <row r="95">
      <c r="A95" s="7" t="n">
        <v>132</v>
      </c>
      <c r="B95" s="8" t="inlineStr">
        <is>
          <t>Polling Station 132</t>
        </is>
      </c>
      <c r="C95" s="9" t="n">
        <v>4</v>
      </c>
      <c r="D95" s="9" t="n">
        <v>77</v>
      </c>
      <c r="E95" s="9" t="n">
        <v>56</v>
      </c>
      <c r="F95" s="9" t="n">
        <v>1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1</v>
      </c>
      <c r="U95" s="9" t="n">
        <v>0</v>
      </c>
      <c r="V95" s="9" t="n">
        <v>0</v>
      </c>
      <c r="W95" s="9" t="n">
        <v>0</v>
      </c>
      <c r="X95" s="9" t="n">
        <v>1</v>
      </c>
      <c r="Y95" s="9" t="n">
        <v>0</v>
      </c>
      <c r="Z95" s="9" t="n">
        <v>0</v>
      </c>
      <c r="AA95" s="9" t="n">
        <v>123</v>
      </c>
      <c r="AB95" s="10" t="n">
        <v>263</v>
      </c>
      <c r="AC95" s="10" t="n">
        <v>0</v>
      </c>
      <c r="AD95" s="10" t="n">
        <v>123</v>
      </c>
      <c r="AE95" s="10" t="n">
        <v>386</v>
      </c>
      <c r="AF95" s="10" t="n">
        <v>0</v>
      </c>
    </row>
    <row r="96">
      <c r="A96" s="7" t="n">
        <v>133</v>
      </c>
      <c r="B96" s="8" t="inlineStr">
        <is>
          <t>Polling Station 133</t>
        </is>
      </c>
      <c r="C96" s="9" t="n">
        <v>98</v>
      </c>
      <c r="D96" s="9" t="n">
        <v>46</v>
      </c>
      <c r="E96" s="9" t="n">
        <v>144</v>
      </c>
      <c r="F96" s="9" t="n">
        <v>0</v>
      </c>
      <c r="G96" s="9" t="n">
        <v>3</v>
      </c>
      <c r="H96" s="9" t="n">
        <v>0</v>
      </c>
      <c r="I96" s="9" t="n">
        <v>3</v>
      </c>
      <c r="J96" s="9" t="n">
        <v>1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1</v>
      </c>
      <c r="P96" s="9" t="n">
        <v>0</v>
      </c>
      <c r="Q96" s="9" t="n">
        <v>0</v>
      </c>
      <c r="R96" s="9" t="n">
        <v>1</v>
      </c>
      <c r="S96" s="9" t="n">
        <v>3</v>
      </c>
      <c r="T96" s="9" t="n">
        <v>1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4</v>
      </c>
      <c r="Z96" s="9" t="n">
        <v>0</v>
      </c>
      <c r="AA96" s="9" t="n">
        <v>305</v>
      </c>
      <c r="AB96" s="10" t="n">
        <v>610</v>
      </c>
      <c r="AC96" s="10" t="n">
        <v>0</v>
      </c>
      <c r="AD96" s="10" t="n">
        <v>305</v>
      </c>
      <c r="AE96" s="10" t="n">
        <v>915</v>
      </c>
      <c r="AF96" s="10" t="n">
        <v>0</v>
      </c>
    </row>
    <row r="97">
      <c r="A97" s="7" t="n">
        <v>134</v>
      </c>
      <c r="B97" s="8" t="inlineStr">
        <is>
          <t>Polling Station 134</t>
        </is>
      </c>
      <c r="C97" s="9" t="n">
        <v>0</v>
      </c>
      <c r="D97" s="9" t="n">
        <v>0</v>
      </c>
      <c r="E97" s="9" t="n">
        <v>143</v>
      </c>
      <c r="F97" s="9" t="n">
        <v>0</v>
      </c>
      <c r="G97" s="9" t="n">
        <v>1</v>
      </c>
      <c r="H97" s="9" t="n">
        <v>0</v>
      </c>
      <c r="I97" s="9" t="n">
        <v>1</v>
      </c>
      <c r="J97" s="9" t="n">
        <v>0</v>
      </c>
      <c r="K97" s="9" t="n">
        <v>0</v>
      </c>
      <c r="L97" s="9" t="n">
        <v>1</v>
      </c>
      <c r="M97" s="9" t="n">
        <v>0</v>
      </c>
      <c r="N97" s="9" t="n">
        <v>0</v>
      </c>
      <c r="O97" s="9" t="n">
        <v>0</v>
      </c>
      <c r="P97" s="9" t="n">
        <v>1</v>
      </c>
      <c r="Q97" s="9" t="n">
        <v>1</v>
      </c>
      <c r="R97" s="9" t="n">
        <v>0</v>
      </c>
      <c r="S97" s="9" t="n">
        <v>2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291</v>
      </c>
      <c r="AB97" s="10" t="n">
        <v>441</v>
      </c>
      <c r="AC97" s="10" t="n">
        <v>2</v>
      </c>
      <c r="AD97" s="10" t="n">
        <v>0</v>
      </c>
      <c r="AE97" s="10" t="n">
        <v>443</v>
      </c>
      <c r="AF97" s="10" t="n">
        <v>0</v>
      </c>
    </row>
    <row r="98">
      <c r="A98" s="7" t="n">
        <v>135</v>
      </c>
      <c r="B98" s="8" t="inlineStr">
        <is>
          <t>Polling Station 135</t>
        </is>
      </c>
      <c r="C98" s="9" t="n">
        <v>180</v>
      </c>
      <c r="D98" s="9" t="n">
        <v>0</v>
      </c>
      <c r="E98" s="9" t="n">
        <v>4</v>
      </c>
      <c r="F98" s="9" t="n">
        <v>1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2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1</v>
      </c>
      <c r="Y98" s="9" t="n">
        <v>0</v>
      </c>
      <c r="Z98" s="9" t="n">
        <v>0</v>
      </c>
      <c r="AA98" s="9" t="n">
        <v>474</v>
      </c>
      <c r="AB98" s="10" t="n">
        <v>662</v>
      </c>
      <c r="AC98" s="10" t="n">
        <v>4</v>
      </c>
      <c r="AD98" s="10" t="n">
        <v>478</v>
      </c>
      <c r="AE98" s="10" t="n">
        <v>1144</v>
      </c>
      <c r="AF98" s="10" t="n">
        <v>0</v>
      </c>
    </row>
    <row r="99">
      <c r="A99" s="7" t="n">
        <v>136</v>
      </c>
      <c r="B99" s="8" t="inlineStr">
        <is>
          <t>Polling Station 136</t>
        </is>
      </c>
      <c r="C99" s="9" t="n">
        <v>2</v>
      </c>
      <c r="D99" s="9" t="n">
        <v>0</v>
      </c>
      <c r="E99" s="9" t="n">
        <v>142</v>
      </c>
      <c r="F99" s="9" t="n">
        <v>1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1</v>
      </c>
      <c r="N99" s="9" t="n">
        <v>0</v>
      </c>
      <c r="O99" s="9" t="n">
        <v>0</v>
      </c>
      <c r="P99" s="9" t="n">
        <v>0</v>
      </c>
      <c r="Q99" s="9" t="n">
        <v>2</v>
      </c>
      <c r="R99" s="9" t="n">
        <v>0</v>
      </c>
      <c r="S99" s="9" t="n">
        <v>0</v>
      </c>
      <c r="T99" s="9" t="n">
        <v>0</v>
      </c>
      <c r="U99" s="9" t="n">
        <v>1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325</v>
      </c>
      <c r="AB99" s="10" t="n">
        <v>474</v>
      </c>
      <c r="AC99" s="10" t="n">
        <v>2</v>
      </c>
      <c r="AD99" s="10" t="n">
        <v>327</v>
      </c>
      <c r="AE99" s="10" t="n">
        <v>803</v>
      </c>
      <c r="AF99" s="10" t="n">
        <v>0</v>
      </c>
    </row>
    <row r="100">
      <c r="A100" s="7" t="n">
        <v>137</v>
      </c>
      <c r="B100" s="8" t="inlineStr">
        <is>
          <t>Polling Station 137</t>
        </is>
      </c>
      <c r="C100" s="9" t="n">
        <v>84</v>
      </c>
      <c r="D100" s="9" t="n">
        <v>40</v>
      </c>
      <c r="E100" s="9" t="n">
        <v>131</v>
      </c>
      <c r="F100" s="9" t="n">
        <v>4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1</v>
      </c>
      <c r="P100" s="9" t="n">
        <v>0</v>
      </c>
      <c r="Q100" s="9" t="n">
        <v>1</v>
      </c>
      <c r="R100" s="9" t="n">
        <v>0</v>
      </c>
      <c r="S100" s="9" t="n">
        <v>3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270</v>
      </c>
      <c r="AB100" s="10" t="n">
        <v>534</v>
      </c>
      <c r="AC100" s="10" t="n">
        <v>0</v>
      </c>
      <c r="AD100" s="10" t="n">
        <v>270</v>
      </c>
      <c r="AE100" s="10" t="n">
        <v>804</v>
      </c>
      <c r="AF100" s="10" t="n">
        <v>0</v>
      </c>
    </row>
    <row r="101">
      <c r="A101" s="7" t="n">
        <v>138</v>
      </c>
      <c r="B101" s="8" t="inlineStr">
        <is>
          <t>Polling Station 138</t>
        </is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8</v>
      </c>
      <c r="O101" s="9" t="n">
        <v>0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0</v>
      </c>
      <c r="AB101" s="10" t="n">
        <v>10</v>
      </c>
      <c r="AC101" s="10" t="n">
        <v>0</v>
      </c>
      <c r="AD101" s="10" t="n">
        <v>0</v>
      </c>
      <c r="AE101" s="10" t="n">
        <v>10</v>
      </c>
      <c r="AF101" s="10" t="n">
        <v>0</v>
      </c>
    </row>
    <row r="102">
      <c r="A102" s="7" t="n">
        <v>139</v>
      </c>
      <c r="B102" s="8" t="inlineStr">
        <is>
          <t>Polling Station 139</t>
        </is>
      </c>
      <c r="C102" s="9" t="n">
        <v>3</v>
      </c>
      <c r="D102" s="9" t="n">
        <v>4</v>
      </c>
      <c r="E102" s="9" t="n">
        <v>5</v>
      </c>
      <c r="F102" s="9" t="n">
        <v>6</v>
      </c>
      <c r="G102" s="9" t="n">
        <v>7</v>
      </c>
      <c r="H102" s="9" t="n">
        <v>8</v>
      </c>
      <c r="I102" s="9" t="n">
        <v>9</v>
      </c>
      <c r="J102" s="9" t="n">
        <v>10</v>
      </c>
      <c r="K102" s="9" t="n">
        <v>11</v>
      </c>
      <c r="L102" s="9" t="n">
        <v>12</v>
      </c>
      <c r="M102" s="9" t="n">
        <v>13</v>
      </c>
      <c r="N102" s="9" t="n">
        <v>14</v>
      </c>
      <c r="O102" s="9" t="n">
        <v>15</v>
      </c>
      <c r="P102" s="9" t="n">
        <v>16</v>
      </c>
      <c r="Q102" s="9" t="n">
        <v>17</v>
      </c>
      <c r="R102" s="9" t="n">
        <v>18</v>
      </c>
      <c r="S102" s="9" t="n">
        <v>19</v>
      </c>
      <c r="T102" s="9" t="n">
        <v>20</v>
      </c>
      <c r="U102" s="9" t="n">
        <v>21</v>
      </c>
      <c r="V102" s="9" t="n">
        <v>22</v>
      </c>
      <c r="W102" s="9" t="n">
        <v>23</v>
      </c>
      <c r="X102" s="9" t="n">
        <v>24</v>
      </c>
      <c r="Y102" s="9" t="n">
        <v>25</v>
      </c>
      <c r="Z102" s="9" t="n">
        <v>26</v>
      </c>
      <c r="AA102" s="9" t="n">
        <v>0</v>
      </c>
      <c r="AB102" s="10" t="n">
        <v>348</v>
      </c>
      <c r="AC102" s="10" t="n">
        <v>29</v>
      </c>
      <c r="AD102" s="10" t="n">
        <v>30</v>
      </c>
      <c r="AE102" s="10" t="n">
        <v>407</v>
      </c>
      <c r="AF102" s="10" t="n">
        <v>0</v>
      </c>
    </row>
    <row r="103">
      <c r="A103" s="7" t="n">
        <v>140</v>
      </c>
      <c r="B103" s="8" t="inlineStr">
        <is>
          <t>)</t>
        </is>
      </c>
      <c r="C103" s="9" t="n">
        <v>94</v>
      </c>
      <c r="D103" s="9" t="n">
        <v>64</v>
      </c>
      <c r="E103" s="9" t="n">
        <v>140</v>
      </c>
      <c r="F103" s="9" t="n">
        <v>0</v>
      </c>
      <c r="G103" s="9" t="n">
        <v>1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1</v>
      </c>
      <c r="R103" s="9" t="n">
        <v>0</v>
      </c>
      <c r="S103" s="9" t="n">
        <v>4</v>
      </c>
      <c r="T103" s="9" t="n">
        <v>0</v>
      </c>
      <c r="U103" s="9" t="n">
        <v>0</v>
      </c>
      <c r="V103" s="9" t="n">
        <v>0</v>
      </c>
      <c r="W103" s="9" t="n">
        <v>1</v>
      </c>
      <c r="X103" s="9" t="n">
        <v>0</v>
      </c>
      <c r="Y103" s="9" t="n">
        <v>0</v>
      </c>
      <c r="Z103" s="9" t="n">
        <v>0</v>
      </c>
      <c r="AA103" s="9" t="n">
        <v>303</v>
      </c>
      <c r="AB103" s="10" t="n">
        <v>608</v>
      </c>
      <c r="AC103" s="10" t="n">
        <v>0</v>
      </c>
      <c r="AD103" s="10" t="n">
        <v>305</v>
      </c>
      <c r="AE103" s="10" t="n">
        <v>913</v>
      </c>
      <c r="AF103" s="10" t="n">
        <v>0</v>
      </c>
    </row>
    <row r="104">
      <c r="A104" s="7" t="n">
        <v>141</v>
      </c>
      <c r="B104" s="8" t="inlineStr">
        <is>
          <t>Polling Station 141</t>
        </is>
      </c>
      <c r="C104" s="9" t="n">
        <v>116</v>
      </c>
      <c r="D104" s="9" t="n">
        <v>49</v>
      </c>
      <c r="E104" s="9" t="n">
        <v>171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1350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2</v>
      </c>
      <c r="R104" s="9" t="n">
        <v>2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5</v>
      </c>
      <c r="AB104" s="10" t="n">
        <v>1695</v>
      </c>
      <c r="AC104" s="10" t="n">
        <v>0</v>
      </c>
      <c r="AD104" s="10" t="n">
        <v>342</v>
      </c>
      <c r="AE104" s="10" t="n">
        <v>2037</v>
      </c>
      <c r="AF104" s="10" t="n">
        <v>0</v>
      </c>
    </row>
    <row r="105">
      <c r="A105" s="7" t="n">
        <v>142</v>
      </c>
      <c r="B105" s="8" t="inlineStr">
        <is>
          <t>)</t>
        </is>
      </c>
      <c r="C105" s="9" t="n">
        <v>186</v>
      </c>
      <c r="D105" s="9" t="n">
        <v>100</v>
      </c>
      <c r="E105" s="9" t="n">
        <v>200</v>
      </c>
      <c r="F105" s="9" t="n">
        <v>0</v>
      </c>
      <c r="G105" s="9" t="n">
        <v>0</v>
      </c>
      <c r="H105" s="9" t="n">
        <v>0</v>
      </c>
      <c r="I105" s="9" t="n">
        <v>3</v>
      </c>
      <c r="J105" s="9" t="n">
        <v>0</v>
      </c>
      <c r="K105" s="9" t="n">
        <v>0</v>
      </c>
      <c r="L105" s="9" t="n">
        <v>1320</v>
      </c>
      <c r="M105" s="9" t="n">
        <v>0</v>
      </c>
      <c r="N105" s="9" t="n">
        <v>0</v>
      </c>
      <c r="O105" s="9" t="n">
        <v>0</v>
      </c>
      <c r="P105" s="9" t="n">
        <v>1</v>
      </c>
      <c r="Q105" s="9" t="n">
        <v>0</v>
      </c>
      <c r="R105" s="9" t="n">
        <v>1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1</v>
      </c>
      <c r="Y105" s="9" t="n">
        <v>0</v>
      </c>
      <c r="Z105" s="9" t="n">
        <v>0</v>
      </c>
      <c r="AA105" s="9" t="n">
        <v>494</v>
      </c>
      <c r="AB105" s="10" t="n">
        <v>2306</v>
      </c>
      <c r="AC105" s="10" t="n">
        <v>0</v>
      </c>
      <c r="AD105" s="10" t="n">
        <v>497</v>
      </c>
      <c r="AE105" s="10" t="n">
        <v>2803</v>
      </c>
      <c r="AF105" s="10" t="n">
        <v>0</v>
      </c>
    </row>
    <row r="106">
      <c r="A106" s="7" t="n">
        <v>143</v>
      </c>
      <c r="B106" s="8" t="inlineStr">
        <is>
          <t>Polling Station 143</t>
        </is>
      </c>
      <c r="C106" s="9" t="n">
        <v>1123</v>
      </c>
      <c r="D106" s="9" t="n">
        <v>97</v>
      </c>
      <c r="E106" s="9" t="n">
        <v>153</v>
      </c>
      <c r="F106" s="9" t="n">
        <v>0</v>
      </c>
      <c r="G106" s="9" t="n">
        <v>3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1</v>
      </c>
      <c r="R106" s="9" t="n">
        <v>0</v>
      </c>
      <c r="S106" s="9" t="n">
        <v>4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10" t="n">
        <v>1381</v>
      </c>
      <c r="AC106" s="10" t="n">
        <v>0</v>
      </c>
      <c r="AD106" s="10" t="n">
        <v>378</v>
      </c>
      <c r="AE106" s="10" t="n">
        <v>1759</v>
      </c>
      <c r="AF106" s="10" t="n">
        <v>0</v>
      </c>
    </row>
    <row r="107">
      <c r="A107" s="7" t="n">
        <v>144</v>
      </c>
      <c r="B107" s="8" t="inlineStr">
        <is>
          <t>Polling Station 144</t>
        </is>
      </c>
      <c r="C107" s="9" t="n">
        <v>78</v>
      </c>
      <c r="D107" s="9" t="n">
        <v>51</v>
      </c>
      <c r="E107" s="9" t="n">
        <v>244</v>
      </c>
      <c r="F107" s="9" t="n">
        <v>3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90</v>
      </c>
      <c r="M107" s="9" t="n">
        <v>0</v>
      </c>
      <c r="N107" s="9" t="n">
        <v>90</v>
      </c>
      <c r="O107" s="9" t="n">
        <v>1</v>
      </c>
      <c r="P107" s="9" t="n">
        <v>0</v>
      </c>
      <c r="Q107" s="9" t="n">
        <v>1</v>
      </c>
      <c r="R107" s="9" t="n">
        <v>3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381</v>
      </c>
      <c r="AB107" s="10" t="n">
        <v>942</v>
      </c>
      <c r="AC107" s="10" t="n">
        <v>0</v>
      </c>
      <c r="AD107" s="10" t="n">
        <v>381</v>
      </c>
      <c r="AE107" s="10" t="n">
        <v>1323</v>
      </c>
      <c r="AF107" s="10" t="n">
        <v>0</v>
      </c>
    </row>
    <row r="108">
      <c r="A108" s="7" t="n">
        <v>145</v>
      </c>
      <c r="B108" s="8" t="inlineStr">
        <is>
          <t>Polling Station 145</t>
        </is>
      </c>
      <c r="C108" s="9" t="n">
        <v>103</v>
      </c>
      <c r="D108" s="9" t="n">
        <v>39</v>
      </c>
      <c r="E108" s="9" t="n">
        <v>246</v>
      </c>
      <c r="F108" s="9" t="n">
        <v>2</v>
      </c>
      <c r="G108" s="9" t="n">
        <v>0</v>
      </c>
      <c r="H108" s="9" t="n">
        <v>0</v>
      </c>
      <c r="I108" s="9" t="n">
        <v>2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0</v>
      </c>
      <c r="S108" s="9" t="n">
        <v>80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395</v>
      </c>
      <c r="AB108" s="10" t="n">
        <v>867</v>
      </c>
      <c r="AC108" s="10" t="n">
        <v>0</v>
      </c>
      <c r="AD108" s="10" t="n">
        <v>399</v>
      </c>
      <c r="AE108" s="10" t="n">
        <v>1266</v>
      </c>
      <c r="AF108" s="10" t="n">
        <v>0</v>
      </c>
    </row>
    <row r="109">
      <c r="A109" s="7" t="n">
        <v>146</v>
      </c>
      <c r="B109" s="8" t="inlineStr">
        <is>
          <t>)</t>
        </is>
      </c>
      <c r="C109" s="9" t="n">
        <v>120</v>
      </c>
      <c r="D109" s="9" t="n">
        <v>45</v>
      </c>
      <c r="E109" s="9" t="n">
        <v>258</v>
      </c>
      <c r="F109" s="9" t="n">
        <v>4</v>
      </c>
      <c r="G109" s="9" t="n">
        <v>0</v>
      </c>
      <c r="H109" s="9" t="n">
        <v>0</v>
      </c>
      <c r="I109" s="9" t="n">
        <v>1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80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1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5</v>
      </c>
      <c r="AA109" s="9" t="n">
        <v>434</v>
      </c>
      <c r="AB109" s="10" t="n">
        <v>948</v>
      </c>
      <c r="AC109" s="10" t="n">
        <v>0</v>
      </c>
      <c r="AD109" s="10" t="n">
        <v>434</v>
      </c>
      <c r="AE109" s="10" t="n">
        <v>1382</v>
      </c>
      <c r="AF109" s="10" t="n">
        <v>0</v>
      </c>
    </row>
    <row r="110">
      <c r="A110" s="7" t="n">
        <v>147</v>
      </c>
      <c r="B110" s="8" t="inlineStr">
        <is>
          <t>)</t>
        </is>
      </c>
      <c r="C110" s="9" t="n">
        <v>184</v>
      </c>
      <c r="D110" s="9" t="n">
        <v>72</v>
      </c>
      <c r="E110" s="9" t="n">
        <v>197</v>
      </c>
      <c r="F110" s="9" t="n">
        <v>0</v>
      </c>
      <c r="G110" s="9" t="n">
        <v>3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467</v>
      </c>
      <c r="AB110" s="10" t="n">
        <v>923</v>
      </c>
      <c r="AC110" s="10" t="n">
        <v>0</v>
      </c>
      <c r="AD110" s="10" t="n">
        <v>469</v>
      </c>
      <c r="AE110" s="10" t="n">
        <v>1392</v>
      </c>
      <c r="AF110" s="10" t="n">
        <v>0</v>
      </c>
    </row>
    <row r="111">
      <c r="A111" s="7" t="n">
        <v>148</v>
      </c>
      <c r="B111" s="8" t="inlineStr">
        <is>
          <t>—a7sAl 0</t>
        </is>
      </c>
      <c r="C111" s="9" t="n">
        <v>249</v>
      </c>
      <c r="D111" s="9" t="n">
        <v>65</v>
      </c>
      <c r="E111" s="9" t="n">
        <v>202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530</v>
      </c>
      <c r="AB111" s="10" t="n">
        <v>1046</v>
      </c>
      <c r="AC111" s="10" t="n">
        <v>0</v>
      </c>
      <c r="AD111" s="10" t="n">
        <v>0</v>
      </c>
      <c r="AE111" s="10" t="n">
        <v>1046</v>
      </c>
      <c r="AF111" s="10" t="n">
        <v>0</v>
      </c>
    </row>
    <row r="112">
      <c r="A112" s="7" t="n">
        <v>149</v>
      </c>
      <c r="B112" s="8" t="inlineStr">
        <is>
          <t>Polling Station 149</t>
        </is>
      </c>
      <c r="C112" s="9" t="n">
        <v>155</v>
      </c>
      <c r="D112" s="9" t="n">
        <v>93</v>
      </c>
      <c r="E112" s="9" t="n">
        <v>55</v>
      </c>
      <c r="F112" s="9" t="n">
        <v>0</v>
      </c>
      <c r="G112" s="9" t="n">
        <v>2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2</v>
      </c>
      <c r="M112" s="9" t="n">
        <v>0</v>
      </c>
      <c r="N112" s="9" t="n">
        <v>0</v>
      </c>
      <c r="O112" s="9" t="n">
        <v>0</v>
      </c>
      <c r="P112" s="9" t="n">
        <v>4</v>
      </c>
      <c r="Q112" s="9" t="n">
        <v>0</v>
      </c>
      <c r="R112" s="9" t="n">
        <v>8</v>
      </c>
      <c r="S112" s="9" t="n">
        <v>3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314</v>
      </c>
      <c r="AB112" s="10" t="n">
        <v>636</v>
      </c>
      <c r="AC112" s="10" t="n">
        <v>0</v>
      </c>
      <c r="AD112" s="10" t="n">
        <v>316</v>
      </c>
      <c r="AE112" s="10" t="n">
        <v>952</v>
      </c>
      <c r="AF112" s="10" t="n">
        <v>0</v>
      </c>
    </row>
    <row r="113">
      <c r="A113" s="7" t="n">
        <v>150</v>
      </c>
      <c r="B113" s="8" t="inlineStr">
        <is>
          <t>)</t>
        </is>
      </c>
      <c r="C113" s="9" t="n">
        <v>253</v>
      </c>
      <c r="D113" s="9" t="n">
        <v>78</v>
      </c>
      <c r="E113" s="9" t="n">
        <v>152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387</v>
      </c>
      <c r="M113" s="9" t="n">
        <v>0</v>
      </c>
      <c r="N113" s="9" t="n">
        <v>0</v>
      </c>
      <c r="O113" s="9" t="n">
        <v>0</v>
      </c>
      <c r="P113" s="9" t="n">
        <v>5</v>
      </c>
      <c r="Q113" s="9" t="n">
        <v>0</v>
      </c>
      <c r="R113" s="9" t="n">
        <v>3</v>
      </c>
      <c r="S113" s="9" t="n">
        <v>14</v>
      </c>
      <c r="T113" s="9" t="n">
        <v>0</v>
      </c>
      <c r="U113" s="9" t="n">
        <v>0</v>
      </c>
      <c r="V113" s="9" t="n">
        <v>0</v>
      </c>
      <c r="W113" s="9" t="n">
        <v>10</v>
      </c>
      <c r="X113" s="9" t="n">
        <v>0</v>
      </c>
      <c r="Y113" s="9" t="n">
        <v>0</v>
      </c>
      <c r="Z113" s="9" t="n">
        <v>0</v>
      </c>
      <c r="AA113" s="9" t="n">
        <v>504</v>
      </c>
      <c r="AB113" s="10" t="n">
        <v>1406</v>
      </c>
      <c r="AC113" s="10" t="n">
        <v>2</v>
      </c>
      <c r="AD113" s="10" t="n">
        <v>0</v>
      </c>
      <c r="AE113" s="10" t="n">
        <v>1408</v>
      </c>
      <c r="AF113" s="10" t="n">
        <v>0</v>
      </c>
    </row>
    <row r="114">
      <c r="A114" s="7" t="n">
        <v>151</v>
      </c>
      <c r="B114" s="8" t="inlineStr">
        <is>
          <t>Polling Station 151</t>
        </is>
      </c>
      <c r="C114" s="9" t="n">
        <v>177</v>
      </c>
      <c r="D114" s="9" t="n">
        <v>114</v>
      </c>
      <c r="E114" s="9" t="n">
        <v>102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7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2</v>
      </c>
      <c r="Y114" s="9" t="n">
        <v>0</v>
      </c>
      <c r="Z114" s="9" t="n">
        <v>0</v>
      </c>
      <c r="AA114" s="9" t="n">
        <v>405</v>
      </c>
      <c r="AB114" s="10" t="n">
        <v>807</v>
      </c>
      <c r="AC114" s="10" t="n">
        <v>0</v>
      </c>
      <c r="AD114" s="10" t="n">
        <v>406</v>
      </c>
      <c r="AE114" s="10" t="n">
        <v>1213</v>
      </c>
      <c r="AF114" s="10" t="n">
        <v>0</v>
      </c>
    </row>
    <row r="115">
      <c r="A115" s="7" t="n">
        <v>152</v>
      </c>
      <c r="B115" s="8" t="inlineStr">
        <is>
          <t>Polling Station 152</t>
        </is>
      </c>
      <c r="C115" s="9" t="n">
        <v>87</v>
      </c>
      <c r="D115" s="9" t="n">
        <v>39</v>
      </c>
      <c r="E115" s="9" t="n">
        <v>62</v>
      </c>
      <c r="F115" s="9" t="n">
        <v>0</v>
      </c>
      <c r="G115" s="9" t="n">
        <v>0</v>
      </c>
      <c r="H115" s="9" t="n">
        <v>7</v>
      </c>
      <c r="I115" s="9" t="n">
        <v>2</v>
      </c>
      <c r="J115" s="9" t="n">
        <v>73</v>
      </c>
      <c r="K115" s="9" t="n">
        <v>135</v>
      </c>
      <c r="L115" s="9" t="n">
        <v>2</v>
      </c>
      <c r="M115" s="9" t="n">
        <v>9</v>
      </c>
      <c r="N115" s="9" t="n">
        <v>7</v>
      </c>
      <c r="O115" s="9" t="n">
        <v>2</v>
      </c>
      <c r="P115" s="9" t="n">
        <v>0</v>
      </c>
      <c r="Q115" s="9" t="n">
        <v>8</v>
      </c>
      <c r="R115" s="9" t="n">
        <v>4</v>
      </c>
      <c r="S115" s="9" t="n">
        <v>4</v>
      </c>
      <c r="T115" s="9" t="n">
        <v>7</v>
      </c>
      <c r="U115" s="9" t="n">
        <v>4</v>
      </c>
      <c r="V115" s="9" t="n">
        <v>2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252</v>
      </c>
      <c r="AB115" s="10" t="n">
        <v>706</v>
      </c>
      <c r="AC115" s="10" t="n">
        <v>5</v>
      </c>
      <c r="AD115" s="10" t="n">
        <v>257</v>
      </c>
      <c r="AE115" s="10" t="n">
        <v>968</v>
      </c>
      <c r="AF115" s="10" t="n">
        <v>0</v>
      </c>
    </row>
    <row r="116">
      <c r="A116" s="7" t="n">
        <v>154</v>
      </c>
      <c r="B116" s="8" t="inlineStr">
        <is>
          <t>!</t>
        </is>
      </c>
      <c r="C116" s="9" t="n">
        <v>94</v>
      </c>
      <c r="D116" s="9" t="n">
        <v>64</v>
      </c>
      <c r="E116" s="9" t="n">
        <v>68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1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9" t="n">
        <v>229</v>
      </c>
      <c r="AB116" s="10" t="n">
        <v>456</v>
      </c>
      <c r="AC116" s="10" t="n">
        <v>0</v>
      </c>
      <c r="AD116" s="10" t="n">
        <v>230</v>
      </c>
      <c r="AE116" s="10" t="n">
        <v>686</v>
      </c>
      <c r="AF116" s="10" t="n">
        <v>0</v>
      </c>
    </row>
    <row r="117">
      <c r="A117" s="7" t="n">
        <v>155</v>
      </c>
      <c r="B117" s="8" t="inlineStr">
        <is>
          <t>Polling Station 155</t>
        </is>
      </c>
      <c r="C117" s="9" t="n">
        <v>249</v>
      </c>
      <c r="D117" s="9" t="n">
        <v>165</v>
      </c>
      <c r="E117" s="9" t="n">
        <v>116</v>
      </c>
      <c r="F117" s="9" t="n">
        <v>0</v>
      </c>
      <c r="G117" s="9" t="n">
        <v>6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23</v>
      </c>
      <c r="R117" s="9" t="n">
        <v>0</v>
      </c>
      <c r="S117" s="9" t="n">
        <v>2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551</v>
      </c>
      <c r="AB117" s="10" t="n">
        <v>1112</v>
      </c>
      <c r="AC117" s="10" t="n">
        <v>0</v>
      </c>
      <c r="AD117" s="10" t="n">
        <v>0</v>
      </c>
      <c r="AE117" s="10" t="n">
        <v>1112</v>
      </c>
      <c r="AF117" s="10" t="n">
        <v>0</v>
      </c>
    </row>
    <row r="118">
      <c r="A118" s="7" t="n">
        <v>160</v>
      </c>
      <c r="B118" s="8" t="inlineStr">
        <is>
          <t>)</t>
        </is>
      </c>
      <c r="C118" s="9" t="n">
        <v>274</v>
      </c>
      <c r="D118" s="9" t="n">
        <v>131</v>
      </c>
      <c r="E118" s="9" t="n">
        <v>195</v>
      </c>
      <c r="F118" s="9" t="n">
        <v>4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2</v>
      </c>
      <c r="R118" s="9" t="n">
        <v>7</v>
      </c>
      <c r="S118" s="9" t="n">
        <v>12</v>
      </c>
      <c r="T118" s="9" t="n">
        <v>0</v>
      </c>
      <c r="U118" s="9" t="n">
        <v>0</v>
      </c>
      <c r="V118" s="9" t="n">
        <v>0</v>
      </c>
      <c r="W118" s="9" t="n">
        <v>1</v>
      </c>
      <c r="X118" s="9" t="n">
        <v>0</v>
      </c>
      <c r="Y118" s="9" t="n">
        <v>1</v>
      </c>
      <c r="Z118" s="9" t="n">
        <v>0</v>
      </c>
      <c r="AA118" s="9" t="n">
        <v>628</v>
      </c>
      <c r="AB118" s="10" t="n">
        <v>1256</v>
      </c>
      <c r="AC118" s="10" t="n">
        <v>5</v>
      </c>
      <c r="AD118" s="10" t="n">
        <v>0</v>
      </c>
      <c r="AE118" s="10" t="n">
        <v>1261</v>
      </c>
      <c r="AF118" s="10" t="n">
        <v>0</v>
      </c>
    </row>
    <row r="119">
      <c r="A119" s="7" t="n">
        <v>161</v>
      </c>
      <c r="B119" s="8" t="inlineStr">
        <is>
          <t>Polling Station 161</t>
        </is>
      </c>
      <c r="C119" s="9" t="n">
        <v>290</v>
      </c>
      <c r="D119" s="9" t="n">
        <v>229</v>
      </c>
      <c r="E119" s="9" t="n">
        <v>185</v>
      </c>
      <c r="F119" s="9" t="n">
        <v>2</v>
      </c>
      <c r="G119" s="9" t="n">
        <v>3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1</v>
      </c>
      <c r="N119" s="9" t="n">
        <v>1</v>
      </c>
      <c r="O119" s="9" t="n">
        <v>0</v>
      </c>
      <c r="P119" s="9" t="n">
        <v>0</v>
      </c>
      <c r="Q119" s="9" t="n">
        <v>2</v>
      </c>
      <c r="R119" s="9" t="n">
        <v>0</v>
      </c>
      <c r="S119" s="9" t="n">
        <v>9</v>
      </c>
      <c r="T119" s="9" t="n">
        <v>0</v>
      </c>
      <c r="U119" s="9" t="n">
        <v>374</v>
      </c>
      <c r="V119" s="9" t="n">
        <v>0</v>
      </c>
      <c r="W119" s="9" t="n">
        <v>0</v>
      </c>
      <c r="X119" s="9" t="n">
        <v>0</v>
      </c>
      <c r="Y119" s="9" t="n">
        <v>1</v>
      </c>
      <c r="Z119" s="9" t="n">
        <v>24</v>
      </c>
      <c r="AA119" s="9" t="n">
        <v>738</v>
      </c>
      <c r="AB119" s="10" t="n">
        <v>1859</v>
      </c>
      <c r="AC119" s="10" t="n">
        <v>8</v>
      </c>
      <c r="AD119" s="10" t="n">
        <v>0</v>
      </c>
      <c r="AE119" s="10" t="n">
        <v>1867</v>
      </c>
      <c r="AF119" s="10" t="n">
        <v>0</v>
      </c>
    </row>
    <row r="120">
      <c r="A120" s="7" t="n">
        <v>162</v>
      </c>
      <c r="B120" s="8" t="inlineStr">
        <is>
          <t>Polling Station 162</t>
        </is>
      </c>
      <c r="C120" s="9" t="n">
        <v>289</v>
      </c>
      <c r="D120" s="9" t="n">
        <v>157</v>
      </c>
      <c r="E120" s="9" t="n">
        <v>152</v>
      </c>
      <c r="F120" s="9" t="n">
        <v>0</v>
      </c>
      <c r="G120" s="9" t="n">
        <v>0</v>
      </c>
      <c r="H120" s="9" t="n">
        <v>4</v>
      </c>
      <c r="I120" s="9" t="n">
        <v>0</v>
      </c>
      <c r="J120" s="9" t="n">
        <v>0</v>
      </c>
      <c r="K120" s="9" t="n">
        <v>1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2</v>
      </c>
      <c r="Q120" s="9" t="n">
        <v>5</v>
      </c>
      <c r="R120" s="9" t="n">
        <v>0</v>
      </c>
      <c r="S120" s="9" t="n">
        <v>16</v>
      </c>
      <c r="T120" s="9" t="n">
        <v>6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645</v>
      </c>
      <c r="AB120" s="10" t="n">
        <v>1277</v>
      </c>
      <c r="AC120" s="10" t="n">
        <v>3</v>
      </c>
      <c r="AD120" s="10" t="n">
        <v>0</v>
      </c>
      <c r="AE120" s="10" t="n">
        <v>1280</v>
      </c>
      <c r="AF120" s="10" t="n">
        <v>0</v>
      </c>
    </row>
    <row r="121">
      <c r="A121" s="7" t="n">
        <v>163</v>
      </c>
      <c r="B121" s="8" t="inlineStr">
        <is>
          <t>‘ait. a</t>
        </is>
      </c>
      <c r="C121" s="9" t="n">
        <v>278</v>
      </c>
      <c r="D121" s="9" t="n">
        <v>141</v>
      </c>
      <c r="E121" s="9" t="n">
        <v>140</v>
      </c>
      <c r="F121" s="9" t="n">
        <v>5</v>
      </c>
      <c r="G121" s="9" t="n">
        <v>6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2</v>
      </c>
      <c r="M121" s="9" t="n">
        <v>0</v>
      </c>
      <c r="N121" s="9" t="n">
        <v>2</v>
      </c>
      <c r="O121" s="9" t="n">
        <v>90</v>
      </c>
      <c r="P121" s="9" t="n">
        <v>1</v>
      </c>
      <c r="Q121" s="9" t="n">
        <v>7</v>
      </c>
      <c r="R121" s="9" t="n">
        <v>0</v>
      </c>
      <c r="S121" s="9" t="n">
        <v>9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20</v>
      </c>
      <c r="AA121" s="9" t="n">
        <v>610</v>
      </c>
      <c r="AB121" s="10" t="n">
        <v>1311</v>
      </c>
      <c r="AC121" s="10" t="n">
        <v>3</v>
      </c>
      <c r="AD121" s="10" t="n">
        <v>0</v>
      </c>
      <c r="AE121" s="10" t="n">
        <v>1314</v>
      </c>
      <c r="AF121" s="10" t="n">
        <v>0</v>
      </c>
    </row>
    <row r="122">
      <c r="A122" s="7" t="n">
        <v>164</v>
      </c>
      <c r="B122" s="8" t="inlineStr">
        <is>
          <t>Polling Station 164</t>
        </is>
      </c>
      <c r="C122" s="9" t="n">
        <v>52</v>
      </c>
      <c r="D122" s="9" t="n">
        <v>45</v>
      </c>
      <c r="E122" s="9" t="n">
        <v>20</v>
      </c>
      <c r="F122" s="9" t="n">
        <v>1</v>
      </c>
      <c r="G122" s="9" t="n">
        <v>7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1</v>
      </c>
      <c r="N122" s="9" t="n">
        <v>0</v>
      </c>
      <c r="O122" s="9" t="n">
        <v>0</v>
      </c>
      <c r="P122" s="9" t="n">
        <v>1</v>
      </c>
      <c r="Q122" s="9" t="n">
        <v>1</v>
      </c>
      <c r="R122" s="9" t="n">
        <v>7</v>
      </c>
      <c r="S122" s="9" t="n">
        <v>3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10" t="n">
        <v>138</v>
      </c>
      <c r="AC122" s="10" t="n">
        <v>0</v>
      </c>
      <c r="AD122" s="10" t="n">
        <v>0</v>
      </c>
      <c r="AE122" s="10" t="n">
        <v>138</v>
      </c>
      <c r="AF122" s="10" t="n">
        <v>0</v>
      </c>
    </row>
    <row r="123">
      <c r="A123" s="7" t="n">
        <v>165</v>
      </c>
      <c r="B123" s="8" t="inlineStr">
        <is>
          <t>Polling Station 165</t>
        </is>
      </c>
      <c r="C123" s="9" t="n">
        <v>93</v>
      </c>
      <c r="D123" s="9" t="n">
        <v>58</v>
      </c>
      <c r="E123" s="9" t="n">
        <v>87</v>
      </c>
      <c r="F123" s="9" t="n">
        <v>10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2</v>
      </c>
      <c r="O123" s="9" t="n">
        <v>0</v>
      </c>
      <c r="P123" s="9" t="n">
        <v>0</v>
      </c>
      <c r="Q123" s="9" t="n">
        <v>2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9" t="n">
        <v>43</v>
      </c>
      <c r="AB123" s="10" t="n">
        <v>295</v>
      </c>
      <c r="AC123" s="10" t="n">
        <v>0</v>
      </c>
      <c r="AD123" s="10" t="n">
        <v>244</v>
      </c>
      <c r="AE123" s="10" t="n">
        <v>539</v>
      </c>
      <c r="AF123" s="10" t="n">
        <v>0</v>
      </c>
    </row>
    <row r="124">
      <c r="A124" s="7" t="n">
        <v>166</v>
      </c>
      <c r="B124" s="8" t="inlineStr">
        <is>
          <t>)</t>
        </is>
      </c>
      <c r="C124" s="9" t="n">
        <v>146</v>
      </c>
      <c r="D124" s="9" t="n">
        <v>47</v>
      </c>
      <c r="E124" s="9" t="n">
        <v>162</v>
      </c>
      <c r="F124" s="9" t="n">
        <v>0</v>
      </c>
      <c r="G124" s="9" t="n">
        <v>3</v>
      </c>
      <c r="H124" s="9" t="n">
        <v>0</v>
      </c>
      <c r="I124" s="9" t="n">
        <v>0</v>
      </c>
      <c r="J124" s="9" t="n">
        <v>1</v>
      </c>
      <c r="K124" s="9" t="n">
        <v>0</v>
      </c>
      <c r="L124" s="9" t="n">
        <v>1</v>
      </c>
      <c r="M124" s="9" t="n">
        <v>1</v>
      </c>
      <c r="N124" s="9" t="n">
        <v>0</v>
      </c>
      <c r="O124" s="9" t="n">
        <v>0</v>
      </c>
      <c r="P124" s="9" t="n">
        <v>0</v>
      </c>
      <c r="Q124" s="9" t="n">
        <v>4</v>
      </c>
      <c r="R124" s="9" t="n">
        <v>7</v>
      </c>
      <c r="S124" s="9" t="n">
        <v>3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9" t="n">
        <v>0</v>
      </c>
      <c r="AB124" s="10" t="n">
        <v>375</v>
      </c>
      <c r="AC124" s="10" t="n">
        <v>2</v>
      </c>
      <c r="AD124" s="10" t="n">
        <v>373</v>
      </c>
      <c r="AE124" s="10" t="n">
        <v>750</v>
      </c>
      <c r="AF124" s="10" t="n">
        <v>0</v>
      </c>
    </row>
    <row r="125">
      <c r="A125" s="7" t="n">
        <v>167</v>
      </c>
      <c r="B125" s="8" t="inlineStr">
        <is>
          <t>)</t>
        </is>
      </c>
      <c r="C125" s="9" t="n">
        <v>103</v>
      </c>
      <c r="D125" s="9" t="n">
        <v>103</v>
      </c>
      <c r="E125" s="9" t="n">
        <v>114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1</v>
      </c>
      <c r="M125" s="9" t="n">
        <v>0</v>
      </c>
      <c r="N125" s="9" t="n">
        <v>0</v>
      </c>
      <c r="O125" s="9" t="n">
        <v>0</v>
      </c>
      <c r="P125" s="9" t="n">
        <v>0</v>
      </c>
      <c r="Q125" s="9" t="n">
        <v>0</v>
      </c>
      <c r="R125" s="9" t="n">
        <v>0</v>
      </c>
      <c r="S125" s="9" t="n">
        <v>4</v>
      </c>
      <c r="T125" s="9" t="n">
        <v>0</v>
      </c>
      <c r="U125" s="9" t="n">
        <v>0</v>
      </c>
      <c r="V125" s="9" t="n">
        <v>0</v>
      </c>
      <c r="W125" s="9" t="n">
        <v>1</v>
      </c>
      <c r="X125" s="9" t="n">
        <v>0</v>
      </c>
      <c r="Y125" s="9" t="n">
        <v>0</v>
      </c>
      <c r="Z125" s="9" t="n">
        <v>0</v>
      </c>
      <c r="AA125" s="9" t="n">
        <v>0</v>
      </c>
      <c r="AB125" s="10" t="n">
        <v>326</v>
      </c>
      <c r="AC125" s="10" t="n">
        <v>0</v>
      </c>
      <c r="AD125" s="10" t="n">
        <v>332</v>
      </c>
      <c r="AE125" s="10" t="n">
        <v>658</v>
      </c>
      <c r="AF125" s="10" t="n">
        <v>0</v>
      </c>
    </row>
    <row r="126">
      <c r="A126" s="7" t="n">
        <v>168</v>
      </c>
      <c r="B126" s="8" t="inlineStr">
        <is>
          <t>)</t>
        </is>
      </c>
      <c r="C126" s="9" t="n">
        <v>191</v>
      </c>
      <c r="D126" s="9" t="n">
        <v>81</v>
      </c>
      <c r="E126" s="9" t="n">
        <v>178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7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50</v>
      </c>
      <c r="Y126" s="9" t="n">
        <v>90</v>
      </c>
      <c r="Z126" s="9" t="n">
        <v>0</v>
      </c>
      <c r="AA126" s="9" t="n">
        <v>461</v>
      </c>
      <c r="AB126" s="10" t="n">
        <v>1058</v>
      </c>
      <c r="AC126" s="10" t="n">
        <v>2</v>
      </c>
      <c r="AD126" s="10" t="n">
        <v>463</v>
      </c>
      <c r="AE126" s="10" t="n">
        <v>1523</v>
      </c>
      <c r="AF126" s="10" t="n">
        <v>0</v>
      </c>
    </row>
    <row r="127">
      <c r="A127" s="7" t="n">
        <v>169</v>
      </c>
      <c r="B127" s="8" t="inlineStr">
        <is>
          <t>Polling Station 169</t>
        </is>
      </c>
      <c r="C127" s="9" t="n">
        <v>93</v>
      </c>
      <c r="D127" s="9" t="n">
        <v>31</v>
      </c>
      <c r="E127" s="9" t="n">
        <v>63</v>
      </c>
      <c r="F127" s="9" t="n">
        <v>0</v>
      </c>
      <c r="G127" s="9" t="n">
        <v>0</v>
      </c>
      <c r="H127" s="9" t="n">
        <v>0</v>
      </c>
      <c r="I127" s="9" t="n">
        <v>20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9" t="n">
        <v>2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9" t="n">
        <v>20</v>
      </c>
      <c r="AA127" s="9" t="n">
        <v>190</v>
      </c>
      <c r="AB127" s="10" t="n">
        <v>419</v>
      </c>
      <c r="AC127" s="10" t="n">
        <v>0</v>
      </c>
      <c r="AD127" s="10" t="n">
        <v>191</v>
      </c>
      <c r="AE127" s="10" t="n">
        <v>610</v>
      </c>
      <c r="AF127" s="10" t="n">
        <v>0</v>
      </c>
    </row>
    <row r="128">
      <c r="A128" s="7" t="n">
        <v>170</v>
      </c>
      <c r="B128" s="8" t="inlineStr">
        <is>
          <t>!</t>
        </is>
      </c>
      <c r="C128" s="9" t="n">
        <v>335</v>
      </c>
      <c r="D128" s="9" t="n">
        <v>132</v>
      </c>
      <c r="E128" s="9" t="n">
        <v>341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7</v>
      </c>
      <c r="P128" s="9" t="n">
        <v>0</v>
      </c>
      <c r="Q128" s="9" t="n">
        <v>0</v>
      </c>
      <c r="R128" s="9" t="n">
        <v>5</v>
      </c>
      <c r="S128" s="9" t="n">
        <v>5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9" t="n">
        <v>829</v>
      </c>
      <c r="AB128" s="10" t="n">
        <v>1654</v>
      </c>
      <c r="AC128" s="10" t="n">
        <v>0</v>
      </c>
      <c r="AD128" s="10" t="n">
        <v>0</v>
      </c>
      <c r="AE128" s="10" t="n">
        <v>1654</v>
      </c>
      <c r="AF128" s="10" t="n">
        <v>0</v>
      </c>
    </row>
    <row r="129">
      <c r="A129" s="7" t="n">
        <v>171</v>
      </c>
      <c r="B129" s="8" t="inlineStr">
        <is>
          <t>Polling Station 171</t>
        </is>
      </c>
      <c r="C129" s="9" t="n">
        <v>17</v>
      </c>
      <c r="D129" s="9" t="n">
        <v>6</v>
      </c>
      <c r="E129" s="9" t="n">
        <v>150</v>
      </c>
      <c r="F129" s="9" t="n">
        <v>0</v>
      </c>
      <c r="G129" s="9" t="n">
        <v>2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20</v>
      </c>
      <c r="Y129" s="9" t="n">
        <v>0</v>
      </c>
      <c r="Z129" s="9" t="n">
        <v>0</v>
      </c>
      <c r="AA129" s="9" t="n">
        <v>0</v>
      </c>
      <c r="AB129" s="10" t="n">
        <v>195</v>
      </c>
      <c r="AC129" s="10" t="n">
        <v>2</v>
      </c>
      <c r="AD129" s="10" t="n">
        <v>179</v>
      </c>
      <c r="AE129" s="10" t="n">
        <v>376</v>
      </c>
      <c r="AF129" s="10" t="n">
        <v>0</v>
      </c>
    </row>
    <row r="130">
      <c r="A130" s="7" t="n">
        <v>172</v>
      </c>
      <c r="B130" s="8" t="inlineStr">
        <is>
          <t>)</t>
        </is>
      </c>
      <c r="C130" s="9" t="n">
        <v>120</v>
      </c>
      <c r="D130" s="9" t="n">
        <v>37</v>
      </c>
      <c r="E130" s="9" t="n">
        <v>227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2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4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9" t="n">
        <v>0</v>
      </c>
      <c r="AB130" s="10" t="n">
        <v>390</v>
      </c>
      <c r="AC130" s="10" t="n">
        <v>2</v>
      </c>
      <c r="AD130" s="10" t="n">
        <v>393</v>
      </c>
      <c r="AE130" s="10" t="n">
        <v>785</v>
      </c>
      <c r="AF130" s="10" t="n">
        <v>0</v>
      </c>
    </row>
    <row r="131">
      <c r="A131" s="7" t="n">
        <v>173</v>
      </c>
      <c r="B131" s="8" t="inlineStr">
        <is>
          <t>Polling Station 173</t>
        </is>
      </c>
      <c r="C131" s="9" t="n">
        <v>199</v>
      </c>
      <c r="D131" s="9" t="n">
        <v>86</v>
      </c>
      <c r="E131" s="9" t="n">
        <v>134</v>
      </c>
      <c r="F131" s="9" t="n">
        <v>0</v>
      </c>
      <c r="G131" s="9" t="n">
        <v>2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10</v>
      </c>
      <c r="N131" s="9" t="n">
        <v>0</v>
      </c>
      <c r="O131" s="9" t="n">
        <v>0</v>
      </c>
      <c r="P131" s="9" t="n">
        <v>1</v>
      </c>
      <c r="Q131" s="9" t="n">
        <v>7</v>
      </c>
      <c r="R131" s="9" t="n">
        <v>2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9" t="n">
        <v>439</v>
      </c>
      <c r="AB131" s="10" t="n">
        <v>880</v>
      </c>
      <c r="AC131" s="10" t="n">
        <v>0</v>
      </c>
      <c r="AD131" s="10" t="n">
        <v>441</v>
      </c>
      <c r="AE131" s="10" t="n">
        <v>1321</v>
      </c>
      <c r="AF131" s="10" t="n">
        <v>0</v>
      </c>
    </row>
    <row r="132">
      <c r="A132" s="7" t="n">
        <v>174</v>
      </c>
      <c r="B132" s="8" t="inlineStr">
        <is>
          <t>Polling Station 174</t>
        </is>
      </c>
      <c r="C132" s="9" t="n">
        <v>149</v>
      </c>
      <c r="D132" s="9" t="n">
        <v>78</v>
      </c>
      <c r="E132" s="9" t="n">
        <v>96</v>
      </c>
      <c r="F132" s="9" t="n">
        <v>0</v>
      </c>
      <c r="G132" s="9" t="n">
        <v>1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16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2</v>
      </c>
      <c r="AB132" s="10" t="n">
        <v>342</v>
      </c>
      <c r="AC132" s="10" t="n">
        <v>0</v>
      </c>
      <c r="AD132" s="10" t="n">
        <v>334</v>
      </c>
      <c r="AE132" s="10" t="n">
        <v>676</v>
      </c>
      <c r="AF132" s="10" t="n">
        <v>0</v>
      </c>
    </row>
    <row r="133">
      <c r="A133" s="7" t="n">
        <v>175</v>
      </c>
      <c r="B133" s="8" t="inlineStr">
        <is>
          <t>Polling Station 175</t>
        </is>
      </c>
      <c r="C133" s="9" t="n">
        <v>290</v>
      </c>
      <c r="D133" s="9" t="n">
        <v>109</v>
      </c>
      <c r="E133" s="9" t="n">
        <v>56</v>
      </c>
      <c r="F133" s="9" t="n">
        <v>0</v>
      </c>
      <c r="G133" s="9" t="n">
        <v>3</v>
      </c>
      <c r="H133" s="9" t="n">
        <v>0</v>
      </c>
      <c r="I133" s="9" t="n">
        <v>27</v>
      </c>
      <c r="J133" s="9" t="n">
        <v>0</v>
      </c>
      <c r="K133" s="9" t="n">
        <v>1</v>
      </c>
      <c r="L133" s="9" t="n">
        <v>0</v>
      </c>
      <c r="M133" s="9" t="n">
        <v>2</v>
      </c>
      <c r="N133" s="9" t="n">
        <v>4</v>
      </c>
      <c r="O133" s="9" t="n">
        <v>0</v>
      </c>
      <c r="P133" s="9" t="n">
        <v>0</v>
      </c>
      <c r="Q133" s="9" t="n">
        <v>0</v>
      </c>
      <c r="R133" s="9" t="n">
        <v>874</v>
      </c>
      <c r="S133" s="9" t="n">
        <v>0</v>
      </c>
      <c r="T133" s="9" t="n">
        <v>7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490</v>
      </c>
      <c r="AB133" s="10" t="n">
        <v>1863</v>
      </c>
      <c r="AC133" s="10" t="n">
        <v>0</v>
      </c>
      <c r="AD133" s="10" t="n">
        <v>490</v>
      </c>
      <c r="AE133" s="10" t="n">
        <v>2353</v>
      </c>
      <c r="AF133" s="10" t="n">
        <v>0</v>
      </c>
    </row>
    <row r="134">
      <c r="A134" s="7" t="n">
        <v>176</v>
      </c>
      <c r="B134" s="8" t="inlineStr">
        <is>
          <t>)</t>
        </is>
      </c>
      <c r="C134" s="9" t="n">
        <v>154</v>
      </c>
      <c r="D134" s="9" t="n">
        <v>128</v>
      </c>
      <c r="E134" s="9" t="n">
        <v>199</v>
      </c>
      <c r="F134" s="9" t="n">
        <v>0</v>
      </c>
      <c r="G134" s="9" t="n">
        <v>1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9" t="n">
        <v>496</v>
      </c>
      <c r="AB134" s="10" t="n">
        <v>978</v>
      </c>
      <c r="AC134" s="10" t="n">
        <v>0</v>
      </c>
      <c r="AD134" s="10" t="n">
        <v>498</v>
      </c>
      <c r="AE134" s="10" t="n">
        <v>1476</v>
      </c>
      <c r="AF134" s="10" t="n">
        <v>0</v>
      </c>
    </row>
    <row r="135">
      <c r="A135" s="7" t="n">
        <v>177</v>
      </c>
      <c r="B135" s="8" t="inlineStr">
        <is>
          <t>)</t>
        </is>
      </c>
      <c r="C135" s="9" t="n">
        <v>120</v>
      </c>
      <c r="D135" s="9" t="n">
        <v>101</v>
      </c>
      <c r="E135" s="9" t="n">
        <v>232</v>
      </c>
      <c r="F135" s="9" t="n">
        <v>1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2</v>
      </c>
      <c r="N135" s="9" t="n">
        <v>0</v>
      </c>
      <c r="O135" s="9" t="n">
        <v>0</v>
      </c>
      <c r="P135" s="9" t="n">
        <v>22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86</v>
      </c>
      <c r="Y135" s="9" t="n">
        <v>0</v>
      </c>
      <c r="Z135" s="9" t="n">
        <v>0</v>
      </c>
      <c r="AA135" s="9" t="n">
        <v>464</v>
      </c>
      <c r="AB135" s="10" t="n">
        <v>1028</v>
      </c>
      <c r="AC135" s="10" t="n">
        <v>4</v>
      </c>
      <c r="AD135" s="10" t="n">
        <v>465</v>
      </c>
      <c r="AE135" s="10" t="n">
        <v>1497</v>
      </c>
      <c r="AF135" s="10" t="n">
        <v>0</v>
      </c>
    </row>
    <row r="136">
      <c r="A136" s="7" t="n">
        <v>178</v>
      </c>
      <c r="B136" s="8" t="inlineStr">
        <is>
          <t>Polling Station 178</t>
        </is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3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5</v>
      </c>
      <c r="Y136" s="9" t="n">
        <v>0</v>
      </c>
      <c r="Z136" s="9" t="n">
        <v>0</v>
      </c>
      <c r="AA136" s="9" t="n">
        <v>0</v>
      </c>
      <c r="AB136" s="10" t="n">
        <v>8</v>
      </c>
      <c r="AC136" s="10" t="n">
        <v>0</v>
      </c>
      <c r="AD136" s="10" t="n">
        <v>0</v>
      </c>
      <c r="AE136" s="10" t="n">
        <v>8</v>
      </c>
      <c r="AF136" s="10" t="n">
        <v>0</v>
      </c>
    </row>
    <row r="137">
      <c r="A137" s="7" t="n">
        <v>179</v>
      </c>
      <c r="B137" s="8" t="inlineStr">
        <is>
          <t>Polling Station 179</t>
        </is>
      </c>
      <c r="C137" s="9" t="n">
        <v>3</v>
      </c>
      <c r="D137" s="9" t="n">
        <v>4</v>
      </c>
      <c r="E137" s="9" t="n">
        <v>5</v>
      </c>
      <c r="F137" s="9" t="n">
        <v>6</v>
      </c>
      <c r="G137" s="9" t="n">
        <v>7</v>
      </c>
      <c r="H137" s="9" t="n">
        <v>0</v>
      </c>
      <c r="I137" s="9" t="n">
        <v>9</v>
      </c>
      <c r="J137" s="9" t="n">
        <v>10</v>
      </c>
      <c r="K137" s="9" t="n">
        <v>11</v>
      </c>
      <c r="L137" s="9" t="n">
        <v>12</v>
      </c>
      <c r="M137" s="9" t="n">
        <v>13</v>
      </c>
      <c r="N137" s="9" t="n">
        <v>14</v>
      </c>
      <c r="O137" s="9" t="n">
        <v>15</v>
      </c>
      <c r="P137" s="9" t="n">
        <v>16</v>
      </c>
      <c r="Q137" s="9" t="n">
        <v>17</v>
      </c>
      <c r="R137" s="9" t="n">
        <v>18</v>
      </c>
      <c r="S137" s="9" t="n">
        <v>19</v>
      </c>
      <c r="T137" s="9" t="n">
        <v>20</v>
      </c>
      <c r="U137" s="9" t="n">
        <v>21</v>
      </c>
      <c r="V137" s="9" t="n">
        <v>22</v>
      </c>
      <c r="W137" s="9" t="n">
        <v>23</v>
      </c>
      <c r="X137" s="9" t="n">
        <v>24</v>
      </c>
      <c r="Y137" s="9" t="n">
        <v>25</v>
      </c>
      <c r="Z137" s="9" t="n">
        <v>26</v>
      </c>
      <c r="AA137" s="9" t="n">
        <v>0</v>
      </c>
      <c r="AB137" s="10" t="n">
        <v>340</v>
      </c>
      <c r="AC137" s="10" t="n">
        <v>29</v>
      </c>
      <c r="AD137" s="10" t="n">
        <v>30</v>
      </c>
      <c r="AE137" s="10" t="n">
        <v>399</v>
      </c>
      <c r="AF137" s="10" t="n">
        <v>0</v>
      </c>
    </row>
    <row r="138">
      <c r="A138" s="7" t="n">
        <v>180</v>
      </c>
      <c r="B138" s="8" t="inlineStr">
        <is>
          <t>|</t>
        </is>
      </c>
      <c r="C138" s="9" t="n">
        <v>104</v>
      </c>
      <c r="D138" s="9" t="n">
        <v>28</v>
      </c>
      <c r="E138" s="9" t="n">
        <v>117</v>
      </c>
      <c r="F138" s="9" t="n">
        <v>0</v>
      </c>
      <c r="G138" s="9" t="n">
        <v>1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1</v>
      </c>
      <c r="P138" s="9" t="n">
        <v>0</v>
      </c>
      <c r="Q138" s="9" t="n">
        <v>2</v>
      </c>
      <c r="R138" s="9" t="n">
        <v>3</v>
      </c>
      <c r="S138" s="9" t="n">
        <v>5</v>
      </c>
      <c r="T138" s="9" t="n">
        <v>2</v>
      </c>
      <c r="U138" s="9" t="n">
        <v>1</v>
      </c>
      <c r="V138" s="9" t="n">
        <v>0</v>
      </c>
      <c r="W138" s="9" t="n">
        <v>0</v>
      </c>
      <c r="X138" s="9" t="n">
        <v>1</v>
      </c>
      <c r="Y138" s="9" t="n">
        <v>0</v>
      </c>
      <c r="Z138" s="9" t="n">
        <v>0</v>
      </c>
      <c r="AA138" s="9" t="n">
        <v>265</v>
      </c>
      <c r="AB138" s="10" t="n">
        <v>530</v>
      </c>
      <c r="AC138" s="10" t="n">
        <v>1</v>
      </c>
      <c r="AD138" s="10" t="n">
        <v>266</v>
      </c>
      <c r="AE138" s="10" t="n">
        <v>797</v>
      </c>
      <c r="AF138" s="10" t="n">
        <v>0</v>
      </c>
    </row>
    <row r="139">
      <c r="A139" s="7" t="n">
        <v>181</v>
      </c>
      <c r="B139" s="8" t="inlineStr">
        <is>
          <t>|</t>
        </is>
      </c>
      <c r="C139" s="9" t="n">
        <v>225</v>
      </c>
      <c r="D139" s="9" t="n">
        <v>97</v>
      </c>
      <c r="E139" s="9" t="n">
        <v>192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1</v>
      </c>
      <c r="K139" s="9" t="n">
        <v>0</v>
      </c>
      <c r="L139" s="9" t="n">
        <v>1</v>
      </c>
      <c r="M139" s="9" t="n">
        <v>1</v>
      </c>
      <c r="N139" s="9" t="n">
        <v>0</v>
      </c>
      <c r="O139" s="9" t="n">
        <v>0</v>
      </c>
      <c r="P139" s="9" t="n">
        <v>0</v>
      </c>
      <c r="Q139" s="9" t="n">
        <v>5</v>
      </c>
      <c r="R139" s="9" t="n">
        <v>2</v>
      </c>
      <c r="S139" s="9" t="n">
        <v>5</v>
      </c>
      <c r="T139" s="9" t="n">
        <v>0</v>
      </c>
      <c r="U139" s="9" t="n">
        <v>0</v>
      </c>
      <c r="V139" s="9" t="n">
        <v>0</v>
      </c>
      <c r="W139" s="9" t="n">
        <v>1</v>
      </c>
      <c r="X139" s="9" t="n">
        <v>0</v>
      </c>
      <c r="Y139" s="9" t="n">
        <v>0</v>
      </c>
      <c r="Z139" s="9" t="n">
        <v>1</v>
      </c>
      <c r="AA139" s="9" t="n">
        <v>532</v>
      </c>
      <c r="AB139" s="10" t="n">
        <v>1063</v>
      </c>
      <c r="AC139" s="10" t="n">
        <v>3</v>
      </c>
      <c r="AD139" s="10" t="n">
        <v>0</v>
      </c>
      <c r="AE139" s="10" t="n">
        <v>1066</v>
      </c>
      <c r="AF139" s="10" t="n">
        <v>0</v>
      </c>
    </row>
    <row r="140">
      <c r="A140" s="7" t="n">
        <v>189</v>
      </c>
      <c r="B140" s="8" t="inlineStr">
        <is>
          <t>Polling Station 189</t>
        </is>
      </c>
      <c r="C140" s="9" t="n">
        <v>254</v>
      </c>
      <c r="D140" s="9" t="n">
        <v>54</v>
      </c>
      <c r="E140" s="9" t="n">
        <v>387</v>
      </c>
      <c r="F140" s="9" t="n">
        <v>0</v>
      </c>
      <c r="G140" s="9" t="n">
        <v>3</v>
      </c>
      <c r="H140" s="9" t="n">
        <v>0</v>
      </c>
      <c r="I140" s="9" t="n">
        <v>0</v>
      </c>
      <c r="J140" s="9" t="n">
        <v>50</v>
      </c>
      <c r="K140" s="9" t="n">
        <v>1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4</v>
      </c>
      <c r="R140" s="9" t="n">
        <v>3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2</v>
      </c>
      <c r="X140" s="9" t="n">
        <v>0</v>
      </c>
      <c r="Y140" s="9" t="n">
        <v>0</v>
      </c>
      <c r="Z140" s="9" t="n">
        <v>0</v>
      </c>
      <c r="AA140" s="9" t="n">
        <v>737</v>
      </c>
      <c r="AB140" s="10" t="n">
        <v>1495</v>
      </c>
      <c r="AC140" s="10" t="n">
        <v>0</v>
      </c>
      <c r="AD140" s="10" t="n">
        <v>0</v>
      </c>
      <c r="AE140" s="10" t="n">
        <v>1495</v>
      </c>
      <c r="AF140" s="10" t="n">
        <v>0</v>
      </c>
    </row>
    <row r="141">
      <c r="A141" s="7" t="n">
        <v>190</v>
      </c>
      <c r="B141" s="8" t="inlineStr">
        <is>
          <t>)</t>
        </is>
      </c>
      <c r="C141" s="9" t="n">
        <v>150</v>
      </c>
      <c r="D141" s="9" t="n">
        <v>35</v>
      </c>
      <c r="E141" s="9" t="n">
        <v>275</v>
      </c>
      <c r="F141" s="9" t="n">
        <v>157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5</v>
      </c>
      <c r="O141" s="9" t="n">
        <v>0</v>
      </c>
      <c r="P141" s="9" t="n">
        <v>7</v>
      </c>
      <c r="Q141" s="9" t="n">
        <v>4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2</v>
      </c>
      <c r="X141" s="9" t="n">
        <v>0</v>
      </c>
      <c r="Y141" s="9" t="n">
        <v>0</v>
      </c>
      <c r="Z141" s="9" t="n">
        <v>0</v>
      </c>
      <c r="AA141" s="9" t="n">
        <v>480</v>
      </c>
      <c r="AB141" s="10" t="n">
        <v>1115</v>
      </c>
      <c r="AC141" s="10" t="n">
        <v>0</v>
      </c>
      <c r="AD141" s="10" t="n">
        <v>481</v>
      </c>
      <c r="AE141" s="10" t="n">
        <v>1596</v>
      </c>
      <c r="AF141" s="10" t="n">
        <v>0</v>
      </c>
    </row>
    <row r="142">
      <c r="A142" s="7" t="n">
        <v>191</v>
      </c>
      <c r="B142" s="8" t="inlineStr">
        <is>
          <t>Polling Station 191</t>
        </is>
      </c>
      <c r="C142" s="9" t="n">
        <v>210</v>
      </c>
      <c r="D142" s="9" t="n">
        <v>78</v>
      </c>
      <c r="E142" s="9" t="n">
        <v>202</v>
      </c>
      <c r="F142" s="9" t="n">
        <v>1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2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4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  <c r="AA142" s="9" t="n">
        <v>507</v>
      </c>
      <c r="AB142" s="10" t="n">
        <v>1004</v>
      </c>
      <c r="AC142" s="10" t="n">
        <v>0</v>
      </c>
      <c r="AD142" s="10" t="n">
        <v>0</v>
      </c>
      <c r="AE142" s="10" t="n">
        <v>1004</v>
      </c>
      <c r="AF142" s="10" t="n">
        <v>0</v>
      </c>
    </row>
    <row r="143">
      <c r="A143" s="7" t="n">
        <v>194</v>
      </c>
      <c r="B143" s="8" t="inlineStr">
        <is>
          <t>Polling Station 194</t>
        </is>
      </c>
      <c r="C143" s="9" t="n">
        <v>113</v>
      </c>
      <c r="D143" s="9" t="n">
        <v>44</v>
      </c>
      <c r="E143" s="9" t="n">
        <v>220</v>
      </c>
      <c r="F143" s="9" t="n">
        <v>0</v>
      </c>
      <c r="G143" s="9" t="n">
        <v>2</v>
      </c>
      <c r="H143" s="9" t="n">
        <v>7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4</v>
      </c>
      <c r="N143" s="9" t="n">
        <v>1</v>
      </c>
      <c r="O143" s="9" t="n">
        <v>4</v>
      </c>
      <c r="P143" s="9" t="n">
        <v>0</v>
      </c>
      <c r="Q143" s="9" t="n">
        <v>0</v>
      </c>
      <c r="R143" s="9" t="n">
        <v>0</v>
      </c>
      <c r="S143" s="9" t="n">
        <v>2</v>
      </c>
      <c r="T143" s="9" t="n">
        <v>0</v>
      </c>
      <c r="U143" s="9" t="n">
        <v>0</v>
      </c>
      <c r="V143" s="9" t="n">
        <v>0</v>
      </c>
      <c r="W143" s="9" t="n">
        <v>11</v>
      </c>
      <c r="X143" s="9" t="n">
        <v>0</v>
      </c>
      <c r="Y143" s="9" t="n">
        <v>1</v>
      </c>
      <c r="Z143" s="9" t="n">
        <v>0</v>
      </c>
      <c r="AA143" s="9" t="n">
        <v>396</v>
      </c>
      <c r="AB143" s="10" t="n">
        <v>805</v>
      </c>
      <c r="AC143" s="10" t="n">
        <v>0</v>
      </c>
      <c r="AD143" s="10" t="n">
        <v>397</v>
      </c>
      <c r="AE143" s="10" t="n">
        <v>1202</v>
      </c>
      <c r="AF143" s="10" t="n">
        <v>0</v>
      </c>
    </row>
    <row r="144">
      <c r="A144" s="7" t="n">
        <v>195</v>
      </c>
      <c r="B144" s="8" t="inlineStr">
        <is>
          <t>Polling Station 195</t>
        </is>
      </c>
      <c r="C144" s="9" t="n">
        <v>181</v>
      </c>
      <c r="D144" s="9" t="n">
        <v>72</v>
      </c>
      <c r="E144" s="9" t="n">
        <v>193</v>
      </c>
      <c r="F144" s="9" t="n">
        <v>1</v>
      </c>
      <c r="G144" s="9" t="n">
        <v>2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15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467</v>
      </c>
      <c r="AB144" s="10" t="n">
        <v>931</v>
      </c>
      <c r="AC144" s="10" t="n">
        <v>10</v>
      </c>
      <c r="AD144" s="10" t="n">
        <v>477</v>
      </c>
      <c r="AE144" s="10" t="n">
        <v>1418</v>
      </c>
      <c r="AF144" s="10" t="n">
        <v>0</v>
      </c>
    </row>
    <row r="145">
      <c r="A145" s="7" t="n">
        <v>196</v>
      </c>
      <c r="B145" s="8" t="inlineStr">
        <is>
          <t>]</t>
        </is>
      </c>
      <c r="C145" s="9" t="n">
        <v>224</v>
      </c>
      <c r="D145" s="9" t="n">
        <v>95</v>
      </c>
      <c r="E145" s="9" t="n">
        <v>220</v>
      </c>
      <c r="F145" s="9" t="n">
        <v>0</v>
      </c>
      <c r="G145" s="9" t="n">
        <v>3</v>
      </c>
      <c r="H145" s="9" t="n">
        <v>0</v>
      </c>
      <c r="I145" s="9" t="n">
        <v>0</v>
      </c>
      <c r="J145" s="9" t="n">
        <v>1</v>
      </c>
      <c r="K145" s="9" t="n">
        <v>1</v>
      </c>
      <c r="L145" s="9" t="n">
        <v>0</v>
      </c>
      <c r="M145" s="9" t="n">
        <v>10</v>
      </c>
      <c r="N145" s="9" t="n">
        <v>0</v>
      </c>
      <c r="O145" s="9" t="n">
        <v>0</v>
      </c>
      <c r="P145" s="9" t="n">
        <v>0</v>
      </c>
      <c r="Q145" s="9" t="n">
        <v>5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1</v>
      </c>
      <c r="Y145" s="9" t="n">
        <v>0</v>
      </c>
      <c r="Z145" s="9" t="n">
        <v>0</v>
      </c>
      <c r="AA145" s="9" t="n">
        <v>563</v>
      </c>
      <c r="AB145" s="10" t="n">
        <v>1123</v>
      </c>
      <c r="AC145" s="10" t="n">
        <v>7</v>
      </c>
      <c r="AD145" s="10" t="n">
        <v>0</v>
      </c>
      <c r="AE145" s="10" t="n">
        <v>1130</v>
      </c>
      <c r="AF145" s="10" t="n">
        <v>0</v>
      </c>
    </row>
    <row r="146">
      <c r="A146" s="7" t="n">
        <v>197</v>
      </c>
      <c r="B146" s="8" t="inlineStr">
        <is>
          <t>Polling Station 197</t>
        </is>
      </c>
      <c r="C146" s="9" t="n">
        <v>243</v>
      </c>
      <c r="D146" s="9" t="n">
        <v>83</v>
      </c>
      <c r="E146" s="9" t="n">
        <v>323</v>
      </c>
      <c r="F146" s="9" t="n">
        <v>0</v>
      </c>
      <c r="G146" s="9" t="n">
        <v>11</v>
      </c>
      <c r="H146" s="9" t="n">
        <v>0</v>
      </c>
      <c r="I146" s="9" t="n">
        <v>0</v>
      </c>
      <c r="J146" s="9" t="n">
        <v>1</v>
      </c>
      <c r="K146" s="9" t="n">
        <v>0</v>
      </c>
      <c r="L146" s="9" t="n">
        <v>0</v>
      </c>
      <c r="M146" s="9" t="n">
        <v>0</v>
      </c>
      <c r="N146" s="9" t="n">
        <v>4</v>
      </c>
      <c r="O146" s="9" t="n">
        <v>1</v>
      </c>
      <c r="P146" s="9" t="n">
        <v>1</v>
      </c>
      <c r="Q146" s="9" t="n">
        <v>0</v>
      </c>
      <c r="R146" s="9" t="n">
        <v>2</v>
      </c>
      <c r="S146" s="9" t="n">
        <v>0</v>
      </c>
      <c r="T146" s="9" t="n">
        <v>0</v>
      </c>
      <c r="U146" s="9" t="n">
        <v>1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9" t="n">
        <v>699</v>
      </c>
      <c r="AB146" s="10" t="n">
        <v>1369</v>
      </c>
      <c r="AC146" s="10" t="n">
        <v>0</v>
      </c>
      <c r="AD146" s="10" t="n">
        <v>0</v>
      </c>
      <c r="AE146" s="10" t="n">
        <v>1369</v>
      </c>
      <c r="AF146" s="10" t="n">
        <v>0</v>
      </c>
    </row>
    <row r="147">
      <c r="A147" s="7" t="n">
        <v>198</v>
      </c>
      <c r="B147" s="8" t="inlineStr">
        <is>
          <t>Polling Station 198</t>
        </is>
      </c>
      <c r="C147" s="9" t="n">
        <v>256</v>
      </c>
      <c r="D147" s="9" t="n">
        <v>115</v>
      </c>
      <c r="E147" s="9" t="n">
        <v>264</v>
      </c>
      <c r="F147" s="9" t="n">
        <v>1</v>
      </c>
      <c r="G147" s="9" t="n">
        <v>1</v>
      </c>
      <c r="H147" s="9" t="n">
        <v>0</v>
      </c>
      <c r="I147" s="9" t="n">
        <v>0</v>
      </c>
      <c r="J147" s="9" t="n">
        <v>1</v>
      </c>
      <c r="K147" s="9" t="n">
        <v>0</v>
      </c>
      <c r="L147" s="9" t="n">
        <v>0</v>
      </c>
      <c r="M147" s="9" t="n">
        <v>0</v>
      </c>
      <c r="N147" s="9" t="n">
        <v>5</v>
      </c>
      <c r="O147" s="9" t="n">
        <v>2</v>
      </c>
      <c r="P147" s="9" t="n">
        <v>0</v>
      </c>
      <c r="Q147" s="9" t="n">
        <v>0</v>
      </c>
      <c r="R147" s="9" t="n">
        <v>7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658</v>
      </c>
      <c r="AB147" s="10" t="n">
        <v>1310</v>
      </c>
      <c r="AC147" s="10" t="n">
        <v>14</v>
      </c>
      <c r="AD147" s="10" t="n">
        <v>0</v>
      </c>
      <c r="AE147" s="10" t="n">
        <v>1324</v>
      </c>
      <c r="AF147" s="10" t="n">
        <v>0</v>
      </c>
    </row>
    <row r="148">
      <c r="A148" s="7" t="n">
        <v>199</v>
      </c>
      <c r="B148" s="8" t="inlineStr">
        <is>
          <t>]</t>
        </is>
      </c>
      <c r="C148" s="9" t="n">
        <v>150</v>
      </c>
      <c r="D148" s="9" t="n">
        <v>32</v>
      </c>
      <c r="E148" s="9" t="n">
        <v>211</v>
      </c>
      <c r="F148" s="9" t="n">
        <v>0</v>
      </c>
      <c r="G148" s="9" t="n">
        <v>2</v>
      </c>
      <c r="H148" s="9" t="n">
        <v>0</v>
      </c>
      <c r="I148" s="9" t="n">
        <v>0</v>
      </c>
      <c r="J148" s="9" t="n">
        <v>0</v>
      </c>
      <c r="K148" s="9" t="n">
        <v>1</v>
      </c>
      <c r="L148" s="9" t="n">
        <v>0</v>
      </c>
      <c r="M148" s="9" t="n">
        <v>4</v>
      </c>
      <c r="N148" s="9" t="n">
        <v>0</v>
      </c>
      <c r="O148" s="9" t="n">
        <v>1</v>
      </c>
      <c r="P148" s="9" t="n">
        <v>0</v>
      </c>
      <c r="Q148" s="9" t="n">
        <v>4</v>
      </c>
      <c r="R148" s="9" t="n">
        <v>4</v>
      </c>
      <c r="S148" s="9" t="n">
        <v>0</v>
      </c>
      <c r="T148" s="9" t="n">
        <v>4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9" t="n">
        <v>422</v>
      </c>
      <c r="AB148" s="10" t="n">
        <v>835</v>
      </c>
      <c r="AC148" s="10" t="n">
        <v>0</v>
      </c>
      <c r="AD148" s="10" t="n">
        <v>423</v>
      </c>
      <c r="AE148" s="10" t="n">
        <v>1258</v>
      </c>
      <c r="AF148" s="10" t="n">
        <v>0</v>
      </c>
    </row>
    <row r="149">
      <c r="A149" s="7" t="n">
        <v>200</v>
      </c>
      <c r="B149" s="8" t="inlineStr">
        <is>
          <t>Polling Station 200</t>
        </is>
      </c>
      <c r="C149" s="9" t="n">
        <v>0</v>
      </c>
      <c r="D149" s="9" t="n">
        <v>4</v>
      </c>
      <c r="E149" s="9" t="n">
        <v>5</v>
      </c>
      <c r="F149" s="9" t="n">
        <v>6</v>
      </c>
      <c r="G149" s="9" t="n">
        <v>7</v>
      </c>
      <c r="H149" s="9" t="n">
        <v>8</v>
      </c>
      <c r="I149" s="9" t="n">
        <v>9</v>
      </c>
      <c r="J149" s="9" t="n">
        <v>10</v>
      </c>
      <c r="K149" s="9" t="n">
        <v>11</v>
      </c>
      <c r="L149" s="9" t="n">
        <v>5</v>
      </c>
      <c r="M149" s="9" t="n">
        <v>13</v>
      </c>
      <c r="N149" s="9" t="n">
        <v>14</v>
      </c>
      <c r="O149" s="9" t="n">
        <v>15</v>
      </c>
      <c r="P149" s="9" t="n">
        <v>16</v>
      </c>
      <c r="Q149" s="9" t="n">
        <v>17</v>
      </c>
      <c r="R149" s="9" t="n">
        <v>18</v>
      </c>
      <c r="S149" s="9" t="n">
        <v>19</v>
      </c>
      <c r="T149" s="9" t="n">
        <v>20</v>
      </c>
      <c r="U149" s="9" t="n">
        <v>21</v>
      </c>
      <c r="V149" s="9" t="n">
        <v>22</v>
      </c>
      <c r="W149" s="9" t="n">
        <v>23</v>
      </c>
      <c r="X149" s="9" t="n">
        <v>24</v>
      </c>
      <c r="Y149" s="9" t="n">
        <v>25</v>
      </c>
      <c r="Z149" s="9" t="n">
        <v>26</v>
      </c>
      <c r="AA149" s="9" t="n">
        <v>0</v>
      </c>
      <c r="AB149" s="10" t="n">
        <v>338</v>
      </c>
      <c r="AC149" s="10" t="n">
        <v>29</v>
      </c>
      <c r="AD149" s="10" t="n">
        <v>30</v>
      </c>
      <c r="AE149" s="10" t="n">
        <v>397</v>
      </c>
      <c r="AF149" s="10" t="n">
        <v>0</v>
      </c>
    </row>
    <row r="150">
      <c r="A150" s="7" t="n">
        <v>201</v>
      </c>
      <c r="B150" s="8" t="inlineStr">
        <is>
          <t>Polling Station 201</t>
        </is>
      </c>
      <c r="C150" s="9" t="n">
        <v>482</v>
      </c>
      <c r="D150" s="9" t="n">
        <v>153</v>
      </c>
      <c r="E150" s="9" t="n">
        <v>22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4</v>
      </c>
      <c r="N150" s="9" t="n">
        <v>1</v>
      </c>
      <c r="O150" s="9" t="n">
        <v>0</v>
      </c>
      <c r="P150" s="9" t="n">
        <v>4</v>
      </c>
      <c r="Q150" s="9" t="n">
        <v>3</v>
      </c>
      <c r="R150" s="9" t="n">
        <v>4</v>
      </c>
      <c r="S150" s="9" t="n">
        <v>16</v>
      </c>
      <c r="T150" s="9" t="n">
        <v>1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  <c r="AA150" s="9" t="n">
        <v>693</v>
      </c>
      <c r="AB150" s="10" t="n">
        <v>1383</v>
      </c>
      <c r="AC150" s="10" t="n">
        <v>3</v>
      </c>
      <c r="AD150" s="10" t="n">
        <v>0</v>
      </c>
      <c r="AE150" s="10" t="n">
        <v>1386</v>
      </c>
      <c r="AF150" s="10" t="n">
        <v>0</v>
      </c>
    </row>
    <row r="151">
      <c r="A151" s="7" t="n">
        <v>202</v>
      </c>
      <c r="B151" s="8" t="inlineStr">
        <is>
          <t>Polling Station 202</t>
        </is>
      </c>
      <c r="C151" s="9" t="n">
        <v>548</v>
      </c>
      <c r="D151" s="9" t="n">
        <v>184</v>
      </c>
      <c r="E151" s="9" t="n">
        <v>10</v>
      </c>
      <c r="F151" s="9" t="n">
        <v>2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4</v>
      </c>
      <c r="N151" s="9" t="n">
        <v>0</v>
      </c>
      <c r="O151" s="9" t="n">
        <v>0</v>
      </c>
      <c r="P151" s="9" t="n">
        <v>0</v>
      </c>
      <c r="Q151" s="9" t="n">
        <v>4</v>
      </c>
      <c r="R151" s="9" t="n">
        <v>0</v>
      </c>
      <c r="S151" s="9" t="n">
        <v>28</v>
      </c>
      <c r="T151" s="9" t="n">
        <v>1</v>
      </c>
      <c r="U151" s="9" t="n">
        <v>0</v>
      </c>
      <c r="V151" s="9" t="n">
        <v>1</v>
      </c>
      <c r="W151" s="9" t="n">
        <v>0</v>
      </c>
      <c r="X151" s="9" t="n">
        <v>2</v>
      </c>
      <c r="Y151" s="9" t="n">
        <v>0</v>
      </c>
      <c r="Z151" s="9" t="n">
        <v>1</v>
      </c>
      <c r="AA151" s="9" t="n">
        <v>795</v>
      </c>
      <c r="AB151" s="10" t="n">
        <v>1580</v>
      </c>
      <c r="AC151" s="10" t="n">
        <v>0</v>
      </c>
      <c r="AD151" s="10" t="n">
        <v>0</v>
      </c>
      <c r="AE151" s="10" t="n">
        <v>1580</v>
      </c>
      <c r="AF151" s="10" t="n">
        <v>0</v>
      </c>
    </row>
    <row r="152">
      <c r="A152" s="7" t="n">
        <v>203</v>
      </c>
      <c r="B152" s="8" t="inlineStr">
        <is>
          <t>Polling Station 203</t>
        </is>
      </c>
      <c r="C152" s="9" t="n">
        <v>546</v>
      </c>
      <c r="D152" s="9" t="n">
        <v>191</v>
      </c>
      <c r="E152" s="9" t="n">
        <v>20</v>
      </c>
      <c r="F152" s="9" t="n">
        <v>1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2</v>
      </c>
      <c r="N152" s="9" t="n">
        <v>0</v>
      </c>
      <c r="O152" s="9" t="n">
        <v>0</v>
      </c>
      <c r="P152" s="9" t="n">
        <v>2</v>
      </c>
      <c r="Q152" s="9" t="n">
        <v>0</v>
      </c>
      <c r="R152" s="9" t="n">
        <v>2</v>
      </c>
      <c r="S152" s="9" t="n">
        <v>17</v>
      </c>
      <c r="T152" s="9" t="n">
        <v>1</v>
      </c>
      <c r="U152" s="9" t="n">
        <v>0</v>
      </c>
      <c r="V152" s="9" t="n">
        <v>0</v>
      </c>
      <c r="W152" s="9" t="n">
        <v>0</v>
      </c>
      <c r="X152" s="9" t="n">
        <v>1</v>
      </c>
      <c r="Y152" s="9" t="n">
        <v>0</v>
      </c>
      <c r="Z152" s="9" t="n">
        <v>0</v>
      </c>
      <c r="AA152" s="9" t="n">
        <v>790</v>
      </c>
      <c r="AB152" s="10" t="n">
        <v>1573</v>
      </c>
      <c r="AC152" s="10" t="n">
        <v>0</v>
      </c>
      <c r="AD152" s="10" t="n">
        <v>0</v>
      </c>
      <c r="AE152" s="10" t="n">
        <v>1573</v>
      </c>
      <c r="AF152" s="10" t="n">
        <v>0</v>
      </c>
    </row>
    <row r="153">
      <c r="A153" s="7" t="n">
        <v>204</v>
      </c>
      <c r="B153" s="8" t="inlineStr">
        <is>
          <t>Polling Station 204</t>
        </is>
      </c>
      <c r="C153" s="9" t="n">
        <v>380</v>
      </c>
      <c r="D153" s="9" t="n">
        <v>8</v>
      </c>
      <c r="E153" s="9" t="n">
        <v>43</v>
      </c>
      <c r="F153" s="9" t="n">
        <v>1</v>
      </c>
      <c r="G153" s="9" t="n">
        <v>3</v>
      </c>
      <c r="H153" s="9" t="n">
        <v>1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1</v>
      </c>
      <c r="N153" s="9" t="n">
        <v>2</v>
      </c>
      <c r="O153" s="9" t="n">
        <v>0</v>
      </c>
      <c r="P153" s="9" t="n">
        <v>0</v>
      </c>
      <c r="Q153" s="9" t="n">
        <v>4</v>
      </c>
      <c r="R153" s="9" t="n">
        <v>4</v>
      </c>
      <c r="S153" s="9" t="n">
        <v>8</v>
      </c>
      <c r="T153" s="9" t="n">
        <v>3</v>
      </c>
      <c r="U153" s="9" t="n">
        <v>0</v>
      </c>
      <c r="V153" s="9" t="n">
        <v>0</v>
      </c>
      <c r="W153" s="9" t="n">
        <v>20</v>
      </c>
      <c r="X153" s="9" t="n">
        <v>1</v>
      </c>
      <c r="Y153" s="9" t="n">
        <v>0</v>
      </c>
      <c r="Z153" s="9" t="n">
        <v>2</v>
      </c>
      <c r="AA153" s="9" t="n">
        <v>543</v>
      </c>
      <c r="AB153" s="10" t="n">
        <v>1024</v>
      </c>
      <c r="AC153" s="10" t="n">
        <v>7</v>
      </c>
      <c r="AD153" s="10" t="n">
        <v>0</v>
      </c>
      <c r="AE153" s="10" t="n">
        <v>1031</v>
      </c>
      <c r="AF153" s="10" t="n">
        <v>0</v>
      </c>
    </row>
    <row r="154">
      <c r="A154" s="7" t="n">
        <v>205</v>
      </c>
      <c r="B154" s="8" t="inlineStr">
        <is>
          <t>)</t>
        </is>
      </c>
      <c r="C154" s="9" t="n">
        <v>363</v>
      </c>
      <c r="D154" s="9" t="n">
        <v>147</v>
      </c>
      <c r="E154" s="9" t="n">
        <v>3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0</v>
      </c>
      <c r="Q154" s="9" t="n">
        <v>4</v>
      </c>
      <c r="R154" s="9" t="n">
        <v>4</v>
      </c>
      <c r="S154" s="9" t="n">
        <v>10</v>
      </c>
      <c r="T154" s="9" t="n">
        <v>2</v>
      </c>
      <c r="U154" s="9" t="n">
        <v>0</v>
      </c>
      <c r="V154" s="9" t="n">
        <v>0</v>
      </c>
      <c r="W154" s="9" t="n">
        <v>2</v>
      </c>
      <c r="X154" s="9" t="n">
        <v>0</v>
      </c>
      <c r="Y154" s="9" t="n">
        <v>0</v>
      </c>
      <c r="Z154" s="9" t="n">
        <v>1</v>
      </c>
      <c r="AA154" s="9" t="n">
        <v>544</v>
      </c>
      <c r="AB154" s="10" t="n">
        <v>1080</v>
      </c>
      <c r="AC154" s="10" t="n">
        <v>0</v>
      </c>
      <c r="AD154" s="10" t="n">
        <v>0</v>
      </c>
      <c r="AE154" s="10" t="n">
        <v>1080</v>
      </c>
      <c r="AF154" s="10" t="n">
        <v>0</v>
      </c>
    </row>
    <row r="155">
      <c r="A155" s="7" t="n">
        <v>206</v>
      </c>
      <c r="B155" s="8" t="inlineStr">
        <is>
          <t>Polling Station 206</t>
        </is>
      </c>
      <c r="C155" s="9" t="n">
        <v>630</v>
      </c>
      <c r="D155" s="9" t="n">
        <v>251</v>
      </c>
      <c r="E155" s="9" t="n">
        <v>31</v>
      </c>
      <c r="F155" s="9" t="n">
        <v>220</v>
      </c>
      <c r="G155" s="9" t="n">
        <v>7</v>
      </c>
      <c r="H155" s="9" t="n">
        <v>0</v>
      </c>
      <c r="I155" s="9" t="n">
        <v>0</v>
      </c>
      <c r="J155" s="9" t="n">
        <v>0</v>
      </c>
      <c r="K155" s="9" t="n">
        <v>1</v>
      </c>
      <c r="L155" s="9" t="n">
        <v>2</v>
      </c>
      <c r="M155" s="9" t="n">
        <v>3</v>
      </c>
      <c r="N155" s="9" t="n">
        <v>0</v>
      </c>
      <c r="O155" s="9" t="n">
        <v>2</v>
      </c>
      <c r="P155" s="9" t="n">
        <v>87</v>
      </c>
      <c r="Q155" s="9" t="n">
        <v>3</v>
      </c>
      <c r="R155" s="9" t="n">
        <v>1</v>
      </c>
      <c r="S155" s="9" t="n">
        <v>21</v>
      </c>
      <c r="T155" s="9" t="n">
        <v>1</v>
      </c>
      <c r="U155" s="9" t="n">
        <v>0</v>
      </c>
      <c r="V155" s="9" t="n">
        <v>0</v>
      </c>
      <c r="W155" s="9" t="n">
        <v>0</v>
      </c>
      <c r="X155" s="9" t="n">
        <v>1</v>
      </c>
      <c r="Y155" s="9" t="n">
        <v>0</v>
      </c>
      <c r="Z155" s="9" t="n">
        <v>0</v>
      </c>
      <c r="AA155" s="9" t="n">
        <v>955</v>
      </c>
      <c r="AB155" s="10" t="n">
        <v>2216</v>
      </c>
      <c r="AC155" s="10" t="n">
        <v>0</v>
      </c>
      <c r="AD155" s="10" t="n">
        <v>0</v>
      </c>
      <c r="AE155" s="10" t="n">
        <v>2216</v>
      </c>
      <c r="AF155" s="10" t="n">
        <v>0</v>
      </c>
    </row>
    <row r="156">
      <c r="A156" s="7" t="n">
        <v>207</v>
      </c>
      <c r="B156" s="8" t="inlineStr">
        <is>
          <t>Polling Station 207</t>
        </is>
      </c>
      <c r="C156" s="9" t="n">
        <v>330</v>
      </c>
      <c r="D156" s="9" t="n">
        <v>0</v>
      </c>
      <c r="E156" s="9" t="n">
        <v>10</v>
      </c>
      <c r="F156" s="9" t="n">
        <v>0</v>
      </c>
      <c r="G156" s="9" t="n">
        <v>3</v>
      </c>
      <c r="H156" s="9" t="n">
        <v>0</v>
      </c>
      <c r="I156" s="9" t="n">
        <v>0</v>
      </c>
      <c r="J156" s="9" t="n">
        <v>2</v>
      </c>
      <c r="K156" s="9" t="n">
        <v>0</v>
      </c>
      <c r="L156" s="9" t="n">
        <v>0</v>
      </c>
      <c r="M156" s="9" t="n">
        <v>1</v>
      </c>
      <c r="N156" s="9" t="n">
        <v>0</v>
      </c>
      <c r="O156" s="9" t="n">
        <v>2</v>
      </c>
      <c r="P156" s="9" t="n">
        <v>4</v>
      </c>
      <c r="Q156" s="9" t="n">
        <v>2</v>
      </c>
      <c r="R156" s="9" t="n">
        <v>4</v>
      </c>
      <c r="S156" s="9" t="n">
        <v>0</v>
      </c>
      <c r="T156" s="9" t="n">
        <v>2</v>
      </c>
      <c r="U156" s="9" t="n">
        <v>0</v>
      </c>
      <c r="V156" s="9" t="n">
        <v>0</v>
      </c>
      <c r="W156" s="9" t="n">
        <v>90</v>
      </c>
      <c r="X156" s="9" t="n">
        <v>3</v>
      </c>
      <c r="Y156" s="9" t="n">
        <v>0</v>
      </c>
      <c r="Z156" s="9" t="n">
        <v>0</v>
      </c>
      <c r="AA156" s="9" t="n">
        <v>483</v>
      </c>
      <c r="AB156" s="10" t="n">
        <v>936</v>
      </c>
      <c r="AC156" s="10" t="n">
        <v>0</v>
      </c>
      <c r="AD156" s="10" t="n">
        <v>483</v>
      </c>
      <c r="AE156" s="10" t="n">
        <v>1419</v>
      </c>
      <c r="AF156" s="10" t="n">
        <v>0</v>
      </c>
    </row>
    <row r="157">
      <c r="A157" s="7" t="n">
        <v>208</v>
      </c>
      <c r="B157" s="8" t="inlineStr">
        <is>
          <t>)</t>
        </is>
      </c>
      <c r="C157" s="9" t="n">
        <v>432</v>
      </c>
      <c r="D157" s="9" t="n">
        <v>167</v>
      </c>
      <c r="E157" s="9" t="n">
        <v>758</v>
      </c>
      <c r="F157" s="9" t="n">
        <v>0</v>
      </c>
      <c r="G157" s="9" t="n">
        <v>3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1</v>
      </c>
      <c r="N157" s="9" t="n">
        <v>0</v>
      </c>
      <c r="O157" s="9" t="n">
        <v>0</v>
      </c>
      <c r="P157" s="9" t="n">
        <v>0</v>
      </c>
      <c r="Q157" s="9" t="n">
        <v>2</v>
      </c>
      <c r="R157" s="9" t="n">
        <v>0</v>
      </c>
      <c r="S157" s="9" t="n">
        <v>6</v>
      </c>
      <c r="T157" s="9" t="n">
        <v>1</v>
      </c>
      <c r="U157" s="9" t="n">
        <v>2</v>
      </c>
      <c r="V157" s="9" t="n">
        <v>0</v>
      </c>
      <c r="W157" s="9" t="n">
        <v>0</v>
      </c>
      <c r="X157" s="9" t="n">
        <v>0</v>
      </c>
      <c r="Y157" s="9" t="n">
        <v>0</v>
      </c>
      <c r="Z157" s="9" t="n">
        <v>0</v>
      </c>
      <c r="AA157" s="9" t="n">
        <v>672</v>
      </c>
      <c r="AB157" s="10" t="n">
        <v>2044</v>
      </c>
      <c r="AC157" s="10" t="n">
        <v>3</v>
      </c>
      <c r="AD157" s="10" t="n">
        <v>0</v>
      </c>
      <c r="AE157" s="10" t="n">
        <v>2047</v>
      </c>
      <c r="AF157" s="10" t="n">
        <v>0</v>
      </c>
    </row>
    <row r="158">
      <c r="A158" s="7" t="n">
        <v>209</v>
      </c>
      <c r="B158" s="8" t="inlineStr">
        <is>
          <t>Polling Station 209</t>
        </is>
      </c>
      <c r="C158" s="9" t="n">
        <v>358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4</v>
      </c>
      <c r="N158" s="9" t="n">
        <v>0</v>
      </c>
      <c r="O158" s="9" t="n">
        <v>1</v>
      </c>
      <c r="P158" s="9" t="n">
        <v>0</v>
      </c>
      <c r="Q158" s="9" t="n">
        <v>3</v>
      </c>
      <c r="R158" s="9" t="n">
        <v>3</v>
      </c>
      <c r="S158" s="9" t="n">
        <v>11</v>
      </c>
      <c r="T158" s="9" t="n">
        <v>2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  <c r="AA158" s="9" t="n">
        <v>528</v>
      </c>
      <c r="AB158" s="10" t="n">
        <v>910</v>
      </c>
      <c r="AC158" s="10" t="n">
        <v>1</v>
      </c>
      <c r="AD158" s="10" t="n">
        <v>0</v>
      </c>
      <c r="AE158" s="10" t="n">
        <v>911</v>
      </c>
      <c r="AF158" s="10" t="n">
        <v>0</v>
      </c>
    </row>
    <row r="159">
      <c r="A159" s="7" t="n">
        <v>210</v>
      </c>
      <c r="B159" s="8" t="inlineStr">
        <is>
          <t>!</t>
        </is>
      </c>
      <c r="C159" s="9" t="n">
        <v>426</v>
      </c>
      <c r="D159" s="9" t="n">
        <v>246</v>
      </c>
      <c r="E159" s="9" t="n">
        <v>4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1</v>
      </c>
      <c r="L159" s="9" t="n">
        <v>0</v>
      </c>
      <c r="M159" s="9" t="n">
        <v>1</v>
      </c>
      <c r="N159" s="9" t="n">
        <v>4</v>
      </c>
      <c r="O159" s="9" t="n">
        <v>2</v>
      </c>
      <c r="P159" s="9" t="n">
        <v>0</v>
      </c>
      <c r="Q159" s="9" t="n">
        <v>3</v>
      </c>
      <c r="R159" s="9" t="n">
        <v>6</v>
      </c>
      <c r="S159" s="9" t="n">
        <v>20</v>
      </c>
      <c r="T159" s="9" t="n">
        <v>0</v>
      </c>
      <c r="U159" s="9" t="n">
        <v>1</v>
      </c>
      <c r="V159" s="9" t="n">
        <v>0</v>
      </c>
      <c r="W159" s="9" t="n">
        <v>2</v>
      </c>
      <c r="X159" s="9" t="n">
        <v>1</v>
      </c>
      <c r="Y159" s="9" t="n">
        <v>0</v>
      </c>
      <c r="Z159" s="9" t="n">
        <v>1</v>
      </c>
      <c r="AA159" s="9" t="n">
        <v>757</v>
      </c>
      <c r="AB159" s="10" t="n">
        <v>1475</v>
      </c>
      <c r="AC159" s="10" t="n">
        <v>0</v>
      </c>
      <c r="AD159" s="10" t="n">
        <v>0</v>
      </c>
      <c r="AE159" s="10" t="n">
        <v>1475</v>
      </c>
      <c r="AF159" s="10" t="n">
        <v>0</v>
      </c>
    </row>
    <row r="160">
      <c r="A160" s="7" t="n">
        <v>211</v>
      </c>
      <c r="B160" s="8" t="inlineStr">
        <is>
          <t>Polling Station 211</t>
        </is>
      </c>
      <c r="C160" s="9" t="n">
        <v>176</v>
      </c>
      <c r="D160" s="9" t="n">
        <v>96</v>
      </c>
      <c r="E160" s="9" t="n">
        <v>0</v>
      </c>
      <c r="F160" s="9" t="n">
        <v>0</v>
      </c>
      <c r="G160" s="9" t="n">
        <v>3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2</v>
      </c>
      <c r="N160" s="9" t="n">
        <v>0</v>
      </c>
      <c r="O160" s="9" t="n">
        <v>0</v>
      </c>
      <c r="P160" s="9" t="n">
        <v>1</v>
      </c>
      <c r="Q160" s="9" t="n">
        <v>0</v>
      </c>
      <c r="R160" s="9" t="n">
        <v>1</v>
      </c>
      <c r="S160" s="9" t="n">
        <v>2</v>
      </c>
      <c r="T160" s="9" t="n">
        <v>4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305</v>
      </c>
      <c r="AB160" s="10" t="n">
        <v>590</v>
      </c>
      <c r="AC160" s="10" t="n">
        <v>0</v>
      </c>
      <c r="AD160" s="10" t="n">
        <v>305</v>
      </c>
      <c r="AE160" s="10" t="n">
        <v>895</v>
      </c>
      <c r="AF160" s="10" t="n">
        <v>0</v>
      </c>
    </row>
    <row r="161">
      <c r="A161" s="7" t="n">
        <v>212</v>
      </c>
      <c r="B161" s="8" t="inlineStr">
        <is>
          <t>Polling Station 212</t>
        </is>
      </c>
      <c r="C161" s="9" t="n">
        <v>8</v>
      </c>
      <c r="D161" s="9" t="n">
        <v>149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1</v>
      </c>
      <c r="N161" s="9" t="n">
        <v>1</v>
      </c>
      <c r="O161" s="9" t="n">
        <v>0</v>
      </c>
      <c r="P161" s="9" t="n">
        <v>1</v>
      </c>
      <c r="Q161" s="9" t="n">
        <v>0</v>
      </c>
      <c r="R161" s="9" t="n">
        <v>1</v>
      </c>
      <c r="S161" s="9" t="n">
        <v>13</v>
      </c>
      <c r="T161" s="9" t="n">
        <v>1</v>
      </c>
      <c r="U161" s="9" t="n">
        <v>1</v>
      </c>
      <c r="V161" s="9" t="n">
        <v>0</v>
      </c>
      <c r="W161" s="9" t="n">
        <v>0</v>
      </c>
      <c r="X161" s="9" t="n">
        <v>0</v>
      </c>
      <c r="Y161" s="9" t="n">
        <v>0</v>
      </c>
      <c r="Z161" s="9" t="n">
        <v>0</v>
      </c>
      <c r="AA161" s="9" t="n">
        <v>611</v>
      </c>
      <c r="AB161" s="10" t="n">
        <v>787</v>
      </c>
      <c r="AC161" s="10" t="n">
        <v>0</v>
      </c>
      <c r="AD161" s="10" t="n">
        <v>0</v>
      </c>
      <c r="AE161" s="10" t="n">
        <v>787</v>
      </c>
      <c r="AF161" s="10" t="n">
        <v>0</v>
      </c>
    </row>
    <row r="162">
      <c r="A162" s="7" t="n">
        <v>213</v>
      </c>
      <c r="B162" s="8" t="inlineStr">
        <is>
          <t>Polling Station 213</t>
        </is>
      </c>
      <c r="C162" s="9" t="n">
        <v>134</v>
      </c>
      <c r="D162" s="9" t="n">
        <v>7</v>
      </c>
      <c r="E162" s="9" t="n">
        <v>285</v>
      </c>
      <c r="F162" s="9" t="n">
        <v>0</v>
      </c>
      <c r="G162" s="9" t="n">
        <v>7</v>
      </c>
      <c r="H162" s="9" t="n">
        <v>33</v>
      </c>
      <c r="I162" s="9" t="n">
        <v>0</v>
      </c>
      <c r="J162" s="9" t="n">
        <v>0</v>
      </c>
      <c r="K162" s="9" t="n">
        <v>1</v>
      </c>
      <c r="L162" s="9" t="n">
        <v>0</v>
      </c>
      <c r="M162" s="9" t="n">
        <v>0</v>
      </c>
      <c r="N162" s="9" t="n">
        <v>2</v>
      </c>
      <c r="O162" s="9" t="n">
        <v>0</v>
      </c>
      <c r="P162" s="9" t="n">
        <v>0</v>
      </c>
      <c r="Q162" s="9" t="n">
        <v>2</v>
      </c>
      <c r="R162" s="9" t="n">
        <v>2</v>
      </c>
      <c r="S162" s="9" t="n">
        <v>2</v>
      </c>
      <c r="T162" s="9" t="n">
        <v>0</v>
      </c>
      <c r="U162" s="9" t="n">
        <v>8</v>
      </c>
      <c r="V162" s="9" t="n">
        <v>1</v>
      </c>
      <c r="W162" s="9" t="n">
        <v>0</v>
      </c>
      <c r="X162" s="9" t="n">
        <v>0</v>
      </c>
      <c r="Y162" s="9" t="n">
        <v>0</v>
      </c>
      <c r="Z162" s="9" t="n">
        <v>0</v>
      </c>
      <c r="AA162" s="9" t="n">
        <v>524</v>
      </c>
      <c r="AB162" s="10" t="n">
        <v>1008</v>
      </c>
      <c r="AC162" s="10" t="n">
        <v>0</v>
      </c>
      <c r="AD162" s="10" t="n">
        <v>0</v>
      </c>
      <c r="AE162" s="10" t="n">
        <v>1008</v>
      </c>
      <c r="AF162" s="10" t="n">
        <v>0</v>
      </c>
    </row>
    <row r="163">
      <c r="A163" s="7" t="n">
        <v>214</v>
      </c>
      <c r="B163" s="8" t="inlineStr">
        <is>
          <t>Polling Station 214</t>
        </is>
      </c>
      <c r="C163" s="9" t="n">
        <v>240</v>
      </c>
      <c r="D163" s="9" t="n">
        <v>159</v>
      </c>
      <c r="E163" s="9" t="n">
        <v>186</v>
      </c>
      <c r="F163" s="9" t="n">
        <v>5</v>
      </c>
      <c r="G163" s="9" t="n">
        <v>0</v>
      </c>
      <c r="H163" s="9" t="n">
        <v>0</v>
      </c>
      <c r="I163" s="9" t="n">
        <v>0</v>
      </c>
      <c r="J163" s="9" t="n">
        <v>7</v>
      </c>
      <c r="K163" s="9" t="n">
        <v>0</v>
      </c>
      <c r="L163" s="9" t="n">
        <v>2</v>
      </c>
      <c r="M163" s="9" t="n">
        <v>1</v>
      </c>
      <c r="N163" s="9" t="n">
        <v>18</v>
      </c>
      <c r="O163" s="9" t="n">
        <v>0</v>
      </c>
      <c r="P163" s="9" t="n">
        <v>1</v>
      </c>
      <c r="Q163" s="9" t="n">
        <v>2</v>
      </c>
      <c r="R163" s="9" t="n">
        <v>4</v>
      </c>
      <c r="S163" s="9" t="n">
        <v>5</v>
      </c>
      <c r="T163" s="9" t="n">
        <v>0</v>
      </c>
      <c r="U163" s="9" t="n">
        <v>0</v>
      </c>
      <c r="V163" s="9" t="n">
        <v>1</v>
      </c>
      <c r="W163" s="9" t="n">
        <v>0</v>
      </c>
      <c r="X163" s="9" t="n">
        <v>0</v>
      </c>
      <c r="Y163" s="9" t="n">
        <v>0</v>
      </c>
      <c r="Z163" s="9" t="n">
        <v>0</v>
      </c>
      <c r="AA163" s="9" t="n">
        <v>639</v>
      </c>
      <c r="AB163" s="10" t="n">
        <v>1270</v>
      </c>
      <c r="AC163" s="10" t="n">
        <v>8</v>
      </c>
      <c r="AD163" s="10" t="n">
        <v>0</v>
      </c>
      <c r="AE163" s="10" t="n">
        <v>1278</v>
      </c>
      <c r="AF163" s="10" t="n">
        <v>0</v>
      </c>
    </row>
    <row r="164">
      <c r="A164" s="7" t="n">
        <v>215</v>
      </c>
      <c r="B164" s="8" t="inlineStr">
        <is>
          <t>Polling Station 215</t>
        </is>
      </c>
      <c r="C164" s="9" t="n">
        <v>192</v>
      </c>
      <c r="D164" s="9" t="n">
        <v>0</v>
      </c>
      <c r="E164" s="9" t="n">
        <v>245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1</v>
      </c>
      <c r="L164" s="9" t="n">
        <v>0</v>
      </c>
      <c r="M164" s="9" t="n">
        <v>1</v>
      </c>
      <c r="N164" s="9" t="n">
        <v>3</v>
      </c>
      <c r="O164" s="9" t="n">
        <v>1</v>
      </c>
      <c r="P164" s="9" t="n">
        <v>2</v>
      </c>
      <c r="Q164" s="9" t="n">
        <v>1</v>
      </c>
      <c r="R164" s="9" t="n">
        <v>2</v>
      </c>
      <c r="S164" s="9" t="n">
        <v>6</v>
      </c>
      <c r="T164" s="9" t="n">
        <v>2</v>
      </c>
      <c r="U164" s="9" t="n">
        <v>0</v>
      </c>
      <c r="V164" s="9" t="n">
        <v>0</v>
      </c>
      <c r="W164" s="9" t="n">
        <v>3</v>
      </c>
      <c r="X164" s="9" t="n">
        <v>1</v>
      </c>
      <c r="Y164" s="9" t="n">
        <v>0</v>
      </c>
      <c r="Z164" s="9" t="n">
        <v>0</v>
      </c>
      <c r="AA164" s="9" t="n">
        <v>562</v>
      </c>
      <c r="AB164" s="10" t="n">
        <v>1022</v>
      </c>
      <c r="AC164" s="10" t="n">
        <v>5</v>
      </c>
      <c r="AD164" s="10" t="n">
        <v>0</v>
      </c>
      <c r="AE164" s="10" t="n">
        <v>1027</v>
      </c>
      <c r="AF164" s="10" t="n">
        <v>0</v>
      </c>
    </row>
    <row r="165">
      <c r="A165" s="7" t="n">
        <v>216</v>
      </c>
      <c r="B165" s="8" t="inlineStr">
        <is>
          <t>Polling Station 216</t>
        </is>
      </c>
      <c r="C165" s="9" t="n">
        <v>196</v>
      </c>
      <c r="D165" s="9" t="n">
        <v>0</v>
      </c>
      <c r="E165" s="9" t="n">
        <v>507</v>
      </c>
      <c r="F165" s="9" t="n">
        <v>0</v>
      </c>
      <c r="G165" s="9" t="n">
        <v>4</v>
      </c>
      <c r="H165" s="9" t="n">
        <v>0</v>
      </c>
      <c r="I165" s="9" t="n">
        <v>0</v>
      </c>
      <c r="J165" s="9" t="n">
        <v>0</v>
      </c>
      <c r="K165" s="9" t="n">
        <v>1</v>
      </c>
      <c r="L165" s="9" t="n">
        <v>0</v>
      </c>
      <c r="M165" s="9" t="n">
        <v>0</v>
      </c>
      <c r="N165" s="9" t="n">
        <v>2</v>
      </c>
      <c r="O165" s="9" t="n">
        <v>1</v>
      </c>
      <c r="P165" s="9" t="n">
        <v>1</v>
      </c>
      <c r="Q165" s="9" t="n">
        <v>1</v>
      </c>
      <c r="R165" s="9" t="n">
        <v>3</v>
      </c>
      <c r="S165" s="9" t="n">
        <v>8</v>
      </c>
      <c r="T165" s="9" t="n">
        <v>1</v>
      </c>
      <c r="U165" s="9" t="n">
        <v>1</v>
      </c>
      <c r="V165" s="9" t="n">
        <v>0</v>
      </c>
      <c r="W165" s="9" t="n">
        <v>0</v>
      </c>
      <c r="X165" s="9" t="n">
        <v>1</v>
      </c>
      <c r="Y165" s="9" t="n">
        <v>0</v>
      </c>
      <c r="Z165" s="9" t="n">
        <v>0</v>
      </c>
      <c r="AA165" s="9" t="n">
        <v>566</v>
      </c>
      <c r="AB165" s="10" t="n">
        <v>1293</v>
      </c>
      <c r="AC165" s="10" t="n">
        <v>3</v>
      </c>
      <c r="AD165" s="10" t="n">
        <v>0</v>
      </c>
      <c r="AE165" s="10" t="n">
        <v>1296</v>
      </c>
      <c r="AF165" s="10" t="n">
        <v>0</v>
      </c>
    </row>
    <row r="166">
      <c r="A166" s="7" t="n">
        <v>217</v>
      </c>
      <c r="B166" s="8" t="inlineStr">
        <is>
          <t>Polling Station 217</t>
        </is>
      </c>
      <c r="C166" s="9" t="n">
        <v>172</v>
      </c>
      <c r="D166" s="9" t="n">
        <v>163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1</v>
      </c>
      <c r="M166" s="9" t="n">
        <v>0</v>
      </c>
      <c r="N166" s="9" t="n">
        <v>1</v>
      </c>
      <c r="O166" s="9" t="n">
        <v>0</v>
      </c>
      <c r="P166" s="9" t="n">
        <v>3</v>
      </c>
      <c r="Q166" s="9" t="n">
        <v>4</v>
      </c>
      <c r="R166" s="9" t="n">
        <v>1</v>
      </c>
      <c r="S166" s="9" t="n">
        <v>7</v>
      </c>
      <c r="T166" s="9" t="n">
        <v>2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402</v>
      </c>
      <c r="AB166" s="10" t="n">
        <v>756</v>
      </c>
      <c r="AC166" s="10" t="n">
        <v>2</v>
      </c>
      <c r="AD166" s="10" t="n">
        <v>404</v>
      </c>
      <c r="AE166" s="10" t="n">
        <v>1162</v>
      </c>
      <c r="AF166" s="10" t="n">
        <v>0</v>
      </c>
    </row>
    <row r="167">
      <c r="A167" s="7" t="n">
        <v>218</v>
      </c>
      <c r="B167" s="8" t="inlineStr">
        <is>
          <t>)</t>
        </is>
      </c>
      <c r="C167" s="9" t="n">
        <v>308</v>
      </c>
      <c r="D167" s="9" t="n">
        <v>197</v>
      </c>
      <c r="E167" s="9" t="n">
        <v>7</v>
      </c>
      <c r="F167" s="9" t="n">
        <v>4</v>
      </c>
      <c r="G167" s="9" t="n">
        <v>0</v>
      </c>
      <c r="H167" s="9" t="n">
        <v>273</v>
      </c>
      <c r="I167" s="9" t="n">
        <v>0</v>
      </c>
      <c r="J167" s="9" t="n">
        <v>0</v>
      </c>
      <c r="K167" s="9" t="n">
        <v>0</v>
      </c>
      <c r="L167" s="9" t="n">
        <v>1</v>
      </c>
      <c r="M167" s="9" t="n">
        <v>1</v>
      </c>
      <c r="N167" s="9" t="n">
        <v>1</v>
      </c>
      <c r="O167" s="9" t="n">
        <v>1</v>
      </c>
      <c r="P167" s="9" t="n">
        <v>0</v>
      </c>
      <c r="Q167" s="9" t="n">
        <v>3</v>
      </c>
      <c r="R167" s="9" t="n">
        <v>0</v>
      </c>
      <c r="S167" s="9" t="n">
        <v>11</v>
      </c>
      <c r="T167" s="9" t="n">
        <v>1</v>
      </c>
      <c r="U167" s="9" t="n">
        <v>0</v>
      </c>
      <c r="V167" s="9" t="n">
        <v>1</v>
      </c>
      <c r="W167" s="9" t="n">
        <v>0</v>
      </c>
      <c r="X167" s="9" t="n">
        <v>0</v>
      </c>
      <c r="Y167" s="9" t="n">
        <v>0</v>
      </c>
      <c r="Z167" s="9" t="n">
        <v>0</v>
      </c>
      <c r="AA167" s="9" t="n">
        <v>877</v>
      </c>
      <c r="AB167" s="10" t="n">
        <v>1686</v>
      </c>
      <c r="AC167" s="10" t="n">
        <v>8</v>
      </c>
      <c r="AD167" s="10" t="n">
        <v>0</v>
      </c>
      <c r="AE167" s="10" t="n">
        <v>1694</v>
      </c>
      <c r="AF167" s="10" t="n">
        <v>0</v>
      </c>
    </row>
    <row r="168">
      <c r="A168" s="7" t="n">
        <v>219</v>
      </c>
      <c r="B168" s="8" t="inlineStr">
        <is>
          <t>]</t>
        </is>
      </c>
      <c r="C168" s="9" t="n">
        <v>2</v>
      </c>
      <c r="D168" s="9" t="n">
        <v>165</v>
      </c>
      <c r="E168" s="9" t="n">
        <v>128</v>
      </c>
      <c r="F168" s="9" t="n">
        <v>1</v>
      </c>
      <c r="G168" s="9" t="n">
        <v>2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1</v>
      </c>
      <c r="N168" s="9" t="n">
        <v>0</v>
      </c>
      <c r="O168" s="9" t="n">
        <v>2</v>
      </c>
      <c r="P168" s="9" t="n">
        <v>2</v>
      </c>
      <c r="Q168" s="9" t="n">
        <v>2</v>
      </c>
      <c r="R168" s="9" t="n">
        <v>1</v>
      </c>
      <c r="S168" s="9" t="n">
        <v>6</v>
      </c>
      <c r="T168" s="9" t="n">
        <v>1</v>
      </c>
      <c r="U168" s="9" t="n">
        <v>0</v>
      </c>
      <c r="V168" s="9" t="n">
        <v>3</v>
      </c>
      <c r="W168" s="9" t="n">
        <v>0</v>
      </c>
      <c r="X168" s="9" t="n">
        <v>0</v>
      </c>
      <c r="Y168" s="9" t="n">
        <v>0</v>
      </c>
      <c r="Z168" s="9" t="n">
        <v>0</v>
      </c>
      <c r="AA168" s="9" t="n">
        <v>566</v>
      </c>
      <c r="AB168" s="10" t="n">
        <v>882</v>
      </c>
      <c r="AC168" s="10" t="n">
        <v>0</v>
      </c>
      <c r="AD168" s="10" t="n">
        <v>0</v>
      </c>
      <c r="AE168" s="10" t="n">
        <v>882</v>
      </c>
      <c r="AF168" s="10" t="n">
        <v>0</v>
      </c>
    </row>
    <row r="169">
      <c r="A169" s="7" t="n">
        <v>220</v>
      </c>
      <c r="B169" s="8" t="inlineStr">
        <is>
          <t>Polling Station 220</t>
        </is>
      </c>
      <c r="C169" s="9" t="n">
        <v>3</v>
      </c>
      <c r="D169" s="9" t="n">
        <v>4</v>
      </c>
      <c r="E169" s="9" t="n">
        <v>5</v>
      </c>
      <c r="F169" s="9" t="n">
        <v>6</v>
      </c>
      <c r="G169" s="9" t="n">
        <v>7</v>
      </c>
      <c r="H169" s="9" t="n">
        <v>8</v>
      </c>
      <c r="I169" s="9" t="n">
        <v>9</v>
      </c>
      <c r="J169" s="9" t="n">
        <v>10</v>
      </c>
      <c r="K169" s="9" t="n">
        <v>11</v>
      </c>
      <c r="L169" s="9" t="n">
        <v>12</v>
      </c>
      <c r="M169" s="9" t="n">
        <v>13</v>
      </c>
      <c r="N169" s="9" t="n">
        <v>14</v>
      </c>
      <c r="O169" s="9" t="n">
        <v>15</v>
      </c>
      <c r="P169" s="9" t="n">
        <v>16</v>
      </c>
      <c r="Q169" s="9" t="n">
        <v>17</v>
      </c>
      <c r="R169" s="9" t="n">
        <v>18</v>
      </c>
      <c r="S169" s="9" t="n">
        <v>19</v>
      </c>
      <c r="T169" s="9" t="n">
        <v>20</v>
      </c>
      <c r="U169" s="9" t="n">
        <v>21</v>
      </c>
      <c r="V169" s="9" t="n">
        <v>22</v>
      </c>
      <c r="W169" s="9" t="n">
        <v>23</v>
      </c>
      <c r="X169" s="9" t="n">
        <v>24</v>
      </c>
      <c r="Y169" s="9" t="n">
        <v>25</v>
      </c>
      <c r="Z169" s="9" t="n">
        <v>26</v>
      </c>
      <c r="AA169" s="9" t="n">
        <v>0</v>
      </c>
      <c r="AB169" s="10" t="n">
        <v>348</v>
      </c>
      <c r="AC169" s="10" t="n">
        <v>29</v>
      </c>
      <c r="AD169" s="10" t="n">
        <v>30</v>
      </c>
      <c r="AE169" s="10" t="n">
        <v>407</v>
      </c>
      <c r="AF169" s="10" t="n">
        <v>0</v>
      </c>
    </row>
    <row r="170">
      <c r="A170" s="7" t="n">
        <v>221</v>
      </c>
      <c r="B170" s="8" t="inlineStr">
        <is>
          <t>Polling Station 221</t>
        </is>
      </c>
      <c r="C170" s="9" t="n">
        <v>206</v>
      </c>
      <c r="D170" s="9" t="n">
        <v>115</v>
      </c>
      <c r="E170" s="9" t="n">
        <v>143</v>
      </c>
      <c r="F170" s="9" t="n">
        <v>0</v>
      </c>
      <c r="G170" s="9" t="n">
        <v>1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1</v>
      </c>
      <c r="M170" s="9" t="n">
        <v>0</v>
      </c>
      <c r="N170" s="9" t="n">
        <v>1</v>
      </c>
      <c r="O170" s="9" t="n">
        <v>0</v>
      </c>
      <c r="P170" s="9" t="n">
        <v>0</v>
      </c>
      <c r="Q170" s="9" t="n">
        <v>1</v>
      </c>
      <c r="R170" s="9" t="n">
        <v>4</v>
      </c>
      <c r="S170" s="9" t="n">
        <v>10</v>
      </c>
      <c r="T170" s="9" t="n">
        <v>0</v>
      </c>
      <c r="U170" s="9" t="n">
        <v>1</v>
      </c>
      <c r="V170" s="9" t="n">
        <v>0</v>
      </c>
      <c r="W170" s="9" t="n">
        <v>1</v>
      </c>
      <c r="X170" s="9" t="n">
        <v>0</v>
      </c>
      <c r="Y170" s="9" t="n">
        <v>1</v>
      </c>
      <c r="Z170" s="9" t="n">
        <v>0</v>
      </c>
      <c r="AA170" s="9" t="n">
        <v>489</v>
      </c>
      <c r="AB170" s="10" t="n">
        <v>974</v>
      </c>
      <c r="AC170" s="10" t="n">
        <v>0</v>
      </c>
      <c r="AD170" s="10" t="n">
        <v>489</v>
      </c>
      <c r="AE170" s="10" t="n">
        <v>1463</v>
      </c>
      <c r="AF170" s="10" t="n">
        <v>0</v>
      </c>
    </row>
    <row r="171">
      <c r="A171" s="7" t="n">
        <v>222</v>
      </c>
      <c r="B171" s="8" t="inlineStr">
        <is>
          <t>Polling Station 222</t>
        </is>
      </c>
      <c r="C171" s="9" t="n">
        <v>7</v>
      </c>
      <c r="D171" s="9" t="n">
        <v>57</v>
      </c>
      <c r="E171" s="9" t="n">
        <v>137</v>
      </c>
      <c r="F171" s="9" t="n">
        <v>2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1</v>
      </c>
      <c r="N171" s="9" t="n">
        <v>0</v>
      </c>
      <c r="O171" s="9" t="n">
        <v>0</v>
      </c>
      <c r="P171" s="9" t="n">
        <v>0</v>
      </c>
      <c r="Q171" s="9" t="n">
        <v>0</v>
      </c>
      <c r="R171" s="9" t="n">
        <v>1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281</v>
      </c>
      <c r="AB171" s="10" t="n">
        <v>486</v>
      </c>
      <c r="AC171" s="10" t="n">
        <v>0</v>
      </c>
      <c r="AD171" s="10" t="n">
        <v>281</v>
      </c>
      <c r="AE171" s="10" t="n">
        <v>767</v>
      </c>
      <c r="AF171" s="10" t="n">
        <v>0</v>
      </c>
    </row>
    <row r="172">
      <c r="A172" s="7" t="n">
        <v>223</v>
      </c>
      <c r="B172" s="8" t="inlineStr">
        <is>
          <t>Polling Station 223</t>
        </is>
      </c>
      <c r="C172" s="9" t="n">
        <v>193</v>
      </c>
      <c r="D172" s="9" t="n">
        <v>78</v>
      </c>
      <c r="E172" s="9" t="n">
        <v>126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1</v>
      </c>
      <c r="P172" s="9" t="n">
        <v>0</v>
      </c>
      <c r="Q172" s="9" t="n">
        <v>2</v>
      </c>
      <c r="R172" s="9" t="n">
        <v>3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9" t="n">
        <v>0</v>
      </c>
      <c r="AA172" s="9" t="n">
        <v>404</v>
      </c>
      <c r="AB172" s="10" t="n">
        <v>807</v>
      </c>
      <c r="AC172" s="10" t="n">
        <v>1</v>
      </c>
      <c r="AD172" s="10" t="n">
        <v>405</v>
      </c>
      <c r="AE172" s="10" t="n">
        <v>1213</v>
      </c>
      <c r="AF172" s="10" t="n">
        <v>0</v>
      </c>
    </row>
    <row r="173">
      <c r="A173" s="7" t="n">
        <v>224</v>
      </c>
      <c r="B173" s="8" t="inlineStr">
        <is>
          <t>Polling Station 224</t>
        </is>
      </c>
      <c r="C173" s="9" t="n">
        <v>292</v>
      </c>
      <c r="D173" s="9" t="n">
        <v>6</v>
      </c>
      <c r="E173" s="9" t="n">
        <v>163</v>
      </c>
      <c r="F173" s="9" t="n">
        <v>0</v>
      </c>
      <c r="G173" s="9" t="n">
        <v>1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1</v>
      </c>
      <c r="N173" s="9" t="n">
        <v>0</v>
      </c>
      <c r="O173" s="9" t="n">
        <v>0</v>
      </c>
      <c r="P173" s="9" t="n">
        <v>0</v>
      </c>
      <c r="Q173" s="9" t="n">
        <v>0</v>
      </c>
      <c r="R173" s="9" t="n">
        <v>0</v>
      </c>
      <c r="S173" s="9" t="n">
        <v>2</v>
      </c>
      <c r="T173" s="9" t="n">
        <v>0</v>
      </c>
      <c r="U173" s="9" t="n">
        <v>0</v>
      </c>
      <c r="V173" s="9" t="n">
        <v>0</v>
      </c>
      <c r="W173" s="9" t="n">
        <v>0</v>
      </c>
      <c r="X173" s="9" t="n">
        <v>0</v>
      </c>
      <c r="Y173" s="9" t="n">
        <v>0</v>
      </c>
      <c r="Z173" s="9" t="n">
        <v>0</v>
      </c>
      <c r="AA173" s="9" t="n">
        <v>557</v>
      </c>
      <c r="AB173" s="10" t="n">
        <v>1022</v>
      </c>
      <c r="AC173" s="10" t="n">
        <v>4</v>
      </c>
      <c r="AD173" s="10" t="n">
        <v>0</v>
      </c>
      <c r="AE173" s="10" t="n">
        <v>1026</v>
      </c>
      <c r="AF173" s="10" t="n">
        <v>0</v>
      </c>
    </row>
    <row r="174">
      <c r="A174" s="7" t="n">
        <v>225</v>
      </c>
      <c r="B174" s="8" t="inlineStr">
        <is>
          <t>Polling Station 225</t>
        </is>
      </c>
      <c r="C174" s="9" t="n">
        <v>94</v>
      </c>
      <c r="D174" s="9" t="n">
        <v>94</v>
      </c>
      <c r="E174" s="9" t="n">
        <v>103</v>
      </c>
      <c r="F174" s="9" t="n">
        <v>0</v>
      </c>
      <c r="G174" s="9" t="n">
        <v>4</v>
      </c>
      <c r="H174" s="9" t="n">
        <v>0</v>
      </c>
      <c r="I174" s="9" t="n">
        <v>0</v>
      </c>
      <c r="J174" s="9" t="n">
        <v>1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1</v>
      </c>
      <c r="R174" s="9" t="n">
        <v>2</v>
      </c>
      <c r="S174" s="9" t="n">
        <v>0</v>
      </c>
      <c r="T174" s="9" t="n">
        <v>1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1</v>
      </c>
      <c r="AA174" s="9" t="n">
        <v>305</v>
      </c>
      <c r="AB174" s="10" t="n">
        <v>606</v>
      </c>
      <c r="AC174" s="10" t="n">
        <v>1</v>
      </c>
      <c r="AD174" s="10" t="n">
        <v>306</v>
      </c>
      <c r="AE174" s="10" t="n">
        <v>913</v>
      </c>
      <c r="AF174" s="10" t="n">
        <v>0</v>
      </c>
    </row>
    <row r="175">
      <c r="A175" s="7" t="n">
        <v>226</v>
      </c>
      <c r="B175" s="8" t="inlineStr">
        <is>
          <t>!</t>
        </is>
      </c>
      <c r="C175" s="9" t="n">
        <v>274</v>
      </c>
      <c r="D175" s="9" t="n">
        <v>196</v>
      </c>
      <c r="E175" s="9" t="n">
        <v>158</v>
      </c>
      <c r="F175" s="9" t="n">
        <v>0</v>
      </c>
      <c r="G175" s="9" t="n">
        <v>3</v>
      </c>
      <c r="H175" s="9" t="n">
        <v>0</v>
      </c>
      <c r="I175" s="9" t="n">
        <v>0</v>
      </c>
      <c r="J175" s="9" t="n">
        <v>1</v>
      </c>
      <c r="K175" s="9" t="n">
        <v>2</v>
      </c>
      <c r="L175" s="9" t="n">
        <v>0</v>
      </c>
      <c r="M175" s="9" t="n">
        <v>0</v>
      </c>
      <c r="N175" s="9" t="n">
        <v>1</v>
      </c>
      <c r="O175" s="9" t="n">
        <v>0</v>
      </c>
      <c r="P175" s="9" t="n">
        <v>1</v>
      </c>
      <c r="Q175" s="9" t="n">
        <v>0</v>
      </c>
      <c r="R175" s="9" t="n">
        <v>2</v>
      </c>
      <c r="S175" s="9" t="n">
        <v>4</v>
      </c>
      <c r="T175" s="9" t="n">
        <v>2</v>
      </c>
      <c r="U175" s="9" t="n">
        <v>0</v>
      </c>
      <c r="V175" s="9" t="n">
        <v>0</v>
      </c>
      <c r="W175" s="9" t="n">
        <v>0</v>
      </c>
      <c r="X175" s="9" t="n">
        <v>0</v>
      </c>
      <c r="Y175" s="9" t="n">
        <v>0</v>
      </c>
      <c r="Z175" s="9" t="n">
        <v>0</v>
      </c>
      <c r="AA175" s="9" t="n">
        <v>649</v>
      </c>
      <c r="AB175" s="10" t="n">
        <v>1293</v>
      </c>
      <c r="AC175" s="10" t="n">
        <v>2</v>
      </c>
      <c r="AD175" s="10" t="n">
        <v>0</v>
      </c>
      <c r="AE175" s="10" t="n">
        <v>1295</v>
      </c>
      <c r="AF175" s="10" t="n">
        <v>0</v>
      </c>
    </row>
    <row r="176">
      <c r="A176" s="7" t="n">
        <v>227</v>
      </c>
      <c r="B176" s="8" t="inlineStr">
        <is>
          <t>|</t>
        </is>
      </c>
      <c r="C176" s="9" t="n">
        <v>205</v>
      </c>
      <c r="D176" s="9" t="n">
        <v>0</v>
      </c>
      <c r="E176" s="9" t="n">
        <v>149</v>
      </c>
      <c r="F176" s="9" t="n">
        <v>0</v>
      </c>
      <c r="G176" s="9" t="n">
        <v>2</v>
      </c>
      <c r="H176" s="9" t="n">
        <v>0</v>
      </c>
      <c r="I176" s="9" t="n">
        <v>0</v>
      </c>
      <c r="J176" s="9" t="n">
        <v>1</v>
      </c>
      <c r="K176" s="9" t="n">
        <v>0</v>
      </c>
      <c r="L176" s="9" t="n">
        <v>2</v>
      </c>
      <c r="M176" s="9" t="n">
        <v>1</v>
      </c>
      <c r="N176" s="9" t="n">
        <v>0</v>
      </c>
      <c r="O176" s="9" t="n">
        <v>0</v>
      </c>
      <c r="P176" s="9" t="n">
        <v>0</v>
      </c>
      <c r="Q176" s="9" t="n">
        <v>3</v>
      </c>
      <c r="R176" s="9" t="n">
        <v>1</v>
      </c>
      <c r="S176" s="9" t="n">
        <v>5</v>
      </c>
      <c r="T176" s="9" t="n">
        <v>0</v>
      </c>
      <c r="U176" s="9" t="n">
        <v>1</v>
      </c>
      <c r="V176" s="9" t="n">
        <v>0</v>
      </c>
      <c r="W176" s="9" t="n">
        <v>1</v>
      </c>
      <c r="X176" s="9" t="n">
        <v>0</v>
      </c>
      <c r="Y176" s="9" t="n">
        <v>0</v>
      </c>
      <c r="Z176" s="9" t="n">
        <v>0</v>
      </c>
      <c r="AA176" s="9" t="n">
        <v>498</v>
      </c>
      <c r="AB176" s="10" t="n">
        <v>869</v>
      </c>
      <c r="AC176" s="10" t="n">
        <v>5</v>
      </c>
      <c r="AD176" s="10" t="n">
        <v>0</v>
      </c>
      <c r="AE176" s="10" t="n">
        <v>874</v>
      </c>
      <c r="AF176" s="10" t="n">
        <v>0</v>
      </c>
    </row>
    <row r="177">
      <c r="A177" s="7" t="n">
        <v>228</v>
      </c>
      <c r="B177" s="8" t="inlineStr">
        <is>
          <t>l227/a| OO</t>
        </is>
      </c>
      <c r="C177" s="9" t="n">
        <v>178</v>
      </c>
      <c r="D177" s="9" t="n">
        <v>167</v>
      </c>
      <c r="E177" s="9" t="n">
        <v>159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1</v>
      </c>
      <c r="M177" s="9" t="n">
        <v>0</v>
      </c>
      <c r="N177" s="9" t="n">
        <v>0</v>
      </c>
      <c r="O177" s="9" t="n">
        <v>0</v>
      </c>
      <c r="P177" s="9" t="n">
        <v>1</v>
      </c>
      <c r="Q177" s="9" t="n">
        <v>3</v>
      </c>
      <c r="R177" s="9" t="n">
        <v>2</v>
      </c>
      <c r="S177" s="9" t="n">
        <v>7</v>
      </c>
      <c r="T177" s="9" t="n">
        <v>0</v>
      </c>
      <c r="U177" s="9" t="n">
        <v>0</v>
      </c>
      <c r="V177" s="9" t="n">
        <v>0</v>
      </c>
      <c r="W177" s="9" t="n">
        <v>0</v>
      </c>
      <c r="X177" s="9" t="n">
        <v>1</v>
      </c>
      <c r="Y177" s="9" t="n">
        <v>0</v>
      </c>
      <c r="Z177" s="9" t="n">
        <v>0</v>
      </c>
      <c r="AA177" s="9" t="n">
        <v>0</v>
      </c>
      <c r="AB177" s="10" t="n">
        <v>519</v>
      </c>
      <c r="AC177" s="10" t="n">
        <v>4</v>
      </c>
      <c r="AD177" s="10" t="n">
        <v>0</v>
      </c>
      <c r="AE177" s="10" t="n">
        <v>523</v>
      </c>
      <c r="AF177" s="10" t="n">
        <v>0</v>
      </c>
    </row>
    <row r="178">
      <c r="A178" s="7" t="n">
        <v>229</v>
      </c>
      <c r="B178" s="8" t="inlineStr">
        <is>
          <t>Polling Station 229</t>
        </is>
      </c>
      <c r="C178" s="9" t="n">
        <v>208</v>
      </c>
      <c r="D178" s="9" t="n">
        <v>89</v>
      </c>
      <c r="E178" s="9" t="n">
        <v>163</v>
      </c>
      <c r="F178" s="9" t="n">
        <v>0</v>
      </c>
      <c r="G178" s="9" t="n">
        <v>1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1</v>
      </c>
      <c r="N178" s="9" t="n">
        <v>0</v>
      </c>
      <c r="O178" s="9" t="n">
        <v>3</v>
      </c>
      <c r="P178" s="9" t="n">
        <v>1</v>
      </c>
      <c r="Q178" s="9" t="n">
        <v>5</v>
      </c>
      <c r="R178" s="9" t="n">
        <v>4</v>
      </c>
      <c r="S178" s="9" t="n">
        <v>5</v>
      </c>
      <c r="T178" s="9" t="n">
        <v>1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9" t="n">
        <v>2</v>
      </c>
      <c r="AA178" s="9" t="n">
        <v>485</v>
      </c>
      <c r="AB178" s="10" t="n">
        <v>968</v>
      </c>
      <c r="AC178" s="10" t="n">
        <v>0</v>
      </c>
      <c r="AD178" s="10" t="n">
        <v>486</v>
      </c>
      <c r="AE178" s="10" t="n">
        <v>1454</v>
      </c>
      <c r="AF178" s="10" t="n">
        <v>0</v>
      </c>
    </row>
    <row r="179">
      <c r="A179" s="7" t="n">
        <v>230</v>
      </c>
      <c r="B179" s="8" t="inlineStr">
        <is>
          <t>Polling Station 230</t>
        </is>
      </c>
      <c r="C179" s="9" t="n">
        <v>0</v>
      </c>
      <c r="D179" s="9" t="n">
        <v>0</v>
      </c>
      <c r="E179" s="9" t="n">
        <v>112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1</v>
      </c>
      <c r="R179" s="9" t="n">
        <v>1</v>
      </c>
      <c r="S179" s="9" t="n">
        <v>6</v>
      </c>
      <c r="T179" s="9" t="n">
        <v>0</v>
      </c>
      <c r="U179" s="9" t="n">
        <v>1</v>
      </c>
      <c r="V179" s="9" t="n">
        <v>0</v>
      </c>
      <c r="W179" s="9" t="n">
        <v>0</v>
      </c>
      <c r="X179" s="9" t="n">
        <v>0</v>
      </c>
      <c r="Y179" s="9" t="n">
        <v>1</v>
      </c>
      <c r="Z179" s="9" t="n">
        <v>0</v>
      </c>
      <c r="AA179" s="9" t="n">
        <v>307</v>
      </c>
      <c r="AB179" s="10" t="n">
        <v>429</v>
      </c>
      <c r="AC179" s="10" t="n">
        <v>1</v>
      </c>
      <c r="AD179" s="10" t="n">
        <v>308</v>
      </c>
      <c r="AE179" s="10" t="n">
        <v>738</v>
      </c>
      <c r="AF179" s="10" t="n">
        <v>0</v>
      </c>
    </row>
    <row r="180">
      <c r="A180" s="7" t="n">
        <v>231</v>
      </c>
      <c r="B180" s="8" t="inlineStr">
        <is>
          <t>Polling Station 231</t>
        </is>
      </c>
      <c r="C180" s="9" t="n">
        <v>0</v>
      </c>
      <c r="D180" s="9" t="n">
        <v>29</v>
      </c>
      <c r="E180" s="9" t="n">
        <v>80</v>
      </c>
      <c r="F180" s="9" t="n">
        <v>0</v>
      </c>
      <c r="G180" s="9" t="n">
        <v>0</v>
      </c>
      <c r="H180" s="9" t="n">
        <v>0</v>
      </c>
      <c r="I180" s="9" t="n">
        <v>1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9" t="n">
        <v>0</v>
      </c>
      <c r="AA180" s="9" t="n">
        <v>182</v>
      </c>
      <c r="AB180" s="10" t="n">
        <v>292</v>
      </c>
      <c r="AC180" s="10" t="n">
        <v>1</v>
      </c>
      <c r="AD180" s="10" t="n">
        <v>183</v>
      </c>
      <c r="AE180" s="10" t="n">
        <v>476</v>
      </c>
      <c r="AF180" s="10" t="n">
        <v>0</v>
      </c>
    </row>
    <row r="181">
      <c r="A181" s="7" t="n">
        <v>232</v>
      </c>
      <c r="B181" s="8" t="inlineStr">
        <is>
          <t>Polling Station 232</t>
        </is>
      </c>
      <c r="C181" s="9" t="n">
        <v>284</v>
      </c>
      <c r="D181" s="9" t="n">
        <v>0</v>
      </c>
      <c r="E181" s="9" t="n">
        <v>217</v>
      </c>
      <c r="F181" s="9" t="n">
        <v>7</v>
      </c>
      <c r="G181" s="9" t="n">
        <v>1</v>
      </c>
      <c r="H181" s="9" t="n">
        <v>0</v>
      </c>
      <c r="I181" s="9" t="n">
        <v>3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1</v>
      </c>
      <c r="Q181" s="9" t="n">
        <v>4</v>
      </c>
      <c r="R181" s="9" t="n">
        <v>6</v>
      </c>
      <c r="S181" s="9" t="n">
        <v>17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0</v>
      </c>
      <c r="Y181" s="9" t="n">
        <v>0</v>
      </c>
      <c r="Z181" s="9" t="n">
        <v>0</v>
      </c>
      <c r="AA181" s="9" t="n">
        <v>627</v>
      </c>
      <c r="AB181" s="10" t="n">
        <v>1167</v>
      </c>
      <c r="AC181" s="10" t="n">
        <v>4</v>
      </c>
      <c r="AD181" s="10" t="n">
        <v>0</v>
      </c>
      <c r="AE181" s="10" t="n">
        <v>1171</v>
      </c>
      <c r="AF181" s="10" t="n">
        <v>0</v>
      </c>
    </row>
    <row r="182">
      <c r="A182" s="7" t="n">
        <v>233</v>
      </c>
      <c r="B182" s="8" t="inlineStr">
        <is>
          <t>Polling Station 233</t>
        </is>
      </c>
      <c r="C182" s="9" t="n">
        <v>374</v>
      </c>
      <c r="D182" s="9" t="n">
        <v>129</v>
      </c>
      <c r="E182" s="9" t="n">
        <v>338</v>
      </c>
      <c r="F182" s="9" t="n">
        <v>0</v>
      </c>
      <c r="G182" s="9" t="n">
        <v>4</v>
      </c>
      <c r="H182" s="9" t="n">
        <v>1</v>
      </c>
      <c r="I182" s="9" t="n">
        <v>1</v>
      </c>
      <c r="J182" s="9" t="n">
        <v>1</v>
      </c>
      <c r="K182" s="9" t="n">
        <v>2</v>
      </c>
      <c r="L182" s="9" t="n">
        <v>0</v>
      </c>
      <c r="M182" s="9" t="n">
        <v>1</v>
      </c>
      <c r="N182" s="9" t="n">
        <v>0</v>
      </c>
      <c r="O182" s="9" t="n">
        <v>0</v>
      </c>
      <c r="P182" s="9" t="n">
        <v>1</v>
      </c>
      <c r="Q182" s="9" t="n">
        <v>0</v>
      </c>
      <c r="R182" s="9" t="n">
        <v>6</v>
      </c>
      <c r="S182" s="9" t="n">
        <v>7</v>
      </c>
      <c r="T182" s="9" t="n">
        <v>2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  <c r="AA182" s="9" t="n">
        <v>873</v>
      </c>
      <c r="AB182" s="10" t="n">
        <v>1740</v>
      </c>
      <c r="AC182" s="10" t="n">
        <v>3</v>
      </c>
      <c r="AD182" s="10" t="n">
        <v>0</v>
      </c>
      <c r="AE182" s="10" t="n">
        <v>1743</v>
      </c>
      <c r="AF182" s="10" t="n">
        <v>0</v>
      </c>
    </row>
    <row r="183">
      <c r="A183" s="7" t="n">
        <v>234</v>
      </c>
      <c r="B183" s="8" t="inlineStr">
        <is>
          <t>Polling Station 234</t>
        </is>
      </c>
      <c r="C183" s="9" t="n">
        <v>203</v>
      </c>
      <c r="D183" s="9" t="n">
        <v>7</v>
      </c>
      <c r="E183" s="9" t="n">
        <v>182</v>
      </c>
      <c r="F183" s="9" t="n">
        <v>3</v>
      </c>
      <c r="G183" s="9" t="n">
        <v>4</v>
      </c>
      <c r="H183" s="9" t="n">
        <v>1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1</v>
      </c>
      <c r="Q183" s="9" t="n">
        <v>0</v>
      </c>
      <c r="R183" s="9" t="n">
        <v>4</v>
      </c>
      <c r="S183" s="9" t="n">
        <v>4</v>
      </c>
      <c r="T183" s="9" t="n">
        <v>0</v>
      </c>
      <c r="U183" s="9" t="n">
        <v>1</v>
      </c>
      <c r="V183" s="9" t="n">
        <v>0</v>
      </c>
      <c r="W183" s="9" t="n">
        <v>1</v>
      </c>
      <c r="X183" s="9" t="n">
        <v>0</v>
      </c>
      <c r="Y183" s="9" t="n">
        <v>0</v>
      </c>
      <c r="Z183" s="9" t="n">
        <v>0</v>
      </c>
      <c r="AA183" s="9" t="n">
        <v>478</v>
      </c>
      <c r="AB183" s="10" t="n">
        <v>889</v>
      </c>
      <c r="AC183" s="10" t="n">
        <v>4</v>
      </c>
      <c r="AD183" s="10" t="n">
        <v>482</v>
      </c>
      <c r="AE183" s="10" t="n">
        <v>1375</v>
      </c>
      <c r="AF183" s="10" t="n">
        <v>0</v>
      </c>
    </row>
    <row r="184">
      <c r="A184" s="7" t="n">
        <v>235</v>
      </c>
      <c r="B184" s="8" t="inlineStr">
        <is>
          <t>Polling Station 235</t>
        </is>
      </c>
      <c r="C184" s="9" t="n">
        <v>184</v>
      </c>
      <c r="D184" s="9" t="n">
        <v>47</v>
      </c>
      <c r="E184" s="9" t="n">
        <v>83</v>
      </c>
      <c r="F184" s="9" t="n">
        <v>0</v>
      </c>
      <c r="G184" s="9" t="n">
        <v>2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1</v>
      </c>
      <c r="R184" s="9" t="n">
        <v>2</v>
      </c>
      <c r="S184" s="9" t="n">
        <v>3</v>
      </c>
      <c r="T184" s="9" t="n">
        <v>0</v>
      </c>
      <c r="U184" s="9" t="n">
        <v>0</v>
      </c>
      <c r="V184" s="9" t="n">
        <v>0</v>
      </c>
      <c r="W184" s="9" t="n">
        <v>0</v>
      </c>
      <c r="X184" s="9" t="n">
        <v>0</v>
      </c>
      <c r="Y184" s="9" t="n">
        <v>0</v>
      </c>
      <c r="Z184" s="9" t="n">
        <v>0</v>
      </c>
      <c r="AA184" s="9" t="n">
        <v>359</v>
      </c>
      <c r="AB184" s="10" t="n">
        <v>681</v>
      </c>
      <c r="AC184" s="10" t="n">
        <v>5</v>
      </c>
      <c r="AD184" s="10" t="n">
        <v>364</v>
      </c>
      <c r="AE184" s="10" t="n">
        <v>1050</v>
      </c>
      <c r="AF184" s="10" t="n">
        <v>0</v>
      </c>
    </row>
    <row r="185">
      <c r="A185" s="7" t="n">
        <v>236</v>
      </c>
      <c r="B185" s="8" t="inlineStr">
        <is>
          <t>Polling Station 236</t>
        </is>
      </c>
      <c r="C185" s="9" t="n">
        <v>323</v>
      </c>
      <c r="D185" s="9" t="n">
        <v>0</v>
      </c>
      <c r="E185" s="9" t="n">
        <v>44</v>
      </c>
      <c r="F185" s="9" t="n">
        <v>0</v>
      </c>
      <c r="G185" s="9" t="n">
        <v>2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2</v>
      </c>
      <c r="S185" s="9" t="n">
        <v>3</v>
      </c>
      <c r="T185" s="9" t="n">
        <v>0</v>
      </c>
      <c r="U185" s="9" t="n">
        <v>0</v>
      </c>
      <c r="V185" s="9" t="n">
        <v>0</v>
      </c>
      <c r="W185" s="9" t="n">
        <v>0</v>
      </c>
      <c r="X185" s="9" t="n">
        <v>0</v>
      </c>
      <c r="Y185" s="9" t="n">
        <v>1</v>
      </c>
      <c r="Z185" s="9" t="n">
        <v>0</v>
      </c>
      <c r="AA185" s="9" t="n">
        <v>325</v>
      </c>
      <c r="AB185" s="10" t="n">
        <v>700</v>
      </c>
      <c r="AC185" s="10" t="n">
        <v>0</v>
      </c>
      <c r="AD185" s="10" t="n">
        <v>325</v>
      </c>
      <c r="AE185" s="10" t="n">
        <v>1025</v>
      </c>
      <c r="AF185" s="10" t="n">
        <v>0</v>
      </c>
    </row>
    <row r="186">
      <c r="A186" s="7" t="n">
        <v>237</v>
      </c>
      <c r="B186" s="8" t="inlineStr">
        <is>
          <t>Polling Station 237</t>
        </is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1</v>
      </c>
      <c r="H186" s="9" t="n">
        <v>0</v>
      </c>
      <c r="I186" s="9" t="n">
        <v>0</v>
      </c>
      <c r="J186" s="9" t="n">
        <v>1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3</v>
      </c>
      <c r="R186" s="9" t="n">
        <v>3</v>
      </c>
      <c r="S186" s="9" t="n">
        <v>3</v>
      </c>
      <c r="T186" s="9" t="n">
        <v>1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9" t="n">
        <v>322</v>
      </c>
      <c r="AB186" s="10" t="n">
        <v>334</v>
      </c>
      <c r="AC186" s="10" t="n">
        <v>1</v>
      </c>
      <c r="AD186" s="10" t="n">
        <v>0</v>
      </c>
      <c r="AE186" s="10" t="n">
        <v>335</v>
      </c>
      <c r="AF186" s="10" t="n">
        <v>0</v>
      </c>
    </row>
    <row r="187">
      <c r="A187" s="7" t="n">
        <v>238</v>
      </c>
      <c r="B187" s="8" t="inlineStr">
        <is>
          <t>Polling Station 238</t>
        </is>
      </c>
      <c r="C187" s="9" t="n">
        <v>184</v>
      </c>
      <c r="D187" s="9" t="n">
        <v>7</v>
      </c>
      <c r="E187" s="9" t="n">
        <v>126</v>
      </c>
      <c r="F187" s="9" t="n">
        <v>0</v>
      </c>
      <c r="G187" s="9" t="n">
        <v>1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1</v>
      </c>
      <c r="Q187" s="9" t="n">
        <v>0</v>
      </c>
      <c r="R187" s="9" t="n">
        <v>1</v>
      </c>
      <c r="S187" s="9" t="n">
        <v>4</v>
      </c>
      <c r="T187" s="9" t="n">
        <v>0</v>
      </c>
      <c r="U187" s="9" t="n">
        <v>1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  <c r="AA187" s="9" t="n">
        <v>396</v>
      </c>
      <c r="AB187" s="10" t="n">
        <v>721</v>
      </c>
      <c r="AC187" s="10" t="n">
        <v>3</v>
      </c>
      <c r="AD187" s="10" t="n">
        <v>399</v>
      </c>
      <c r="AE187" s="10" t="n">
        <v>1123</v>
      </c>
      <c r="AF187" s="10" t="n">
        <v>0</v>
      </c>
    </row>
    <row r="188">
      <c r="A188" s="7" t="n">
        <v>239</v>
      </c>
      <c r="B188" s="8" t="inlineStr">
        <is>
          <t>Polling Station 239</t>
        </is>
      </c>
      <c r="C188" s="9" t="n">
        <v>0</v>
      </c>
      <c r="D188" s="9" t="n">
        <v>0</v>
      </c>
      <c r="E188" s="9" t="n">
        <v>0</v>
      </c>
      <c r="F188" s="9" t="n">
        <v>7</v>
      </c>
      <c r="G188" s="9" t="n">
        <v>0</v>
      </c>
      <c r="H188" s="9" t="n">
        <v>0</v>
      </c>
      <c r="I188" s="9" t="n">
        <v>0</v>
      </c>
      <c r="J188" s="9" t="n">
        <v>3</v>
      </c>
      <c r="K188" s="9" t="n">
        <v>0</v>
      </c>
      <c r="L188" s="9" t="n">
        <v>0</v>
      </c>
      <c r="M188" s="9" t="n">
        <v>0</v>
      </c>
      <c r="N188" s="9" t="n">
        <v>3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0</v>
      </c>
      <c r="Y188" s="9" t="n">
        <v>0</v>
      </c>
      <c r="Z188" s="9" t="n">
        <v>0</v>
      </c>
      <c r="AA188" s="9" t="n">
        <v>0</v>
      </c>
      <c r="AB188" s="10" t="n">
        <v>13</v>
      </c>
      <c r="AC188" s="10" t="n">
        <v>0</v>
      </c>
      <c r="AD188" s="10" t="n">
        <v>0</v>
      </c>
      <c r="AE188" s="10" t="n">
        <v>13</v>
      </c>
      <c r="AF188" s="10" t="n">
        <v>0</v>
      </c>
    </row>
    <row r="189">
      <c r="A189" s="7" t="n">
        <v>240</v>
      </c>
      <c r="B189" s="8" t="inlineStr">
        <is>
          <t>Polling Station 240</t>
        </is>
      </c>
      <c r="C189" s="9" t="n">
        <v>0</v>
      </c>
      <c r="D189" s="9" t="n">
        <v>4</v>
      </c>
      <c r="E189" s="9" t="n">
        <v>5</v>
      </c>
      <c r="F189" s="9" t="n">
        <v>6</v>
      </c>
      <c r="G189" s="9" t="n">
        <v>0</v>
      </c>
      <c r="H189" s="9" t="n">
        <v>0</v>
      </c>
      <c r="I189" s="9" t="n">
        <v>9</v>
      </c>
      <c r="J189" s="9" t="n">
        <v>10</v>
      </c>
      <c r="K189" s="9" t="n">
        <v>11</v>
      </c>
      <c r="L189" s="9" t="n">
        <v>12</v>
      </c>
      <c r="M189" s="9" t="n">
        <v>13</v>
      </c>
      <c r="N189" s="9" t="n">
        <v>14</v>
      </c>
      <c r="O189" s="9" t="n">
        <v>15</v>
      </c>
      <c r="P189" s="9" t="n">
        <v>16</v>
      </c>
      <c r="Q189" s="9" t="n">
        <v>17</v>
      </c>
      <c r="R189" s="9" t="n">
        <v>18</v>
      </c>
      <c r="S189" s="9" t="n">
        <v>19</v>
      </c>
      <c r="T189" s="9" t="n">
        <v>20</v>
      </c>
      <c r="U189" s="9" t="n">
        <v>21</v>
      </c>
      <c r="V189" s="9" t="n">
        <v>22</v>
      </c>
      <c r="W189" s="9" t="n">
        <v>23</v>
      </c>
      <c r="X189" s="9" t="n">
        <v>24</v>
      </c>
      <c r="Y189" s="9" t="n">
        <v>25</v>
      </c>
      <c r="Z189" s="9" t="n">
        <v>26</v>
      </c>
      <c r="AA189" s="9" t="n">
        <v>0</v>
      </c>
      <c r="AB189" s="10" t="n">
        <v>330</v>
      </c>
      <c r="AC189" s="10" t="n">
        <v>29</v>
      </c>
      <c r="AD189" s="10" t="n">
        <v>30</v>
      </c>
      <c r="AE189" s="10" t="n">
        <v>389</v>
      </c>
      <c r="AF189" s="10" t="n">
        <v>0</v>
      </c>
    </row>
    <row r="190">
      <c r="A190" s="7" t="n">
        <v>241</v>
      </c>
      <c r="B190" s="8" t="inlineStr">
        <is>
          <t>q|</t>
        </is>
      </c>
      <c r="C190" s="9" t="n">
        <v>70</v>
      </c>
      <c r="D190" s="9" t="n">
        <v>16</v>
      </c>
      <c r="E190" s="9" t="n">
        <v>26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2</v>
      </c>
      <c r="T190" s="9" t="n">
        <v>0</v>
      </c>
      <c r="U190" s="9" t="n">
        <v>0</v>
      </c>
      <c r="V190" s="9" t="n">
        <v>0</v>
      </c>
      <c r="W190" s="9" t="n">
        <v>0</v>
      </c>
      <c r="X190" s="9" t="n">
        <v>0</v>
      </c>
      <c r="Y190" s="9" t="n">
        <v>0</v>
      </c>
      <c r="Z190" s="9" t="n">
        <v>0</v>
      </c>
      <c r="AA190" s="9" t="n">
        <v>114</v>
      </c>
      <c r="AB190" s="10" t="n">
        <v>228</v>
      </c>
      <c r="AC190" s="10" t="n">
        <v>0</v>
      </c>
      <c r="AD190" s="10" t="n">
        <v>114</v>
      </c>
      <c r="AE190" s="10" t="n">
        <v>342</v>
      </c>
      <c r="AF190" s="10" t="n">
        <v>0</v>
      </c>
    </row>
    <row r="191">
      <c r="A191" s="7" t="n">
        <v>242</v>
      </c>
      <c r="B191" s="8" t="inlineStr">
        <is>
          <t>Polling Station 242</t>
        </is>
      </c>
      <c r="C191" s="9" t="n">
        <v>279</v>
      </c>
      <c r="D191" s="9" t="n">
        <v>95</v>
      </c>
      <c r="E191" s="9" t="n">
        <v>81</v>
      </c>
      <c r="F191" s="9" t="n">
        <v>2</v>
      </c>
      <c r="G191" s="9" t="n">
        <v>2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1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7</v>
      </c>
      <c r="T191" s="9" t="n">
        <v>2</v>
      </c>
      <c r="U191" s="9" t="n">
        <v>1</v>
      </c>
      <c r="V191" s="9" t="n">
        <v>0</v>
      </c>
      <c r="W191" s="9" t="n">
        <v>0</v>
      </c>
      <c r="X191" s="9" t="n">
        <v>0</v>
      </c>
      <c r="Y191" s="9" t="n">
        <v>0</v>
      </c>
      <c r="Z191" s="9" t="n">
        <v>0</v>
      </c>
      <c r="AA191" s="9" t="n">
        <v>475</v>
      </c>
      <c r="AB191" s="10" t="n">
        <v>945</v>
      </c>
      <c r="AC191" s="10" t="n">
        <v>0</v>
      </c>
      <c r="AD191" s="10" t="n">
        <v>477</v>
      </c>
      <c r="AE191" s="10" t="n">
        <v>1422</v>
      </c>
      <c r="AF191" s="10" t="n">
        <v>0</v>
      </c>
    </row>
    <row r="192">
      <c r="A192" s="7" t="n">
        <v>243</v>
      </c>
      <c r="B192" s="8" t="inlineStr">
        <is>
          <t>AL</t>
        </is>
      </c>
      <c r="C192" s="9" t="n">
        <v>135</v>
      </c>
      <c r="D192" s="9" t="n">
        <v>54</v>
      </c>
      <c r="E192" s="9" t="n">
        <v>92</v>
      </c>
      <c r="F192" s="9" t="n">
        <v>0</v>
      </c>
      <c r="G192" s="9" t="n">
        <v>0</v>
      </c>
      <c r="H192" s="9" t="n">
        <v>0</v>
      </c>
      <c r="I192" s="9" t="n">
        <v>2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0</v>
      </c>
      <c r="S192" s="9" t="n">
        <v>3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1</v>
      </c>
      <c r="Y192" s="9" t="n">
        <v>0</v>
      </c>
      <c r="Z192" s="9" t="n">
        <v>0</v>
      </c>
      <c r="AA192" s="9" t="n">
        <v>290</v>
      </c>
      <c r="AB192" s="10" t="n">
        <v>577</v>
      </c>
      <c r="AC192" s="10" t="n">
        <v>0</v>
      </c>
      <c r="AD192" s="10" t="n">
        <v>294</v>
      </c>
      <c r="AE192" s="10" t="n">
        <v>871</v>
      </c>
      <c r="AF192" s="10" t="n">
        <v>0</v>
      </c>
    </row>
    <row r="193">
      <c r="A193" s="7" t="n">
        <v>244</v>
      </c>
      <c r="B193" s="8" t="inlineStr">
        <is>
          <t>AD</t>
        </is>
      </c>
      <c r="C193" s="9" t="n">
        <v>198</v>
      </c>
      <c r="D193" s="9" t="n">
        <v>72</v>
      </c>
      <c r="E193" s="9" t="n">
        <v>55</v>
      </c>
      <c r="F193" s="9" t="n">
        <v>1</v>
      </c>
      <c r="G193" s="9" t="n">
        <v>1</v>
      </c>
      <c r="H193" s="9" t="n">
        <v>0</v>
      </c>
      <c r="I193" s="9" t="n">
        <v>1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9" t="n">
        <v>0</v>
      </c>
      <c r="Q193" s="9" t="n">
        <v>0</v>
      </c>
      <c r="R193" s="9" t="n">
        <v>0</v>
      </c>
      <c r="S193" s="9" t="n">
        <v>13</v>
      </c>
      <c r="T193" s="9" t="n">
        <v>0</v>
      </c>
      <c r="U193" s="9" t="n">
        <v>0</v>
      </c>
      <c r="V193" s="9" t="n">
        <v>0</v>
      </c>
      <c r="W193" s="9" t="n">
        <v>0</v>
      </c>
      <c r="X193" s="9" t="n">
        <v>20</v>
      </c>
      <c r="Y193" s="9" t="n">
        <v>0</v>
      </c>
      <c r="Z193" s="9" t="n">
        <v>1</v>
      </c>
      <c r="AA193" s="9" t="n">
        <v>345</v>
      </c>
      <c r="AB193" s="10" t="n">
        <v>707</v>
      </c>
      <c r="AC193" s="10" t="n">
        <v>8</v>
      </c>
      <c r="AD193" s="10" t="n">
        <v>348</v>
      </c>
      <c r="AE193" s="10" t="n">
        <v>1063</v>
      </c>
      <c r="AF193" s="10" t="n">
        <v>0</v>
      </c>
    </row>
    <row r="194">
      <c r="A194" s="7" t="n">
        <v>245</v>
      </c>
      <c r="B194" s="8" t="inlineStr">
        <is>
          <t>Soar «oa</t>
        </is>
      </c>
      <c r="C194" s="9" t="n">
        <v>203</v>
      </c>
      <c r="D194" s="9" t="n">
        <v>85</v>
      </c>
      <c r="E194" s="9" t="n">
        <v>49</v>
      </c>
      <c r="F194" s="9" t="n">
        <v>0</v>
      </c>
      <c r="G194" s="9" t="n">
        <v>1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1</v>
      </c>
      <c r="P194" s="9" t="n">
        <v>0</v>
      </c>
      <c r="Q194" s="9" t="n">
        <v>0</v>
      </c>
      <c r="R194" s="9" t="n">
        <v>5</v>
      </c>
      <c r="S194" s="9" t="n">
        <v>6</v>
      </c>
      <c r="T194" s="9" t="n">
        <v>0</v>
      </c>
      <c r="U194" s="9" t="n">
        <v>0</v>
      </c>
      <c r="V194" s="9" t="n">
        <v>0</v>
      </c>
      <c r="W194" s="9" t="n">
        <v>0</v>
      </c>
      <c r="X194" s="9" t="n">
        <v>0</v>
      </c>
      <c r="Y194" s="9" t="n">
        <v>0</v>
      </c>
      <c r="Z194" s="9" t="n">
        <v>0</v>
      </c>
      <c r="AA194" s="9" t="n">
        <v>353</v>
      </c>
      <c r="AB194" s="10" t="n">
        <v>703</v>
      </c>
      <c r="AC194" s="10" t="n">
        <v>2</v>
      </c>
      <c r="AD194" s="10" t="n">
        <v>355</v>
      </c>
      <c r="AE194" s="10" t="n">
        <v>1060</v>
      </c>
      <c r="AF194" s="10" t="n">
        <v>0</v>
      </c>
    </row>
    <row r="195">
      <c r="A195" s="7" t="n">
        <v>246</v>
      </c>
      <c r="B195" s="8" t="inlineStr">
        <is>
          <t>Polling Station 246</t>
        </is>
      </c>
      <c r="C195" s="9" t="n">
        <v>379</v>
      </c>
      <c r="D195" s="9" t="n">
        <v>189</v>
      </c>
      <c r="E195" s="9" t="n">
        <v>34</v>
      </c>
      <c r="F195" s="9" t="n">
        <v>0</v>
      </c>
      <c r="G195" s="9" t="n">
        <v>2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0</v>
      </c>
      <c r="O195" s="9" t="n">
        <v>0</v>
      </c>
      <c r="P195" s="9" t="n">
        <v>3</v>
      </c>
      <c r="Q195" s="9" t="n">
        <v>4</v>
      </c>
      <c r="R195" s="9" t="n">
        <v>0</v>
      </c>
      <c r="S195" s="9" t="n">
        <v>10</v>
      </c>
      <c r="T195" s="9" t="n">
        <v>0</v>
      </c>
      <c r="U195" s="9" t="n">
        <v>0</v>
      </c>
      <c r="V195" s="9" t="n">
        <v>0</v>
      </c>
      <c r="W195" s="9" t="n">
        <v>24</v>
      </c>
      <c r="X195" s="9" t="n">
        <v>6</v>
      </c>
      <c r="Y195" s="9" t="n">
        <v>0</v>
      </c>
      <c r="Z195" s="9" t="n">
        <v>0</v>
      </c>
      <c r="AA195" s="9" t="n">
        <v>633</v>
      </c>
      <c r="AB195" s="10" t="n">
        <v>1284</v>
      </c>
      <c r="AC195" s="10" t="n">
        <v>0</v>
      </c>
      <c r="AD195" s="10" t="n">
        <v>0</v>
      </c>
      <c r="AE195" s="10" t="n">
        <v>1284</v>
      </c>
      <c r="AF195" s="10" t="n">
        <v>0</v>
      </c>
    </row>
    <row r="196">
      <c r="A196" s="7" t="n">
        <v>247</v>
      </c>
      <c r="B196" s="8" t="inlineStr">
        <is>
          <t>AAI</t>
        </is>
      </c>
      <c r="C196" s="9" t="n">
        <v>200</v>
      </c>
      <c r="D196" s="9" t="n">
        <v>86</v>
      </c>
      <c r="E196" s="9" t="n">
        <v>10</v>
      </c>
      <c r="F196" s="9" t="n">
        <v>0</v>
      </c>
      <c r="G196" s="9" t="n">
        <v>1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2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</v>
      </c>
      <c r="Z196" s="9" t="n">
        <v>0</v>
      </c>
      <c r="AA196" s="9" t="n">
        <v>310</v>
      </c>
      <c r="AB196" s="10" t="n">
        <v>609</v>
      </c>
      <c r="AC196" s="10" t="n">
        <v>22</v>
      </c>
      <c r="AD196" s="10" t="n">
        <v>312</v>
      </c>
      <c r="AE196" s="10" t="n">
        <v>943</v>
      </c>
      <c r="AF196" s="10" t="n">
        <v>0</v>
      </c>
    </row>
    <row r="197">
      <c r="A197" s="7" t="n">
        <v>248</v>
      </c>
      <c r="B197" s="8" t="inlineStr">
        <is>
          <t>AG |</t>
        </is>
      </c>
      <c r="C197" s="9" t="n">
        <v>371</v>
      </c>
      <c r="D197" s="9" t="n">
        <v>83</v>
      </c>
      <c r="E197" s="9" t="n">
        <v>9</v>
      </c>
      <c r="F197" s="9" t="n">
        <v>0</v>
      </c>
      <c r="G197" s="9" t="n">
        <v>4</v>
      </c>
      <c r="H197" s="9" t="n">
        <v>0</v>
      </c>
      <c r="I197" s="9" t="n">
        <v>10</v>
      </c>
      <c r="J197" s="9" t="n">
        <v>0</v>
      </c>
      <c r="K197" s="9" t="n">
        <v>0</v>
      </c>
      <c r="L197" s="9" t="n">
        <v>0</v>
      </c>
      <c r="M197" s="9" t="n">
        <v>7</v>
      </c>
      <c r="N197" s="9" t="n">
        <v>1</v>
      </c>
      <c r="O197" s="9" t="n">
        <v>0</v>
      </c>
      <c r="P197" s="9" t="n">
        <v>1</v>
      </c>
      <c r="Q197" s="9" t="n">
        <v>0</v>
      </c>
      <c r="R197" s="9" t="n">
        <v>0</v>
      </c>
      <c r="S197" s="9" t="n">
        <v>0</v>
      </c>
      <c r="T197" s="9" t="n">
        <v>1</v>
      </c>
      <c r="U197" s="9" t="n">
        <v>0</v>
      </c>
      <c r="V197" s="9" t="n">
        <v>0</v>
      </c>
      <c r="W197" s="9" t="n">
        <v>0</v>
      </c>
      <c r="X197" s="9" t="n">
        <v>0</v>
      </c>
      <c r="Y197" s="9" t="n">
        <v>0</v>
      </c>
      <c r="Z197" s="9" t="n">
        <v>0</v>
      </c>
      <c r="AA197" s="9" t="n">
        <v>0</v>
      </c>
      <c r="AB197" s="10" t="n">
        <v>487</v>
      </c>
      <c r="AC197" s="10" t="n">
        <v>0</v>
      </c>
      <c r="AD197" s="10" t="n">
        <v>474</v>
      </c>
      <c r="AE197" s="10" t="n">
        <v>961</v>
      </c>
      <c r="AF197" s="10" t="n">
        <v>0</v>
      </c>
    </row>
    <row r="198">
      <c r="A198" s="7" t="n">
        <v>249</v>
      </c>
      <c r="B198" s="8" t="inlineStr">
        <is>
          <t>AKI</t>
        </is>
      </c>
      <c r="C198" s="9" t="n">
        <v>307</v>
      </c>
      <c r="D198" s="9" t="n">
        <v>146</v>
      </c>
      <c r="E198" s="9" t="n">
        <v>45</v>
      </c>
      <c r="F198" s="9" t="n">
        <v>0</v>
      </c>
      <c r="G198" s="9" t="n">
        <v>2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2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1</v>
      </c>
      <c r="V198" s="9" t="n">
        <v>0</v>
      </c>
      <c r="W198" s="9" t="n">
        <v>0</v>
      </c>
      <c r="X198" s="9" t="n">
        <v>0</v>
      </c>
      <c r="Y198" s="9" t="n">
        <v>20</v>
      </c>
      <c r="Z198" s="9" t="n">
        <v>0</v>
      </c>
      <c r="AA198" s="9" t="n">
        <v>512</v>
      </c>
      <c r="AB198" s="10" t="n">
        <v>1035</v>
      </c>
      <c r="AC198" s="10" t="n">
        <v>0</v>
      </c>
      <c r="AD198" s="10" t="n">
        <v>0</v>
      </c>
      <c r="AE198" s="10" t="n">
        <v>1035</v>
      </c>
      <c r="AF198" s="10" t="n">
        <v>0</v>
      </c>
    </row>
    <row r="199">
      <c r="A199" s="7" t="n">
        <v>250</v>
      </c>
      <c r="B199" s="8" t="inlineStr">
        <is>
          <t>AT</t>
        </is>
      </c>
      <c r="C199" s="9" t="n">
        <v>258</v>
      </c>
      <c r="D199" s="9" t="n">
        <v>66</v>
      </c>
      <c r="E199" s="9" t="n">
        <v>70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2</v>
      </c>
      <c r="N199" s="9" t="n">
        <v>0</v>
      </c>
      <c r="O199" s="9" t="n">
        <v>0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  <c r="AA199" s="9" t="n">
        <v>408</v>
      </c>
      <c r="AB199" s="10" t="n">
        <v>804</v>
      </c>
      <c r="AC199" s="10" t="n">
        <v>2</v>
      </c>
      <c r="AD199" s="10" t="n">
        <v>410</v>
      </c>
      <c r="AE199" s="10" t="n">
        <v>1216</v>
      </c>
      <c r="AF199" s="10" t="n">
        <v>0</v>
      </c>
    </row>
    <row r="200">
      <c r="A200" s="7" t="n">
        <v>251</v>
      </c>
      <c r="B200" s="8" t="inlineStr">
        <is>
          <t>AR |</t>
        </is>
      </c>
      <c r="C200" s="9" t="n">
        <v>240</v>
      </c>
      <c r="D200" s="9" t="n">
        <v>94</v>
      </c>
      <c r="E200" s="9" t="n">
        <v>133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2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2</v>
      </c>
      <c r="X200" s="9" t="n">
        <v>0</v>
      </c>
      <c r="Y200" s="9" t="n">
        <v>0</v>
      </c>
      <c r="Z200" s="9" t="n">
        <v>0</v>
      </c>
      <c r="AA200" s="9" t="n">
        <v>498</v>
      </c>
      <c r="AB200" s="10" t="n">
        <v>969</v>
      </c>
      <c r="AC200" s="10" t="n">
        <v>0</v>
      </c>
      <c r="AD200" s="10" t="n">
        <v>498</v>
      </c>
      <c r="AE200" s="10" t="n">
        <v>1467</v>
      </c>
      <c r="AF200" s="10" t="n">
        <v>0</v>
      </c>
    </row>
    <row r="201">
      <c r="A201" s="7" t="n">
        <v>252</v>
      </c>
      <c r="B201" s="8" t="inlineStr">
        <is>
          <t>AQ |</t>
        </is>
      </c>
      <c r="C201" s="9" t="n">
        <v>257</v>
      </c>
      <c r="D201" s="9" t="n">
        <v>124</v>
      </c>
      <c r="E201" s="9" t="n">
        <v>86</v>
      </c>
      <c r="F201" s="9" t="n">
        <v>0</v>
      </c>
      <c r="G201" s="9" t="n">
        <v>5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34</v>
      </c>
      <c r="N201" s="9" t="n">
        <v>0</v>
      </c>
      <c r="O201" s="9" t="n">
        <v>3</v>
      </c>
      <c r="P201" s="9" t="n">
        <v>0</v>
      </c>
      <c r="Q201" s="9" t="n">
        <v>0</v>
      </c>
      <c r="R201" s="9" t="n">
        <v>3</v>
      </c>
      <c r="S201" s="9" t="n">
        <v>0</v>
      </c>
      <c r="T201" s="9" t="n">
        <v>0</v>
      </c>
      <c r="U201" s="9" t="n">
        <v>0</v>
      </c>
      <c r="V201" s="9" t="n">
        <v>0</v>
      </c>
      <c r="W201" s="9" t="n">
        <v>0</v>
      </c>
      <c r="X201" s="9" t="n">
        <v>0</v>
      </c>
      <c r="Y201" s="9" t="n">
        <v>0</v>
      </c>
      <c r="Z201" s="9" t="n">
        <v>0</v>
      </c>
      <c r="AA201" s="9" t="n">
        <v>490</v>
      </c>
      <c r="AB201" s="10" t="n">
        <v>1002</v>
      </c>
      <c r="AC201" s="10" t="n">
        <v>0</v>
      </c>
      <c r="AD201" s="10" t="n">
        <v>490</v>
      </c>
      <c r="AE201" s="10" t="n">
        <v>1492</v>
      </c>
      <c r="AF201" s="10" t="n">
        <v>0</v>
      </c>
    </row>
    <row r="202">
      <c r="A202" s="7" t="n">
        <v>253</v>
      </c>
      <c r="B202" s="8" t="inlineStr">
        <is>
          <t>ery)</t>
        </is>
      </c>
      <c r="C202" s="9" t="n">
        <v>237</v>
      </c>
      <c r="D202" s="9" t="n">
        <v>101</v>
      </c>
      <c r="E202" s="9" t="n">
        <v>108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2</v>
      </c>
      <c r="O202" s="9" t="n">
        <v>0</v>
      </c>
      <c r="P202" s="9" t="n">
        <v>0</v>
      </c>
      <c r="Q202" s="9" t="n">
        <v>0</v>
      </c>
      <c r="R202" s="9" t="n">
        <v>0</v>
      </c>
      <c r="S202" s="9" t="n">
        <v>4</v>
      </c>
      <c r="T202" s="9" t="n">
        <v>0</v>
      </c>
      <c r="U202" s="9" t="n">
        <v>0</v>
      </c>
      <c r="V202" s="9" t="n">
        <v>0</v>
      </c>
      <c r="W202" s="9" t="n">
        <v>0</v>
      </c>
      <c r="X202" s="9" t="n">
        <v>0</v>
      </c>
      <c r="Y202" s="9" t="n">
        <v>0</v>
      </c>
      <c r="Z202" s="9" t="n">
        <v>0</v>
      </c>
      <c r="AA202" s="9" t="n">
        <v>452</v>
      </c>
      <c r="AB202" s="10" t="n">
        <v>904</v>
      </c>
      <c r="AC202" s="10" t="n">
        <v>0</v>
      </c>
      <c r="AD202" s="10" t="n">
        <v>452</v>
      </c>
      <c r="AE202" s="10" t="n">
        <v>1356</v>
      </c>
      <c r="AF202" s="10" t="n">
        <v>0</v>
      </c>
    </row>
    <row r="203">
      <c r="A203" s="7" t="n">
        <v>254</v>
      </c>
      <c r="B203" s="8" t="inlineStr">
        <is>
          <t>er Tt</t>
        </is>
      </c>
      <c r="C203" s="9" t="n">
        <v>236</v>
      </c>
      <c r="D203" s="9" t="n">
        <v>62</v>
      </c>
      <c r="E203" s="9" t="n">
        <v>244</v>
      </c>
      <c r="F203" s="9" t="n">
        <v>0</v>
      </c>
      <c r="G203" s="9" t="n">
        <v>6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1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4</v>
      </c>
      <c r="T203" s="9" t="n">
        <v>7</v>
      </c>
      <c r="U203" s="9" t="n">
        <v>0</v>
      </c>
      <c r="V203" s="9" t="n">
        <v>0</v>
      </c>
      <c r="W203" s="9" t="n">
        <v>20</v>
      </c>
      <c r="X203" s="9" t="n">
        <v>8</v>
      </c>
      <c r="Y203" s="9" t="n">
        <v>0</v>
      </c>
      <c r="Z203" s="9" t="n">
        <v>0</v>
      </c>
      <c r="AA203" s="9" t="n">
        <v>581</v>
      </c>
      <c r="AB203" s="10" t="n">
        <v>1169</v>
      </c>
      <c r="AC203" s="10" t="n">
        <v>2</v>
      </c>
      <c r="AD203" s="10" t="n">
        <v>0</v>
      </c>
      <c r="AE203" s="10" t="n">
        <v>1171</v>
      </c>
      <c r="AF203" s="10" t="n">
        <v>0</v>
      </c>
    </row>
    <row r="204">
      <c r="A204" s="7" t="n">
        <v>255</v>
      </c>
      <c r="B204" s="8" t="inlineStr">
        <is>
          <t>ary</t>
        </is>
      </c>
      <c r="C204" s="9" t="n">
        <v>244</v>
      </c>
      <c r="D204" s="9" t="n">
        <v>78</v>
      </c>
      <c r="E204" s="9" t="n">
        <v>200</v>
      </c>
      <c r="F204" s="9" t="n">
        <v>0</v>
      </c>
      <c r="G204" s="9" t="n">
        <v>6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 t="n">
        <v>0</v>
      </c>
      <c r="X204" s="9" t="n">
        <v>0</v>
      </c>
      <c r="Y204" s="9" t="n">
        <v>0</v>
      </c>
      <c r="Z204" s="9" t="n">
        <v>0</v>
      </c>
      <c r="AA204" s="9" t="n">
        <v>569</v>
      </c>
      <c r="AB204" s="10" t="n">
        <v>1097</v>
      </c>
      <c r="AC204" s="10" t="n">
        <v>0</v>
      </c>
      <c r="AD204" s="10" t="n">
        <v>0</v>
      </c>
      <c r="AE204" s="10" t="n">
        <v>1097</v>
      </c>
      <c r="AF204" s="10" t="n">
        <v>0</v>
      </c>
    </row>
    <row r="205">
      <c r="A205" s="7" t="n">
        <v>256</v>
      </c>
      <c r="B205" s="8" t="inlineStr">
        <is>
          <t>ary</t>
        </is>
      </c>
      <c r="C205" s="9" t="n">
        <v>115</v>
      </c>
      <c r="D205" s="9" t="n">
        <v>57</v>
      </c>
      <c r="E205" s="9" t="n">
        <v>164</v>
      </c>
      <c r="F205" s="9" t="n">
        <v>7</v>
      </c>
      <c r="G205" s="9" t="n">
        <v>3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3</v>
      </c>
      <c r="O205" s="9" t="n">
        <v>4</v>
      </c>
      <c r="P205" s="9" t="n">
        <v>0</v>
      </c>
      <c r="Q205" s="9" t="n">
        <v>0</v>
      </c>
      <c r="R205" s="9" t="n">
        <v>0</v>
      </c>
      <c r="S205" s="9" t="n">
        <v>74</v>
      </c>
      <c r="T205" s="9" t="n">
        <v>0</v>
      </c>
      <c r="U205" s="9" t="n">
        <v>0</v>
      </c>
      <c r="V205" s="9" t="n">
        <v>0</v>
      </c>
      <c r="W205" s="9" t="n">
        <v>0</v>
      </c>
      <c r="X205" s="9" t="n">
        <v>0</v>
      </c>
      <c r="Y205" s="9" t="n">
        <v>0</v>
      </c>
      <c r="Z205" s="9" t="n">
        <v>0</v>
      </c>
      <c r="AA205" s="9" t="n">
        <v>5</v>
      </c>
      <c r="AB205" s="10" t="n">
        <v>432</v>
      </c>
      <c r="AC205" s="10" t="n">
        <v>2</v>
      </c>
      <c r="AD205" s="10" t="n">
        <v>353</v>
      </c>
      <c r="AE205" s="10" t="n">
        <v>787</v>
      </c>
      <c r="AF205" s="10" t="n">
        <v>0</v>
      </c>
    </row>
    <row r="206">
      <c r="A206" s="7" t="n">
        <v>257</v>
      </c>
      <c r="B206" s="8" t="inlineStr">
        <is>
          <t>EAI</t>
        </is>
      </c>
      <c r="C206" s="9" t="n">
        <v>191</v>
      </c>
      <c r="D206" s="9" t="n">
        <v>58</v>
      </c>
      <c r="E206" s="9" t="n">
        <v>192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3</v>
      </c>
      <c r="S206" s="9" t="n">
        <v>0</v>
      </c>
      <c r="T206" s="9" t="n">
        <v>0</v>
      </c>
      <c r="U206" s="9" t="n">
        <v>0</v>
      </c>
      <c r="V206" s="9" t="n">
        <v>2</v>
      </c>
      <c r="W206" s="9" t="n">
        <v>0</v>
      </c>
      <c r="X206" s="9" t="n">
        <v>0</v>
      </c>
      <c r="Y206" s="9" t="n">
        <v>0</v>
      </c>
      <c r="Z206" s="9" t="n">
        <v>2</v>
      </c>
      <c r="AA206" s="9" t="n">
        <v>466</v>
      </c>
      <c r="AB206" s="10" t="n">
        <v>914</v>
      </c>
      <c r="AC206" s="10" t="n">
        <v>6</v>
      </c>
      <c r="AD206" s="10" t="n">
        <v>472</v>
      </c>
      <c r="AE206" s="10" t="n">
        <v>1392</v>
      </c>
      <c r="AF206" s="10" t="n">
        <v>0</v>
      </c>
    </row>
    <row r="207">
      <c r="A207" s="7" t="n">
        <v>258</v>
      </c>
      <c r="B207" s="8" t="inlineStr">
        <is>
          <t>poem</t>
        </is>
      </c>
      <c r="C207" s="9" t="n">
        <v>209</v>
      </c>
      <c r="D207" s="9" t="n">
        <v>65</v>
      </c>
      <c r="E207" s="9" t="n">
        <v>275</v>
      </c>
      <c r="F207" s="9" t="n">
        <v>0</v>
      </c>
      <c r="G207" s="9" t="n">
        <v>1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5</v>
      </c>
      <c r="M207" s="9" t="n">
        <v>0</v>
      </c>
      <c r="N207" s="9" t="n">
        <v>0</v>
      </c>
      <c r="O207" s="9" t="n">
        <v>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0</v>
      </c>
      <c r="W207" s="9" t="n">
        <v>0</v>
      </c>
      <c r="X207" s="9" t="n">
        <v>0</v>
      </c>
      <c r="Y207" s="9" t="n">
        <v>0</v>
      </c>
      <c r="Z207" s="9" t="n">
        <v>0</v>
      </c>
      <c r="AA207" s="9" t="n">
        <v>571</v>
      </c>
      <c r="AB207" s="10" t="n">
        <v>1126</v>
      </c>
      <c r="AC207" s="10" t="n">
        <v>0</v>
      </c>
      <c r="AD207" s="10" t="n">
        <v>0</v>
      </c>
      <c r="AE207" s="10" t="n">
        <v>1126</v>
      </c>
      <c r="AF207" s="10" t="n">
        <v>0</v>
      </c>
    </row>
    <row r="208">
      <c r="A208" s="7" t="n">
        <v>259</v>
      </c>
      <c r="B208" s="8" t="inlineStr">
        <is>
          <t>Polling Station 259</t>
        </is>
      </c>
      <c r="C208" s="9" t="n">
        <v>283</v>
      </c>
      <c r="D208" s="9" t="n">
        <v>93</v>
      </c>
      <c r="E208" s="9" t="n">
        <v>351</v>
      </c>
      <c r="F208" s="9" t="n">
        <v>0</v>
      </c>
      <c r="G208" s="9" t="n">
        <v>10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8</v>
      </c>
      <c r="O208" s="9" t="n">
        <v>0</v>
      </c>
      <c r="P208" s="9" t="n">
        <v>0</v>
      </c>
      <c r="Q208" s="9" t="n">
        <v>4</v>
      </c>
      <c r="R208" s="9" t="n">
        <v>0</v>
      </c>
      <c r="S208" s="9" t="n">
        <v>0</v>
      </c>
      <c r="T208" s="9" t="n">
        <v>0</v>
      </c>
      <c r="U208" s="9" t="n">
        <v>0</v>
      </c>
      <c r="V208" s="9" t="n">
        <v>0</v>
      </c>
      <c r="W208" s="9" t="n">
        <v>0</v>
      </c>
      <c r="X208" s="9" t="n">
        <v>10</v>
      </c>
      <c r="Y208" s="9" t="n">
        <v>0</v>
      </c>
      <c r="Z208" s="9" t="n">
        <v>30</v>
      </c>
      <c r="AA208" s="9" t="n">
        <v>0</v>
      </c>
      <c r="AB208" s="10" t="n">
        <v>789</v>
      </c>
      <c r="AC208" s="10" t="n">
        <v>6</v>
      </c>
      <c r="AD208" s="10" t="n">
        <v>0</v>
      </c>
      <c r="AE208" s="10" t="n">
        <v>795</v>
      </c>
      <c r="AF208" s="10" t="n">
        <v>0</v>
      </c>
    </row>
    <row r="209">
      <c r="A209" s="7" t="n">
        <v>260</v>
      </c>
      <c r="B209" s="8" t="inlineStr">
        <is>
          <t>Polling Station 260</t>
        </is>
      </c>
      <c r="C209" s="9" t="n">
        <v>343</v>
      </c>
      <c r="D209" s="9" t="n">
        <v>131</v>
      </c>
      <c r="E209" s="9" t="n">
        <v>279</v>
      </c>
      <c r="F209" s="9" t="n">
        <v>7</v>
      </c>
      <c r="G209" s="9" t="n">
        <v>4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2</v>
      </c>
      <c r="N209" s="9" t="n">
        <v>0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0</v>
      </c>
      <c r="W209" s="9" t="n">
        <v>0</v>
      </c>
      <c r="X209" s="9" t="n">
        <v>0</v>
      </c>
      <c r="Y209" s="9" t="n">
        <v>0</v>
      </c>
      <c r="Z209" s="9" t="n">
        <v>0</v>
      </c>
      <c r="AA209" s="9" t="n">
        <v>781</v>
      </c>
      <c r="AB209" s="10" t="n">
        <v>1547</v>
      </c>
      <c r="AC209" s="10" t="n">
        <v>4</v>
      </c>
      <c r="AD209" s="10" t="n">
        <v>0</v>
      </c>
      <c r="AE209" s="10" t="n">
        <v>1551</v>
      </c>
      <c r="AF209" s="10" t="n">
        <v>0</v>
      </c>
    </row>
    <row r="210">
      <c r="A210" s="7" t="n">
        <v>261</v>
      </c>
      <c r="B210" s="8" t="inlineStr">
        <is>
          <t>Polling Station 261</t>
        </is>
      </c>
      <c r="C210" s="9" t="n">
        <v>197</v>
      </c>
      <c r="D210" s="9" t="n">
        <v>65</v>
      </c>
      <c r="E210" s="9" t="n">
        <v>252</v>
      </c>
      <c r="F210" s="9" t="n">
        <v>0</v>
      </c>
      <c r="G210" s="9" t="n">
        <v>5</v>
      </c>
      <c r="H210" s="9" t="n">
        <v>4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4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4</v>
      </c>
      <c r="Y210" s="9" t="n">
        <v>1</v>
      </c>
      <c r="Z210" s="9" t="n">
        <v>2</v>
      </c>
      <c r="AA210" s="9" t="n">
        <v>544</v>
      </c>
      <c r="AB210" s="10" t="n">
        <v>1078</v>
      </c>
      <c r="AC210" s="10" t="n">
        <v>5</v>
      </c>
      <c r="AD210" s="10" t="n">
        <v>0</v>
      </c>
      <c r="AE210" s="10" t="n">
        <v>1083</v>
      </c>
      <c r="AF210" s="10" t="n">
        <v>0</v>
      </c>
    </row>
    <row r="211">
      <c r="A211" s="7" t="n">
        <v>262</v>
      </c>
      <c r="B211" s="8" t="inlineStr">
        <is>
          <t>Polling Station 262</t>
        </is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3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0</v>
      </c>
      <c r="O211" s="9" t="n">
        <v>0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0</v>
      </c>
      <c r="Y211" s="9" t="n">
        <v>0</v>
      </c>
      <c r="Z211" s="9" t="n">
        <v>0</v>
      </c>
      <c r="AA211" s="9" t="n">
        <v>0</v>
      </c>
      <c r="AB211" s="10" t="n">
        <v>3</v>
      </c>
      <c r="AC211" s="10" t="n">
        <v>0</v>
      </c>
      <c r="AD211" s="10" t="n">
        <v>0</v>
      </c>
      <c r="AE211" s="10" t="n">
        <v>3</v>
      </c>
      <c r="AF211" s="10" t="n">
        <v>0</v>
      </c>
    </row>
    <row r="212">
      <c r="A212" s="7" t="n">
        <v>263</v>
      </c>
      <c r="B212" s="8" t="inlineStr">
        <is>
          <t>Polling Station 263</t>
        </is>
      </c>
      <c r="C212" s="9" t="n">
        <v>3</v>
      </c>
      <c r="D212" s="9" t="n">
        <v>4</v>
      </c>
      <c r="E212" s="9" t="n">
        <v>5</v>
      </c>
      <c r="F212" s="9" t="n">
        <v>6</v>
      </c>
      <c r="G212" s="9" t="n">
        <v>7</v>
      </c>
      <c r="H212" s="9" t="n">
        <v>0</v>
      </c>
      <c r="I212" s="9" t="n">
        <v>9</v>
      </c>
      <c r="J212" s="9" t="n">
        <v>10</v>
      </c>
      <c r="K212" s="9" t="n">
        <v>11</v>
      </c>
      <c r="L212" s="9" t="n">
        <v>12</v>
      </c>
      <c r="M212" s="9" t="n">
        <v>13</v>
      </c>
      <c r="N212" s="9" t="n">
        <v>14</v>
      </c>
      <c r="O212" s="9" t="n">
        <v>15</v>
      </c>
      <c r="P212" s="9" t="n">
        <v>16</v>
      </c>
      <c r="Q212" s="9" t="n">
        <v>17</v>
      </c>
      <c r="R212" s="9" t="n">
        <v>18</v>
      </c>
      <c r="S212" s="9" t="n">
        <v>19</v>
      </c>
      <c r="T212" s="9" t="n">
        <v>20</v>
      </c>
      <c r="U212" s="9" t="n">
        <v>21</v>
      </c>
      <c r="V212" s="9" t="n">
        <v>22</v>
      </c>
      <c r="W212" s="9" t="n">
        <v>23</v>
      </c>
      <c r="X212" s="9" t="n">
        <v>24</v>
      </c>
      <c r="Y212" s="9" t="n">
        <v>25</v>
      </c>
      <c r="Z212" s="9" t="n">
        <v>26</v>
      </c>
      <c r="AA212" s="9" t="n">
        <v>0</v>
      </c>
      <c r="AB212" s="10" t="n">
        <v>340</v>
      </c>
      <c r="AC212" s="10" t="n">
        <v>29</v>
      </c>
      <c r="AD212" s="10" t="n">
        <v>30</v>
      </c>
      <c r="AE212" s="10" t="n">
        <v>399</v>
      </c>
      <c r="AF212" s="10" t="n">
        <v>0</v>
      </c>
    </row>
    <row r="213">
      <c r="A213" s="7" t="n">
        <v>264</v>
      </c>
      <c r="B213" s="8" t="inlineStr">
        <is>
          <t>EQ</t>
        </is>
      </c>
      <c r="C213" s="9" t="n">
        <v>181</v>
      </c>
      <c r="D213" s="9" t="n">
        <v>48</v>
      </c>
      <c r="E213" s="9" t="n">
        <v>220</v>
      </c>
      <c r="F213" s="9" t="n">
        <v>3</v>
      </c>
      <c r="G213" s="9" t="n">
        <v>8</v>
      </c>
      <c r="H213" s="9" t="n">
        <v>0</v>
      </c>
      <c r="I213" s="9" t="n">
        <v>5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1</v>
      </c>
      <c r="Q213" s="9" t="n">
        <v>1</v>
      </c>
      <c r="R213" s="9" t="n">
        <v>1</v>
      </c>
      <c r="S213" s="9" t="n">
        <v>2</v>
      </c>
      <c r="T213" s="9" t="n">
        <v>2</v>
      </c>
      <c r="U213" s="9" t="n">
        <v>0</v>
      </c>
      <c r="V213" s="9" t="n">
        <v>0</v>
      </c>
      <c r="W213" s="9" t="n">
        <v>0</v>
      </c>
      <c r="X213" s="9" t="n">
        <v>0</v>
      </c>
      <c r="Y213" s="9" t="n">
        <v>0</v>
      </c>
      <c r="Z213" s="9" t="n">
        <v>0</v>
      </c>
      <c r="AA213" s="9" t="n">
        <v>470</v>
      </c>
      <c r="AB213" s="10" t="n">
        <v>942</v>
      </c>
      <c r="AC213" s="10" t="n">
        <v>4</v>
      </c>
      <c r="AD213" s="10" t="n">
        <v>474</v>
      </c>
      <c r="AE213" s="10" t="n">
        <v>1420</v>
      </c>
      <c r="AF213" s="10" t="n">
        <v>0</v>
      </c>
    </row>
    <row r="214">
      <c r="A214" s="7" t="n">
        <v>265</v>
      </c>
      <c r="B214" s="8" t="inlineStr">
        <is>
          <t>EQ|</t>
        </is>
      </c>
      <c r="C214" s="9" t="n">
        <v>178</v>
      </c>
      <c r="D214" s="9" t="n">
        <v>67</v>
      </c>
      <c r="E214" s="9" t="n">
        <v>183</v>
      </c>
      <c r="F214" s="9" t="n">
        <v>2</v>
      </c>
      <c r="G214" s="9" t="n">
        <v>2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1</v>
      </c>
      <c r="O214" s="9" t="n">
        <v>0</v>
      </c>
      <c r="P214" s="9" t="n">
        <v>1</v>
      </c>
      <c r="Q214" s="9" t="n">
        <v>2</v>
      </c>
      <c r="R214" s="9" t="n">
        <v>0</v>
      </c>
      <c r="S214" s="9" t="n">
        <v>0</v>
      </c>
      <c r="T214" s="9" t="n">
        <v>1</v>
      </c>
      <c r="U214" s="9" t="n">
        <v>0</v>
      </c>
      <c r="V214" s="9" t="n">
        <v>0</v>
      </c>
      <c r="W214" s="9" t="n">
        <v>0</v>
      </c>
      <c r="X214" s="9" t="n">
        <v>0</v>
      </c>
      <c r="Y214" s="9" t="n">
        <v>0</v>
      </c>
      <c r="Z214" s="9" t="n">
        <v>0</v>
      </c>
      <c r="AA214" s="9" t="n">
        <v>441</v>
      </c>
      <c r="AB214" s="10" t="n">
        <v>878</v>
      </c>
      <c r="AC214" s="10" t="n">
        <v>3</v>
      </c>
      <c r="AD214" s="10" t="n">
        <v>0</v>
      </c>
      <c r="AE214" s="10" t="n">
        <v>881</v>
      </c>
      <c r="AF214" s="10" t="n">
        <v>0</v>
      </c>
    </row>
    <row r="215">
      <c r="A215" s="7" t="n">
        <v>266</v>
      </c>
      <c r="B215" s="8" t="inlineStr">
        <is>
          <t>eya)</t>
        </is>
      </c>
      <c r="C215" s="9" t="n">
        <v>76</v>
      </c>
      <c r="D215" s="9" t="n">
        <v>34</v>
      </c>
      <c r="E215" s="9" t="n">
        <v>63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0</v>
      </c>
      <c r="N215" s="9" t="n">
        <v>0</v>
      </c>
      <c r="O215" s="9" t="n">
        <v>0</v>
      </c>
      <c r="P215" s="9" t="n">
        <v>0</v>
      </c>
      <c r="Q215" s="9" t="n">
        <v>0</v>
      </c>
      <c r="R215" s="9" t="n">
        <v>0</v>
      </c>
      <c r="S215" s="9" t="n">
        <v>2</v>
      </c>
      <c r="T215" s="9" t="n">
        <v>0</v>
      </c>
      <c r="U215" s="9" t="n">
        <v>0</v>
      </c>
      <c r="V215" s="9" t="n">
        <v>0</v>
      </c>
      <c r="W215" s="9" t="n">
        <v>0</v>
      </c>
      <c r="X215" s="9" t="n">
        <v>0</v>
      </c>
      <c r="Y215" s="9" t="n">
        <v>0</v>
      </c>
      <c r="Z215" s="9" t="n">
        <v>0</v>
      </c>
      <c r="AA215" s="9" t="n">
        <v>176</v>
      </c>
      <c r="AB215" s="10" t="n">
        <v>351</v>
      </c>
      <c r="AC215" s="10" t="n">
        <v>1</v>
      </c>
      <c r="AD215" s="10" t="n">
        <v>177</v>
      </c>
      <c r="AE215" s="10" t="n">
        <v>529</v>
      </c>
      <c r="AF215" s="10" t="n">
        <v>0</v>
      </c>
    </row>
    <row r="216">
      <c r="A216" s="7" t="n">
        <v>267</v>
      </c>
      <c r="B216" s="8" t="inlineStr">
        <is>
          <t>Polling Station 267</t>
        </is>
      </c>
      <c r="C216" s="9" t="n">
        <v>100</v>
      </c>
      <c r="D216" s="9" t="n">
        <v>39</v>
      </c>
      <c r="E216" s="9" t="n">
        <v>133</v>
      </c>
      <c r="F216" s="9" t="n">
        <v>0</v>
      </c>
      <c r="G216" s="9" t="n">
        <v>1</v>
      </c>
      <c r="H216" s="9" t="n">
        <v>10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4</v>
      </c>
      <c r="S216" s="9" t="n">
        <v>4</v>
      </c>
      <c r="T216" s="9" t="n">
        <v>1</v>
      </c>
      <c r="U216" s="9" t="n">
        <v>0</v>
      </c>
      <c r="V216" s="9" t="n">
        <v>1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283</v>
      </c>
      <c r="AB216" s="10" t="n">
        <v>576</v>
      </c>
      <c r="AC216" s="10" t="n">
        <v>0</v>
      </c>
      <c r="AD216" s="10" t="n">
        <v>283</v>
      </c>
      <c r="AE216" s="10" t="n">
        <v>859</v>
      </c>
      <c r="AF216" s="10" t="n">
        <v>0</v>
      </c>
    </row>
    <row r="217">
      <c r="A217" s="7" t="n">
        <v>268</v>
      </c>
      <c r="B217" s="8" t="inlineStr">
        <is>
          <t>eys)</t>
        </is>
      </c>
      <c r="C217" s="9" t="n">
        <v>176</v>
      </c>
      <c r="D217" s="9" t="n">
        <v>85</v>
      </c>
      <c r="E217" s="9" t="n">
        <v>237</v>
      </c>
      <c r="F217" s="9" t="n">
        <v>2</v>
      </c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  <c r="M217" s="9" t="n">
        <v>0</v>
      </c>
      <c r="N217" s="9" t="n">
        <v>1</v>
      </c>
      <c r="O217" s="9" t="n">
        <v>0</v>
      </c>
      <c r="P217" s="9" t="n">
        <v>0</v>
      </c>
      <c r="Q217" s="9" t="n">
        <v>4</v>
      </c>
      <c r="R217" s="9" t="n">
        <v>3</v>
      </c>
      <c r="S217" s="9" t="n">
        <v>4</v>
      </c>
      <c r="T217" s="9" t="n">
        <v>1</v>
      </c>
      <c r="U217" s="9" t="n">
        <v>0</v>
      </c>
      <c r="V217" s="9" t="n">
        <v>0</v>
      </c>
      <c r="W217" s="9" t="n">
        <v>0</v>
      </c>
      <c r="X217" s="9" t="n">
        <v>0</v>
      </c>
      <c r="Y217" s="9" t="n">
        <v>0</v>
      </c>
      <c r="Z217" s="9" t="n">
        <v>3</v>
      </c>
      <c r="AA217" s="9" t="n">
        <v>518</v>
      </c>
      <c r="AB217" s="10" t="n">
        <v>1034</v>
      </c>
      <c r="AC217" s="10" t="n">
        <v>4</v>
      </c>
      <c r="AD217" s="10" t="n">
        <v>2</v>
      </c>
      <c r="AE217" s="10" t="n">
        <v>1040</v>
      </c>
      <c r="AF217" s="10" t="n">
        <v>0</v>
      </c>
    </row>
    <row r="218">
      <c r="A218" s="7" t="n">
        <v>269</v>
      </c>
      <c r="B218" s="8" t="inlineStr">
        <is>
          <t>Polling Station 269</t>
        </is>
      </c>
      <c r="C218" s="9" t="n">
        <v>207</v>
      </c>
      <c r="D218" s="9" t="n">
        <v>72</v>
      </c>
      <c r="E218" s="9" t="n">
        <v>267</v>
      </c>
      <c r="F218" s="9" t="n">
        <v>1</v>
      </c>
      <c r="G218" s="9" t="n">
        <v>3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1</v>
      </c>
      <c r="O218" s="9" t="n">
        <v>0</v>
      </c>
      <c r="P218" s="9" t="n">
        <v>4</v>
      </c>
      <c r="Q218" s="9" t="n">
        <v>0</v>
      </c>
      <c r="R218" s="9" t="n">
        <v>1</v>
      </c>
      <c r="S218" s="9" t="n">
        <v>3</v>
      </c>
      <c r="T218" s="9" t="n">
        <v>0</v>
      </c>
      <c r="U218" s="9" t="n">
        <v>2</v>
      </c>
      <c r="V218" s="9" t="n">
        <v>0</v>
      </c>
      <c r="W218" s="9" t="n">
        <v>0</v>
      </c>
      <c r="X218" s="9" t="n">
        <v>0</v>
      </c>
      <c r="Y218" s="9" t="n">
        <v>0</v>
      </c>
      <c r="Z218" s="9" t="n">
        <v>0</v>
      </c>
      <c r="AA218" s="9" t="n">
        <v>558</v>
      </c>
      <c r="AB218" s="10" t="n">
        <v>1119</v>
      </c>
      <c r="AC218" s="10" t="n">
        <v>0</v>
      </c>
      <c r="AD218" s="10" t="n">
        <v>0</v>
      </c>
      <c r="AE218" s="10" t="n">
        <v>1119</v>
      </c>
      <c r="AF218" s="10" t="n">
        <v>0</v>
      </c>
    </row>
    <row r="219">
      <c r="A219" s="7" t="n">
        <v>270</v>
      </c>
      <c r="B219" s="8" t="inlineStr">
        <is>
          <t>A</t>
        </is>
      </c>
      <c r="C219" s="9" t="n">
        <v>111</v>
      </c>
      <c r="D219" s="9" t="n">
        <v>28</v>
      </c>
      <c r="E219" s="9" t="n">
        <v>185</v>
      </c>
      <c r="F219" s="9" t="n">
        <v>2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9" t="n">
        <v>0</v>
      </c>
      <c r="Q219" s="9" t="n">
        <v>0</v>
      </c>
      <c r="R219" s="9" t="n">
        <v>1</v>
      </c>
      <c r="S219" s="9" t="n">
        <v>1</v>
      </c>
      <c r="T219" s="9" t="n">
        <v>1</v>
      </c>
      <c r="U219" s="9" t="n">
        <v>0</v>
      </c>
      <c r="V219" s="9" t="n">
        <v>0</v>
      </c>
      <c r="W219" s="9" t="n">
        <v>0</v>
      </c>
      <c r="X219" s="9" t="n">
        <v>0</v>
      </c>
      <c r="Y219" s="9" t="n">
        <v>20</v>
      </c>
      <c r="Z219" s="9" t="n">
        <v>0</v>
      </c>
      <c r="AA219" s="9" t="n">
        <v>332</v>
      </c>
      <c r="AB219" s="10" t="n">
        <v>681</v>
      </c>
      <c r="AC219" s="10" t="n">
        <v>2</v>
      </c>
      <c r="AD219" s="10" t="n">
        <v>334</v>
      </c>
      <c r="AE219" s="10" t="n">
        <v>1017</v>
      </c>
      <c r="AF219" s="10" t="n">
        <v>0</v>
      </c>
    </row>
    <row r="220">
      <c r="A220" s="7" t="n">
        <v>271</v>
      </c>
      <c r="B220" s="8" t="inlineStr">
        <is>
          <t>Pya4</t>
        </is>
      </c>
      <c r="C220" s="9" t="n">
        <v>244</v>
      </c>
      <c r="D220" s="9" t="n">
        <v>55</v>
      </c>
      <c r="E220" s="9" t="n">
        <v>241</v>
      </c>
      <c r="F220" s="9" t="n">
        <v>1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10</v>
      </c>
      <c r="L220" s="9" t="n">
        <v>0</v>
      </c>
      <c r="M220" s="9" t="n">
        <v>2</v>
      </c>
      <c r="N220" s="9" t="n">
        <v>0</v>
      </c>
      <c r="O220" s="9" t="n">
        <v>0</v>
      </c>
      <c r="P220" s="9" t="n">
        <v>7</v>
      </c>
      <c r="Q220" s="9" t="n">
        <v>3</v>
      </c>
      <c r="R220" s="9" t="n">
        <v>3</v>
      </c>
      <c r="S220" s="9" t="n">
        <v>4</v>
      </c>
      <c r="T220" s="9" t="n">
        <v>1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  <c r="AA220" s="9" t="n">
        <v>572</v>
      </c>
      <c r="AB220" s="10" t="n">
        <v>1143</v>
      </c>
      <c r="AC220" s="10" t="n">
        <v>4</v>
      </c>
      <c r="AD220" s="10" t="n">
        <v>0</v>
      </c>
      <c r="AE220" s="10" t="n">
        <v>1147</v>
      </c>
      <c r="AF220" s="10" t="n">
        <v>0</v>
      </c>
    </row>
    <row r="221">
      <c r="A221" s="7" t="n">
        <v>272</v>
      </c>
      <c r="B221" s="8" t="inlineStr">
        <is>
          <t>Polling Station 272</t>
        </is>
      </c>
      <c r="C221" s="9" t="n">
        <v>306</v>
      </c>
      <c r="D221" s="9" t="n">
        <v>133</v>
      </c>
      <c r="E221" s="9" t="n">
        <v>216</v>
      </c>
      <c r="F221" s="9" t="n">
        <v>1</v>
      </c>
      <c r="G221" s="9" t="n">
        <v>6</v>
      </c>
      <c r="H221" s="9" t="n">
        <v>0</v>
      </c>
      <c r="I221" s="9" t="n">
        <v>0</v>
      </c>
      <c r="J221" s="9" t="n">
        <v>10</v>
      </c>
      <c r="K221" s="9" t="n">
        <v>0</v>
      </c>
      <c r="L221" s="9" t="n">
        <v>0</v>
      </c>
      <c r="M221" s="9" t="n">
        <v>2</v>
      </c>
      <c r="N221" s="9" t="n">
        <v>32</v>
      </c>
      <c r="O221" s="9" t="n">
        <v>0</v>
      </c>
      <c r="P221" s="9" t="n">
        <v>0</v>
      </c>
      <c r="Q221" s="9" t="n">
        <v>2</v>
      </c>
      <c r="R221" s="9" t="n">
        <v>3</v>
      </c>
      <c r="S221" s="9" t="n">
        <v>0</v>
      </c>
      <c r="T221" s="9" t="n">
        <v>1</v>
      </c>
      <c r="U221" s="9" t="n">
        <v>1</v>
      </c>
      <c r="V221" s="9" t="n">
        <v>0</v>
      </c>
      <c r="W221" s="9" t="n">
        <v>0</v>
      </c>
      <c r="X221" s="9" t="n">
        <v>0</v>
      </c>
      <c r="Y221" s="9" t="n">
        <v>0</v>
      </c>
      <c r="Z221" s="9" t="n">
        <v>0</v>
      </c>
      <c r="AA221" s="9" t="n">
        <v>677</v>
      </c>
      <c r="AB221" s="10" t="n">
        <v>1390</v>
      </c>
      <c r="AC221" s="10" t="n">
        <v>0</v>
      </c>
      <c r="AD221" s="10" t="n">
        <v>0</v>
      </c>
      <c r="AE221" s="10" t="n">
        <v>1390</v>
      </c>
      <c r="AF221" s="10" t="n">
        <v>0</v>
      </c>
    </row>
    <row r="222">
      <c r="A222" s="7" t="n">
        <v>273</v>
      </c>
      <c r="B222" s="8" t="inlineStr">
        <is>
          <t>Polling Station 273</t>
        </is>
      </c>
      <c r="C222" s="9" t="n">
        <v>301</v>
      </c>
      <c r="D222" s="9" t="n">
        <v>126</v>
      </c>
      <c r="E222" s="9" t="n">
        <v>199</v>
      </c>
      <c r="F222" s="9" t="n">
        <v>2</v>
      </c>
      <c r="G222" s="9" t="n">
        <v>6</v>
      </c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4</v>
      </c>
      <c r="S222" s="9" t="n">
        <v>0</v>
      </c>
      <c r="T222" s="9" t="n">
        <v>0</v>
      </c>
      <c r="U222" s="9" t="n">
        <v>0</v>
      </c>
      <c r="V222" s="9" t="n">
        <v>0</v>
      </c>
      <c r="W222" s="9" t="n">
        <v>0</v>
      </c>
      <c r="X222" s="9" t="n">
        <v>0</v>
      </c>
      <c r="Y222" s="9" t="n">
        <v>0</v>
      </c>
      <c r="Z222" s="9" t="n">
        <v>0</v>
      </c>
      <c r="AA222" s="9" t="n">
        <v>650</v>
      </c>
      <c r="AB222" s="10" t="n">
        <v>1288</v>
      </c>
      <c r="AC222" s="10" t="n">
        <v>0</v>
      </c>
      <c r="AD222" s="10" t="n">
        <v>0</v>
      </c>
      <c r="AE222" s="10" t="n">
        <v>1288</v>
      </c>
      <c r="AF222" s="10" t="n">
        <v>0</v>
      </c>
    </row>
    <row r="223">
      <c r="A223" s="7" t="n">
        <v>274</v>
      </c>
      <c r="B223" s="8" t="inlineStr">
        <is>
          <t>ERI</t>
        </is>
      </c>
      <c r="C223" s="9" t="n">
        <v>359</v>
      </c>
      <c r="D223" s="9" t="n">
        <v>85</v>
      </c>
      <c r="E223" s="9" t="n">
        <v>1213</v>
      </c>
      <c r="F223" s="9" t="n">
        <v>0</v>
      </c>
      <c r="G223" s="9" t="n">
        <v>1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4</v>
      </c>
      <c r="N223" s="9" t="n">
        <v>0</v>
      </c>
      <c r="O223" s="9" t="n">
        <v>5</v>
      </c>
      <c r="P223" s="9" t="n">
        <v>0</v>
      </c>
      <c r="Q223" s="9" t="n">
        <v>0</v>
      </c>
      <c r="R223" s="9" t="n">
        <v>5</v>
      </c>
      <c r="S223" s="9" t="n">
        <v>0</v>
      </c>
      <c r="T223" s="9" t="n">
        <v>4</v>
      </c>
      <c r="U223" s="9" t="n">
        <v>0</v>
      </c>
      <c r="V223" s="9" t="n">
        <v>0</v>
      </c>
      <c r="W223" s="9" t="n">
        <v>0</v>
      </c>
      <c r="X223" s="9" t="n">
        <v>0</v>
      </c>
      <c r="Y223" s="9" t="n">
        <v>0</v>
      </c>
      <c r="Z223" s="9" t="n">
        <v>0</v>
      </c>
      <c r="AA223" s="9" t="n">
        <v>693</v>
      </c>
      <c r="AB223" s="10" t="n">
        <v>2369</v>
      </c>
      <c r="AC223" s="10" t="n">
        <v>0</v>
      </c>
      <c r="AD223" s="10" t="n">
        <v>0</v>
      </c>
      <c r="AE223" s="10" t="n">
        <v>2369</v>
      </c>
      <c r="AF223" s="10" t="n">
        <v>0</v>
      </c>
    </row>
    <row r="224">
      <c r="A224" s="7" t="n">
        <v>275</v>
      </c>
      <c r="B224" s="8" t="inlineStr">
        <is>
          <t>Polling Station 275</t>
        </is>
      </c>
      <c r="C224" s="9" t="n">
        <v>135</v>
      </c>
      <c r="D224" s="9" t="n">
        <v>83</v>
      </c>
      <c r="E224" s="9" t="n">
        <v>159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8</v>
      </c>
      <c r="O224" s="9" t="n">
        <v>0</v>
      </c>
      <c r="P224" s="9" t="n">
        <v>7</v>
      </c>
      <c r="Q224" s="9" t="n">
        <v>0</v>
      </c>
      <c r="R224" s="9" t="n">
        <v>0</v>
      </c>
      <c r="S224" s="9" t="n">
        <v>0</v>
      </c>
      <c r="T224" s="9" t="n">
        <v>2</v>
      </c>
      <c r="U224" s="9" t="n">
        <v>0</v>
      </c>
      <c r="V224" s="9" t="n">
        <v>0</v>
      </c>
      <c r="W224" s="9" t="n">
        <v>0</v>
      </c>
      <c r="X224" s="9" t="n">
        <v>0</v>
      </c>
      <c r="Y224" s="9" t="n">
        <v>0</v>
      </c>
      <c r="Z224" s="9" t="n">
        <v>0</v>
      </c>
      <c r="AA224" s="9" t="n">
        <v>404</v>
      </c>
      <c r="AB224" s="10" t="n">
        <v>798</v>
      </c>
      <c r="AC224" s="10" t="n">
        <v>0</v>
      </c>
      <c r="AD224" s="10" t="n">
        <v>404</v>
      </c>
      <c r="AE224" s="10" t="n">
        <v>1202</v>
      </c>
      <c r="AF224" s="10" t="n">
        <v>0</v>
      </c>
    </row>
    <row r="225">
      <c r="A225" s="7" t="n">
        <v>276</v>
      </c>
      <c r="B225" s="8" t="inlineStr">
        <is>
          <t>!</t>
        </is>
      </c>
      <c r="C225" s="9" t="n">
        <v>198</v>
      </c>
      <c r="D225" s="9" t="n">
        <v>80</v>
      </c>
      <c r="E225" s="9" t="n">
        <v>95</v>
      </c>
      <c r="F225" s="9" t="n">
        <v>0</v>
      </c>
      <c r="G225" s="9" t="n">
        <v>2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  <c r="M225" s="9" t="n">
        <v>5</v>
      </c>
      <c r="N225" s="9" t="n">
        <v>1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1</v>
      </c>
      <c r="U225" s="9" t="n">
        <v>0</v>
      </c>
      <c r="V225" s="9" t="n">
        <v>0</v>
      </c>
      <c r="W225" s="9" t="n">
        <v>0</v>
      </c>
      <c r="X225" s="9" t="n">
        <v>0</v>
      </c>
      <c r="Y225" s="9" t="n">
        <v>0</v>
      </c>
      <c r="Z225" s="9" t="n">
        <v>0</v>
      </c>
      <c r="AA225" s="9" t="n">
        <v>384</v>
      </c>
      <c r="AB225" s="10" t="n">
        <v>766</v>
      </c>
      <c r="AC225" s="10" t="n">
        <v>0</v>
      </c>
      <c r="AD225" s="10" t="n">
        <v>385</v>
      </c>
      <c r="AE225" s="10" t="n">
        <v>1151</v>
      </c>
      <c r="AF225" s="10" t="n">
        <v>0</v>
      </c>
    </row>
    <row r="226">
      <c r="A226" s="7" t="n">
        <v>277</v>
      </c>
      <c r="B226" s="8" t="inlineStr">
        <is>
          <t>Polling Station 277</t>
        </is>
      </c>
      <c r="C226" s="9" t="n">
        <v>223</v>
      </c>
      <c r="D226" s="9" t="n">
        <v>66</v>
      </c>
      <c r="E226" s="9" t="n">
        <v>253</v>
      </c>
      <c r="F226" s="9" t="n">
        <v>0</v>
      </c>
      <c r="G226" s="9" t="n">
        <v>3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9" t="n">
        <v>0</v>
      </c>
      <c r="V226" s="9" t="n">
        <v>0</v>
      </c>
      <c r="W226" s="9" t="n">
        <v>0</v>
      </c>
      <c r="X226" s="9" t="n">
        <v>20</v>
      </c>
      <c r="Y226" s="9" t="n">
        <v>0</v>
      </c>
      <c r="Z226" s="9" t="n">
        <v>0</v>
      </c>
      <c r="AA226" s="9" t="n">
        <v>0</v>
      </c>
      <c r="AB226" s="10" t="n">
        <v>565</v>
      </c>
      <c r="AC226" s="10" t="n">
        <v>3</v>
      </c>
      <c r="AD226" s="10" t="n">
        <v>0</v>
      </c>
      <c r="AE226" s="10" t="n">
        <v>568</v>
      </c>
      <c r="AF226" s="10" t="n">
        <v>0</v>
      </c>
    </row>
    <row r="227">
      <c r="A227" s="7" t="n">
        <v>279</v>
      </c>
      <c r="B227" s="8" t="inlineStr">
        <is>
          <t>|</t>
        </is>
      </c>
      <c r="C227" s="9" t="n">
        <v>194</v>
      </c>
      <c r="D227" s="9" t="n">
        <v>116</v>
      </c>
      <c r="E227" s="9" t="n">
        <v>288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5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0</v>
      </c>
      <c r="U227" s="9" t="n">
        <v>0</v>
      </c>
      <c r="V227" s="9" t="n">
        <v>0</v>
      </c>
      <c r="W227" s="9" t="n">
        <v>0</v>
      </c>
      <c r="X227" s="9" t="n">
        <v>4</v>
      </c>
      <c r="Y227" s="9" t="n">
        <v>0</v>
      </c>
      <c r="Z227" s="9" t="n">
        <v>0</v>
      </c>
      <c r="AA227" s="9" t="n">
        <v>612</v>
      </c>
      <c r="AB227" s="10" t="n">
        <v>1219</v>
      </c>
      <c r="AC227" s="10" t="n">
        <v>0</v>
      </c>
      <c r="AD227" s="10" t="n">
        <v>0</v>
      </c>
      <c r="AE227" s="10" t="n">
        <v>1219</v>
      </c>
      <c r="AF227" s="10" t="n">
        <v>0</v>
      </c>
    </row>
    <row r="228">
      <c r="A228" s="7" t="n">
        <v>280</v>
      </c>
      <c r="B228" s="8" t="inlineStr">
        <is>
          <t>Polling Station 280</t>
        </is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0</v>
      </c>
      <c r="U228" s="9" t="n">
        <v>0</v>
      </c>
      <c r="V228" s="9" t="n">
        <v>0</v>
      </c>
      <c r="W228" s="9" t="n">
        <v>0</v>
      </c>
      <c r="X228" s="9" t="n">
        <v>0</v>
      </c>
      <c r="Y228" s="9" t="n">
        <v>0</v>
      </c>
      <c r="Z228" s="9" t="n">
        <v>0</v>
      </c>
      <c r="AA228" s="9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10" t="n">
        <v>0</v>
      </c>
    </row>
    <row r="229">
      <c r="A229" s="7" t="n">
        <v>281</v>
      </c>
      <c r="B229" s="8" t="inlineStr">
        <is>
          <t>Polling Station 281</t>
        </is>
      </c>
      <c r="C229" s="9" t="n">
        <v>3</v>
      </c>
      <c r="D229" s="9" t="n">
        <v>4</v>
      </c>
      <c r="E229" s="9" t="n">
        <v>5</v>
      </c>
      <c r="F229" s="9" t="n">
        <v>6</v>
      </c>
      <c r="G229" s="9" t="n">
        <v>7</v>
      </c>
      <c r="H229" s="9" t="n">
        <v>8</v>
      </c>
      <c r="I229" s="9" t="n">
        <v>9</v>
      </c>
      <c r="J229" s="9" t="n">
        <v>10</v>
      </c>
      <c r="K229" s="9" t="n">
        <v>11</v>
      </c>
      <c r="L229" s="9" t="n">
        <v>12</v>
      </c>
      <c r="M229" s="9" t="n">
        <v>13</v>
      </c>
      <c r="N229" s="9" t="n">
        <v>14</v>
      </c>
      <c r="O229" s="9" t="n">
        <v>15</v>
      </c>
      <c r="P229" s="9" t="n">
        <v>16</v>
      </c>
      <c r="Q229" s="9" t="n">
        <v>17</v>
      </c>
      <c r="R229" s="9" t="n">
        <v>18</v>
      </c>
      <c r="S229" s="9" t="n">
        <v>19</v>
      </c>
      <c r="T229" s="9" t="n">
        <v>207</v>
      </c>
      <c r="U229" s="9" t="n">
        <v>21</v>
      </c>
      <c r="V229" s="9" t="n">
        <v>22</v>
      </c>
      <c r="W229" s="9" t="n">
        <v>23</v>
      </c>
      <c r="X229" s="9" t="n">
        <v>24</v>
      </c>
      <c r="Y229" s="9" t="n">
        <v>0</v>
      </c>
      <c r="Z229" s="9" t="n">
        <v>26</v>
      </c>
      <c r="AA229" s="9" t="n">
        <v>0</v>
      </c>
      <c r="AB229" s="10" t="n">
        <v>510</v>
      </c>
      <c r="AC229" s="10" t="n">
        <v>29</v>
      </c>
      <c r="AD229" s="10" t="n">
        <v>30</v>
      </c>
      <c r="AE229" s="10" t="n">
        <v>569</v>
      </c>
      <c r="AF229" s="10" t="n">
        <v>0</v>
      </c>
    </row>
    <row r="230">
      <c r="A230" s="7" t="n">
        <v>282</v>
      </c>
      <c r="B230" s="8" t="inlineStr">
        <is>
          <t>Polling Station 282</t>
        </is>
      </c>
      <c r="C230" s="9" t="n">
        <v>0</v>
      </c>
      <c r="D230" s="9" t="n">
        <v>73</v>
      </c>
      <c r="E230" s="9" t="n">
        <v>290</v>
      </c>
      <c r="F230" s="9" t="n">
        <v>1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1</v>
      </c>
      <c r="M230" s="9" t="n">
        <v>2</v>
      </c>
      <c r="N230" s="9" t="n">
        <v>0</v>
      </c>
      <c r="O230" s="9" t="n">
        <v>0</v>
      </c>
      <c r="P230" s="9" t="n">
        <v>5</v>
      </c>
      <c r="Q230" s="9" t="n">
        <v>2</v>
      </c>
      <c r="R230" s="9" t="n">
        <v>3</v>
      </c>
      <c r="S230" s="9" t="n">
        <v>7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1</v>
      </c>
      <c r="Z230" s="9" t="n">
        <v>0</v>
      </c>
      <c r="AA230" s="9" t="n">
        <v>552</v>
      </c>
      <c r="AB230" s="10" t="n">
        <v>937</v>
      </c>
      <c r="AC230" s="10" t="n">
        <v>0</v>
      </c>
      <c r="AD230" s="10" t="n">
        <v>0</v>
      </c>
      <c r="AE230" s="10" t="n">
        <v>937</v>
      </c>
      <c r="AF230" s="10" t="n">
        <v>0</v>
      </c>
    </row>
    <row r="231">
      <c r="A231" s="7" t="n">
        <v>283</v>
      </c>
      <c r="B231" s="8" t="inlineStr">
        <is>
          <t>Polling Station 283</t>
        </is>
      </c>
      <c r="C231" s="9" t="n">
        <v>222</v>
      </c>
      <c r="D231" s="9" t="n">
        <v>72</v>
      </c>
      <c r="E231" s="9" t="n">
        <v>253</v>
      </c>
      <c r="F231" s="9" t="n">
        <v>1</v>
      </c>
      <c r="G231" s="9" t="n">
        <v>1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4</v>
      </c>
      <c r="P231" s="9" t="n">
        <v>0</v>
      </c>
      <c r="Q231" s="9" t="n">
        <v>0</v>
      </c>
      <c r="R231" s="9" t="n">
        <v>0</v>
      </c>
      <c r="S231" s="9" t="n">
        <v>4</v>
      </c>
      <c r="T231" s="9" t="n">
        <v>0</v>
      </c>
      <c r="U231" s="9" t="n">
        <v>0</v>
      </c>
      <c r="V231" s="9" t="n">
        <v>0</v>
      </c>
      <c r="W231" s="9" t="n">
        <v>0</v>
      </c>
      <c r="X231" s="9" t="n">
        <v>1</v>
      </c>
      <c r="Y231" s="9" t="n">
        <v>0</v>
      </c>
      <c r="Z231" s="9" t="n">
        <v>0</v>
      </c>
      <c r="AA231" s="9" t="n">
        <v>556</v>
      </c>
      <c r="AB231" s="10" t="n">
        <v>1114</v>
      </c>
      <c r="AC231" s="10" t="n">
        <v>0</v>
      </c>
      <c r="AD231" s="10" t="n">
        <v>0</v>
      </c>
      <c r="AE231" s="10" t="n">
        <v>1114</v>
      </c>
      <c r="AF231" s="10" t="n">
        <v>0</v>
      </c>
    </row>
    <row r="232">
      <c r="A232" s="7" t="n">
        <v>284</v>
      </c>
      <c r="B232" s="8" t="inlineStr">
        <is>
          <t>Polling Station 284</t>
        </is>
      </c>
      <c r="C232" s="9" t="n">
        <v>403</v>
      </c>
      <c r="D232" s="9" t="n">
        <v>124</v>
      </c>
      <c r="E232" s="9" t="n">
        <v>413</v>
      </c>
      <c r="F232" s="9" t="n">
        <v>3</v>
      </c>
      <c r="G232" s="9" t="n">
        <v>8</v>
      </c>
      <c r="H232" s="9" t="n">
        <v>1</v>
      </c>
      <c r="I232" s="9" t="n">
        <v>2</v>
      </c>
      <c r="J232" s="9" t="n">
        <v>0</v>
      </c>
      <c r="K232" s="9" t="n">
        <v>0</v>
      </c>
      <c r="L232" s="9" t="n">
        <v>1</v>
      </c>
      <c r="M232" s="9" t="n">
        <v>3</v>
      </c>
      <c r="N232" s="9" t="n">
        <v>0</v>
      </c>
      <c r="O232" s="9" t="n">
        <v>0</v>
      </c>
      <c r="P232" s="9" t="n">
        <v>1</v>
      </c>
      <c r="Q232" s="9" t="n">
        <v>6</v>
      </c>
      <c r="R232" s="9" t="n">
        <v>4</v>
      </c>
      <c r="S232" s="9" t="n">
        <v>9</v>
      </c>
      <c r="T232" s="9" t="n">
        <v>0</v>
      </c>
      <c r="U232" s="9" t="n">
        <v>2</v>
      </c>
      <c r="V232" s="9" t="n">
        <v>0</v>
      </c>
      <c r="W232" s="9" t="n">
        <v>0</v>
      </c>
      <c r="X232" s="9" t="n">
        <v>0</v>
      </c>
      <c r="Y232" s="9" t="n">
        <v>0</v>
      </c>
      <c r="Z232" s="9" t="n">
        <v>0</v>
      </c>
      <c r="AA232" s="9" t="n">
        <v>984</v>
      </c>
      <c r="AB232" s="10" t="n">
        <v>1964</v>
      </c>
      <c r="AC232" s="10" t="n">
        <v>10</v>
      </c>
      <c r="AD232" s="10" t="n">
        <v>0</v>
      </c>
      <c r="AE232" s="10" t="n">
        <v>1974</v>
      </c>
      <c r="AF232" s="10" t="n">
        <v>0</v>
      </c>
    </row>
    <row r="233">
      <c r="A233" s="7" t="n">
        <v>285</v>
      </c>
      <c r="B233" s="8" t="inlineStr">
        <is>
          <t>Polling Station 285</t>
        </is>
      </c>
      <c r="C233" s="9" t="n">
        <v>145</v>
      </c>
      <c r="D233" s="9" t="n">
        <v>59</v>
      </c>
      <c r="E233" s="9" t="n">
        <v>139</v>
      </c>
      <c r="F233" s="9" t="n">
        <v>2</v>
      </c>
      <c r="G233" s="9" t="n">
        <v>1</v>
      </c>
      <c r="H233" s="9" t="n">
        <v>1</v>
      </c>
      <c r="I233" s="9" t="n">
        <v>0</v>
      </c>
      <c r="J233" s="9" t="n">
        <v>1</v>
      </c>
      <c r="K233" s="9" t="n">
        <v>0</v>
      </c>
      <c r="L233" s="9" t="n">
        <v>0</v>
      </c>
      <c r="M233" s="9" t="n">
        <v>0</v>
      </c>
      <c r="N233" s="9" t="n">
        <v>1</v>
      </c>
      <c r="O233" s="9" t="n">
        <v>0</v>
      </c>
      <c r="P233" s="9" t="n">
        <v>0</v>
      </c>
      <c r="Q233" s="9" t="n">
        <v>2</v>
      </c>
      <c r="R233" s="9" t="n">
        <v>8</v>
      </c>
      <c r="S233" s="9" t="n">
        <v>6</v>
      </c>
      <c r="T233" s="9" t="n">
        <v>0</v>
      </c>
      <c r="U233" s="9" t="n">
        <v>0</v>
      </c>
      <c r="V233" s="9" t="n">
        <v>0</v>
      </c>
      <c r="W233" s="9" t="n">
        <v>0</v>
      </c>
      <c r="X233" s="9" t="n">
        <v>0</v>
      </c>
      <c r="Y233" s="9" t="n">
        <v>0</v>
      </c>
      <c r="Z233" s="9" t="n">
        <v>0</v>
      </c>
      <c r="AA233" s="9" t="n">
        <v>367</v>
      </c>
      <c r="AB233" s="10" t="n">
        <v>732</v>
      </c>
      <c r="AC233" s="10" t="n">
        <v>0</v>
      </c>
      <c r="AD233" s="10" t="n">
        <v>368</v>
      </c>
      <c r="AE233" s="10" t="n">
        <v>1100</v>
      </c>
      <c r="AF233" s="10" t="n">
        <v>0</v>
      </c>
    </row>
    <row r="234">
      <c r="A234" s="7" t="n">
        <v>286</v>
      </c>
      <c r="B234" s="8" t="inlineStr">
        <is>
          <t>Polling Station 286</t>
        </is>
      </c>
      <c r="C234" s="9" t="n">
        <v>224</v>
      </c>
      <c r="D234" s="9" t="n">
        <v>156</v>
      </c>
      <c r="E234" s="9" t="n">
        <v>262</v>
      </c>
      <c r="F234" s="9" t="n">
        <v>1</v>
      </c>
      <c r="G234" s="9" t="n">
        <v>9</v>
      </c>
      <c r="H234" s="9" t="n">
        <v>1</v>
      </c>
      <c r="I234" s="9" t="n">
        <v>3</v>
      </c>
      <c r="J234" s="9" t="n">
        <v>0</v>
      </c>
      <c r="K234" s="9" t="n">
        <v>2</v>
      </c>
      <c r="L234" s="9" t="n">
        <v>0</v>
      </c>
      <c r="M234" s="9" t="n">
        <v>1</v>
      </c>
      <c r="N234" s="9" t="n">
        <v>2</v>
      </c>
      <c r="O234" s="9" t="n">
        <v>2</v>
      </c>
      <c r="P234" s="9" t="n">
        <v>1</v>
      </c>
      <c r="Q234" s="9" t="n">
        <v>1</v>
      </c>
      <c r="R234" s="9" t="n">
        <v>1</v>
      </c>
      <c r="S234" s="9" t="n">
        <v>8</v>
      </c>
      <c r="T234" s="9" t="n">
        <v>0</v>
      </c>
      <c r="U234" s="9" t="n">
        <v>0</v>
      </c>
      <c r="V234" s="9" t="n">
        <v>0</v>
      </c>
      <c r="W234" s="9" t="n">
        <v>0</v>
      </c>
      <c r="X234" s="9" t="n">
        <v>3</v>
      </c>
      <c r="Y234" s="9" t="n">
        <v>0</v>
      </c>
      <c r="Z234" s="9" t="n">
        <v>0</v>
      </c>
      <c r="AA234" s="9" t="n">
        <v>678</v>
      </c>
      <c r="AB234" s="10" t="n">
        <v>1355</v>
      </c>
      <c r="AC234" s="10" t="n">
        <v>4</v>
      </c>
      <c r="AD234" s="10" t="n">
        <v>0</v>
      </c>
      <c r="AE234" s="10" t="n">
        <v>1359</v>
      </c>
      <c r="AF234" s="10" t="n">
        <v>0</v>
      </c>
    </row>
    <row r="235">
      <c r="A235" s="7" t="n">
        <v>287</v>
      </c>
      <c r="B235" s="8" t="inlineStr">
        <is>
          <t>Polling Station 287</t>
        </is>
      </c>
      <c r="C235" s="9" t="n">
        <v>212</v>
      </c>
      <c r="D235" s="9" t="n">
        <v>111</v>
      </c>
      <c r="E235" s="9" t="n">
        <v>161</v>
      </c>
      <c r="F235" s="9" t="n">
        <v>1</v>
      </c>
      <c r="G235" s="9" t="n">
        <v>4</v>
      </c>
      <c r="H235" s="9" t="n">
        <v>1</v>
      </c>
      <c r="I235" s="9" t="n">
        <v>0</v>
      </c>
      <c r="J235" s="9" t="n">
        <v>0</v>
      </c>
      <c r="K235" s="9" t="n">
        <v>1</v>
      </c>
      <c r="L235" s="9" t="n">
        <v>0</v>
      </c>
      <c r="M235" s="9" t="n">
        <v>2</v>
      </c>
      <c r="N235" s="9" t="n">
        <v>0</v>
      </c>
      <c r="O235" s="9" t="n">
        <v>0</v>
      </c>
      <c r="P235" s="9" t="n">
        <v>2</v>
      </c>
      <c r="Q235" s="9" t="n">
        <v>0</v>
      </c>
      <c r="R235" s="9" t="n">
        <v>2</v>
      </c>
      <c r="S235" s="9" t="n">
        <v>13</v>
      </c>
      <c r="T235" s="9" t="n">
        <v>1</v>
      </c>
      <c r="U235" s="9" t="n">
        <v>1</v>
      </c>
      <c r="V235" s="9" t="n">
        <v>1</v>
      </c>
      <c r="W235" s="9" t="n">
        <v>0</v>
      </c>
      <c r="X235" s="9" t="n">
        <v>0</v>
      </c>
      <c r="Y235" s="9" t="n">
        <v>0</v>
      </c>
      <c r="Z235" s="9" t="n">
        <v>0</v>
      </c>
      <c r="AA235" s="9" t="n">
        <v>513</v>
      </c>
      <c r="AB235" s="10" t="n">
        <v>1026</v>
      </c>
      <c r="AC235" s="10" t="n">
        <v>0</v>
      </c>
      <c r="AD235" s="10" t="n">
        <v>0</v>
      </c>
      <c r="AE235" s="10" t="n">
        <v>1026</v>
      </c>
      <c r="AF235" s="10" t="n">
        <v>0</v>
      </c>
    </row>
    <row r="236">
      <c r="A236" s="7" t="n">
        <v>288</v>
      </c>
      <c r="B236" s="8" t="inlineStr">
        <is>
          <t>Polling Station 288</t>
        </is>
      </c>
      <c r="C236" s="9" t="n">
        <v>259</v>
      </c>
      <c r="D236" s="9" t="n">
        <v>91</v>
      </c>
      <c r="E236" s="9" t="n">
        <v>241</v>
      </c>
      <c r="F236" s="9" t="n">
        <v>2</v>
      </c>
      <c r="G236" s="9" t="n">
        <v>4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0</v>
      </c>
      <c r="R236" s="9" t="n">
        <v>0</v>
      </c>
      <c r="S236" s="9" t="n">
        <v>4</v>
      </c>
      <c r="T236" s="9" t="n">
        <v>0</v>
      </c>
      <c r="U236" s="9" t="n">
        <v>1</v>
      </c>
      <c r="V236" s="9" t="n">
        <v>0</v>
      </c>
      <c r="W236" s="9" t="n">
        <v>0</v>
      </c>
      <c r="X236" s="9" t="n">
        <v>0</v>
      </c>
      <c r="Y236" s="9" t="n">
        <v>0</v>
      </c>
      <c r="Z236" s="9" t="n">
        <v>0</v>
      </c>
      <c r="AA236" s="9" t="n">
        <v>599</v>
      </c>
      <c r="AB236" s="10" t="n">
        <v>1201</v>
      </c>
      <c r="AC236" s="10" t="n">
        <v>4</v>
      </c>
      <c r="AD236" s="10" t="n">
        <v>0</v>
      </c>
      <c r="AE236" s="10" t="n">
        <v>1205</v>
      </c>
      <c r="AF236" s="10" t="n">
        <v>0</v>
      </c>
    </row>
    <row r="237">
      <c r="A237" s="7" t="n">
        <v>289</v>
      </c>
      <c r="B237" s="8" t="inlineStr">
        <is>
          <t>Polling Station 289</t>
        </is>
      </c>
      <c r="C237" s="9" t="n">
        <v>166</v>
      </c>
      <c r="D237" s="9" t="n">
        <v>73</v>
      </c>
      <c r="E237" s="9" t="n">
        <v>111</v>
      </c>
      <c r="F237" s="9" t="n">
        <v>1</v>
      </c>
      <c r="G237" s="9" t="n">
        <v>4</v>
      </c>
      <c r="H237" s="9" t="n">
        <v>0</v>
      </c>
      <c r="I237" s="9" t="n">
        <v>0</v>
      </c>
      <c r="J237" s="9" t="n">
        <v>0</v>
      </c>
      <c r="K237" s="9" t="n">
        <v>1</v>
      </c>
      <c r="L237" s="9" t="n">
        <v>1</v>
      </c>
      <c r="M237" s="9" t="n">
        <v>0</v>
      </c>
      <c r="N237" s="9" t="n">
        <v>0</v>
      </c>
      <c r="O237" s="9" t="n">
        <v>0</v>
      </c>
      <c r="P237" s="9" t="n">
        <v>1</v>
      </c>
      <c r="Q237" s="9" t="n">
        <v>1</v>
      </c>
      <c r="R237" s="9" t="n">
        <v>2</v>
      </c>
      <c r="S237" s="9" t="n">
        <v>11</v>
      </c>
      <c r="T237" s="9" t="n">
        <v>0</v>
      </c>
      <c r="U237" s="9" t="n">
        <v>0</v>
      </c>
      <c r="V237" s="9" t="n">
        <v>0</v>
      </c>
      <c r="W237" s="9" t="n">
        <v>0</v>
      </c>
      <c r="X237" s="9" t="n">
        <v>0</v>
      </c>
      <c r="Y237" s="9" t="n">
        <v>1</v>
      </c>
      <c r="Z237" s="9" t="n">
        <v>0</v>
      </c>
      <c r="AA237" s="9" t="n">
        <v>374</v>
      </c>
      <c r="AB237" s="10" t="n">
        <v>747</v>
      </c>
      <c r="AC237" s="10" t="n">
        <v>1</v>
      </c>
      <c r="AD237" s="10" t="n">
        <v>374</v>
      </c>
      <c r="AE237" s="10" t="n">
        <v>1122</v>
      </c>
      <c r="AF237" s="10" t="n">
        <v>0</v>
      </c>
    </row>
    <row r="238">
      <c r="A238" s="7" t="n">
        <v>290</v>
      </c>
      <c r="B238" s="8" t="inlineStr">
        <is>
          <t>Polling Station 290</t>
        </is>
      </c>
      <c r="C238" s="9" t="n">
        <v>104</v>
      </c>
      <c r="D238" s="9" t="n">
        <v>78</v>
      </c>
      <c r="E238" s="9" t="n">
        <v>80</v>
      </c>
      <c r="F238" s="9" t="n">
        <v>1</v>
      </c>
      <c r="G238" s="9" t="n">
        <v>4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2</v>
      </c>
      <c r="O238" s="9" t="n">
        <v>1</v>
      </c>
      <c r="P238" s="9" t="n">
        <v>0</v>
      </c>
      <c r="Q238" s="9" t="n">
        <v>2</v>
      </c>
      <c r="R238" s="9" t="n">
        <v>0</v>
      </c>
      <c r="S238" s="9" t="n">
        <v>5</v>
      </c>
      <c r="T238" s="9" t="n">
        <v>2</v>
      </c>
      <c r="U238" s="9" t="n">
        <v>2</v>
      </c>
      <c r="V238" s="9" t="n">
        <v>0</v>
      </c>
      <c r="W238" s="9" t="n">
        <v>0</v>
      </c>
      <c r="X238" s="9" t="n">
        <v>0</v>
      </c>
      <c r="Y238" s="9" t="n">
        <v>0</v>
      </c>
      <c r="Z238" s="9" t="n">
        <v>0</v>
      </c>
      <c r="AA238" s="9" t="n">
        <v>284</v>
      </c>
      <c r="AB238" s="10" t="n">
        <v>565</v>
      </c>
      <c r="AC238" s="10" t="n">
        <v>3</v>
      </c>
      <c r="AD238" s="10" t="n">
        <v>287</v>
      </c>
      <c r="AE238" s="10" t="n">
        <v>855</v>
      </c>
      <c r="AF238" s="10" t="n">
        <v>0</v>
      </c>
    </row>
    <row r="239">
      <c r="A239" s="7" t="n">
        <v>291</v>
      </c>
      <c r="B239" s="8" t="inlineStr">
        <is>
          <t>Polling Station 291</t>
        </is>
      </c>
      <c r="C239" s="9" t="n">
        <v>178</v>
      </c>
      <c r="D239" s="9" t="n">
        <v>81</v>
      </c>
      <c r="E239" s="9" t="n">
        <v>111</v>
      </c>
      <c r="F239" s="9" t="n">
        <v>0</v>
      </c>
      <c r="G239" s="9" t="n">
        <v>2</v>
      </c>
      <c r="H239" s="9" t="n">
        <v>1</v>
      </c>
      <c r="I239" s="9" t="n">
        <v>0</v>
      </c>
      <c r="J239" s="9" t="n">
        <v>0</v>
      </c>
      <c r="K239" s="9" t="n">
        <v>1</v>
      </c>
      <c r="L239" s="9" t="n">
        <v>0</v>
      </c>
      <c r="M239" s="9" t="n">
        <v>1</v>
      </c>
      <c r="N239" s="9" t="n">
        <v>0</v>
      </c>
      <c r="O239" s="9" t="n">
        <v>1</v>
      </c>
      <c r="P239" s="9" t="n">
        <v>0</v>
      </c>
      <c r="Q239" s="9" t="n">
        <v>4</v>
      </c>
      <c r="R239" s="9" t="n">
        <v>2</v>
      </c>
      <c r="S239" s="9" t="n">
        <v>6</v>
      </c>
      <c r="T239" s="9" t="n">
        <v>3</v>
      </c>
      <c r="U239" s="9" t="n">
        <v>0</v>
      </c>
      <c r="V239" s="9" t="n">
        <v>0</v>
      </c>
      <c r="W239" s="9" t="n">
        <v>1</v>
      </c>
      <c r="X239" s="9" t="n">
        <v>0</v>
      </c>
      <c r="Y239" s="9" t="n">
        <v>0</v>
      </c>
      <c r="Z239" s="9" t="n">
        <v>1</v>
      </c>
      <c r="AA239" s="9" t="n">
        <v>395</v>
      </c>
      <c r="AB239" s="10" t="n">
        <v>788</v>
      </c>
      <c r="AC239" s="10" t="n">
        <v>9</v>
      </c>
      <c r="AD239" s="10" t="n">
        <v>404</v>
      </c>
      <c r="AE239" s="10" t="n">
        <v>1201</v>
      </c>
      <c r="AF239" s="10" t="n">
        <v>0</v>
      </c>
    </row>
    <row r="240">
      <c r="A240" s="7" t="n">
        <v>293</v>
      </c>
      <c r="B240" s="8" t="inlineStr">
        <is>
          <t>/A]</t>
        </is>
      </c>
      <c r="C240" s="9" t="n">
        <v>181</v>
      </c>
      <c r="D240" s="9" t="n">
        <v>67</v>
      </c>
      <c r="E240" s="9" t="n">
        <v>134</v>
      </c>
      <c r="F240" s="9" t="n">
        <v>0</v>
      </c>
      <c r="G240" s="9" t="n">
        <v>2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2</v>
      </c>
      <c r="R240" s="9" t="n">
        <v>1</v>
      </c>
      <c r="S240" s="9" t="n">
        <v>4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  <c r="Z240" s="9" t="n">
        <v>0</v>
      </c>
      <c r="AA240" s="9" t="n">
        <v>392</v>
      </c>
      <c r="AB240" s="10" t="n">
        <v>783</v>
      </c>
      <c r="AC240" s="10" t="n">
        <v>6</v>
      </c>
      <c r="AD240" s="10" t="n">
        <v>398</v>
      </c>
      <c r="AE240" s="10" t="n">
        <v>1187</v>
      </c>
      <c r="AF240" s="10" t="n">
        <v>4</v>
      </c>
    </row>
    <row r="241">
      <c r="A241" s="7" t="n">
        <v>294</v>
      </c>
      <c r="B241" s="8" t="inlineStr">
        <is>
          <t>Polling Station 294</t>
        </is>
      </c>
      <c r="C241" s="9" t="n">
        <v>374</v>
      </c>
      <c r="D241" s="9" t="n">
        <v>113</v>
      </c>
      <c r="E241" s="9" t="n">
        <v>196</v>
      </c>
      <c r="F241" s="9" t="n">
        <v>1</v>
      </c>
      <c r="G241" s="9" t="n">
        <v>4</v>
      </c>
      <c r="H241" s="9" t="n">
        <v>1</v>
      </c>
      <c r="I241" s="9" t="n">
        <v>0</v>
      </c>
      <c r="J241" s="9" t="n">
        <v>1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9" t="n">
        <v>0</v>
      </c>
      <c r="Q241" s="9" t="n">
        <v>4</v>
      </c>
      <c r="R241" s="9" t="n">
        <v>3</v>
      </c>
      <c r="S241" s="9" t="n">
        <v>5</v>
      </c>
      <c r="T241" s="9" t="n">
        <v>0</v>
      </c>
      <c r="U241" s="9" t="n">
        <v>0</v>
      </c>
      <c r="V241" s="9" t="n">
        <v>0</v>
      </c>
      <c r="W241" s="9" t="n">
        <v>0</v>
      </c>
      <c r="X241" s="9" t="n">
        <v>1</v>
      </c>
      <c r="Y241" s="9" t="n">
        <v>0</v>
      </c>
      <c r="Z241" s="9" t="n">
        <v>0</v>
      </c>
      <c r="AA241" s="9" t="n">
        <v>705</v>
      </c>
      <c r="AB241" s="10" t="n">
        <v>1408</v>
      </c>
      <c r="AC241" s="10" t="n">
        <v>4</v>
      </c>
      <c r="AD241" s="10" t="n">
        <v>0</v>
      </c>
      <c r="AE241" s="10" t="n">
        <v>1412</v>
      </c>
      <c r="AF241" s="10" t="n">
        <v>0</v>
      </c>
    </row>
    <row r="242">
      <c r="A242" s="7" t="n">
        <v>295</v>
      </c>
      <c r="B242" s="8" t="inlineStr">
        <is>
          <t>Polling Station 295</t>
        </is>
      </c>
      <c r="C242" s="9" t="n">
        <v>132</v>
      </c>
      <c r="D242" s="9" t="n">
        <v>63</v>
      </c>
      <c r="E242" s="9" t="n">
        <v>70</v>
      </c>
      <c r="F242" s="9" t="n">
        <v>0</v>
      </c>
      <c r="G242" s="9" t="n">
        <v>2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1</v>
      </c>
      <c r="R242" s="9" t="n">
        <v>0</v>
      </c>
      <c r="S242" s="9" t="n">
        <v>4</v>
      </c>
      <c r="T242" s="9" t="n">
        <v>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  <c r="Z242" s="9" t="n">
        <v>1</v>
      </c>
      <c r="AA242" s="9" t="n">
        <v>273</v>
      </c>
      <c r="AB242" s="10" t="n">
        <v>546</v>
      </c>
      <c r="AC242" s="10" t="n">
        <v>0</v>
      </c>
      <c r="AD242" s="10" t="n">
        <v>273</v>
      </c>
      <c r="AE242" s="10" t="n">
        <v>819</v>
      </c>
      <c r="AF242" s="10" t="n">
        <v>0</v>
      </c>
    </row>
    <row r="243">
      <c r="A243" s="7" t="n">
        <v>296</v>
      </c>
      <c r="B243" s="8" t="inlineStr">
        <is>
          <t>Polling Station 296</t>
        </is>
      </c>
      <c r="C243" s="9" t="n">
        <v>331</v>
      </c>
      <c r="D243" s="9" t="n">
        <v>96</v>
      </c>
      <c r="E243" s="9" t="n">
        <v>100</v>
      </c>
      <c r="F243" s="9" t="n">
        <v>0</v>
      </c>
      <c r="G243" s="9" t="n">
        <v>3</v>
      </c>
      <c r="H243" s="9" t="n">
        <v>0</v>
      </c>
      <c r="I243" s="9" t="n">
        <v>0</v>
      </c>
      <c r="J243" s="9" t="n">
        <v>1</v>
      </c>
      <c r="K243" s="9" t="n">
        <v>0</v>
      </c>
      <c r="L243" s="9" t="n">
        <v>0</v>
      </c>
      <c r="M243" s="9" t="n">
        <v>4</v>
      </c>
      <c r="N243" s="9" t="n">
        <v>0</v>
      </c>
      <c r="O243" s="9" t="n">
        <v>0</v>
      </c>
      <c r="P243" s="9" t="n">
        <v>0</v>
      </c>
      <c r="Q243" s="9" t="n">
        <v>0</v>
      </c>
      <c r="R243" s="9" t="n">
        <v>4</v>
      </c>
      <c r="S243" s="9" t="n">
        <v>10</v>
      </c>
      <c r="T243" s="9" t="n">
        <v>0</v>
      </c>
      <c r="U243" s="9" t="n">
        <v>0</v>
      </c>
      <c r="V243" s="9" t="n">
        <v>0</v>
      </c>
      <c r="W243" s="9" t="n">
        <v>1</v>
      </c>
      <c r="X243" s="9" t="n">
        <v>0</v>
      </c>
      <c r="Y243" s="9" t="n">
        <v>0</v>
      </c>
      <c r="Z243" s="9" t="n">
        <v>0</v>
      </c>
      <c r="AA243" s="9" t="n">
        <v>553</v>
      </c>
      <c r="AB243" s="10" t="n">
        <v>1103</v>
      </c>
      <c r="AC243" s="10" t="n">
        <v>1</v>
      </c>
      <c r="AD243" s="10" t="n">
        <v>0</v>
      </c>
      <c r="AE243" s="10" t="n">
        <v>1104</v>
      </c>
      <c r="AF243" s="10" t="n">
        <v>0</v>
      </c>
    </row>
    <row r="244">
      <c r="A244" s="7" t="n">
        <v>297</v>
      </c>
      <c r="B244" s="8" t="inlineStr">
        <is>
          <t>Polling Station 297</t>
        </is>
      </c>
      <c r="C244" s="9" t="n">
        <v>425</v>
      </c>
      <c r="D244" s="9" t="n">
        <v>148</v>
      </c>
      <c r="E244" s="9" t="n">
        <v>159</v>
      </c>
      <c r="F244" s="9" t="n">
        <v>2</v>
      </c>
      <c r="G244" s="9" t="n">
        <v>2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4</v>
      </c>
      <c r="N244" s="9" t="n">
        <v>0</v>
      </c>
      <c r="O244" s="9" t="n">
        <v>0</v>
      </c>
      <c r="P244" s="9" t="n">
        <v>0</v>
      </c>
      <c r="Q244" s="9" t="n">
        <v>3</v>
      </c>
      <c r="R244" s="9" t="n">
        <v>5</v>
      </c>
      <c r="S244" s="9" t="n">
        <v>14</v>
      </c>
      <c r="T244" s="9" t="n">
        <v>1</v>
      </c>
      <c r="U244" s="9" t="n">
        <v>0</v>
      </c>
      <c r="V244" s="9" t="n">
        <v>0</v>
      </c>
      <c r="W244" s="9" t="n">
        <v>0</v>
      </c>
      <c r="X244" s="9" t="n">
        <v>2</v>
      </c>
      <c r="Y244" s="9" t="n">
        <v>0</v>
      </c>
      <c r="Z244" s="9" t="n">
        <v>0</v>
      </c>
      <c r="AA244" s="9" t="n">
        <v>772</v>
      </c>
      <c r="AB244" s="10" t="n">
        <v>1537</v>
      </c>
      <c r="AC244" s="10" t="n">
        <v>4</v>
      </c>
      <c r="AD244" s="10" t="n">
        <v>0</v>
      </c>
      <c r="AE244" s="10" t="n">
        <v>1541</v>
      </c>
      <c r="AF244" s="10" t="n">
        <v>0</v>
      </c>
    </row>
    <row r="245">
      <c r="A245" s="7" t="n">
        <v>299</v>
      </c>
      <c r="B245" s="8" t="inlineStr">
        <is>
          <t>Polling Station 299</t>
        </is>
      </c>
      <c r="C245" s="9" t="n">
        <v>168</v>
      </c>
      <c r="D245" s="9" t="n">
        <v>116</v>
      </c>
      <c r="E245" s="9" t="n">
        <v>87</v>
      </c>
      <c r="F245" s="9" t="n">
        <v>0</v>
      </c>
      <c r="G245" s="9" t="n">
        <v>1</v>
      </c>
      <c r="H245" s="9" t="n">
        <v>0</v>
      </c>
      <c r="I245" s="9" t="n">
        <v>0</v>
      </c>
      <c r="J245" s="9" t="n">
        <v>0</v>
      </c>
      <c r="K245" s="9" t="n">
        <v>1</v>
      </c>
      <c r="L245" s="9" t="n">
        <v>0</v>
      </c>
      <c r="M245" s="9" t="n">
        <v>0</v>
      </c>
      <c r="N245" s="9" t="n">
        <v>0</v>
      </c>
      <c r="O245" s="9" t="n">
        <v>2</v>
      </c>
      <c r="P245" s="9" t="n">
        <v>0</v>
      </c>
      <c r="Q245" s="9" t="n">
        <v>2</v>
      </c>
      <c r="R245" s="9" t="n">
        <v>2</v>
      </c>
      <c r="S245" s="9" t="n">
        <v>4</v>
      </c>
      <c r="T245" s="9" t="n">
        <v>0</v>
      </c>
      <c r="U245" s="9" t="n">
        <v>1</v>
      </c>
      <c r="V245" s="9" t="n">
        <v>0</v>
      </c>
      <c r="W245" s="9" t="n">
        <v>0</v>
      </c>
      <c r="X245" s="9" t="n">
        <v>1</v>
      </c>
      <c r="Y245" s="9" t="n">
        <v>0</v>
      </c>
      <c r="Z245" s="9" t="n">
        <v>0</v>
      </c>
      <c r="AA245" s="9" t="n">
        <v>387</v>
      </c>
      <c r="AB245" s="10" t="n">
        <v>772</v>
      </c>
      <c r="AC245" s="10" t="n">
        <v>0</v>
      </c>
      <c r="AD245" s="10" t="n">
        <v>387</v>
      </c>
      <c r="AE245" s="10" t="n">
        <v>1159</v>
      </c>
      <c r="AF245" s="10" t="n">
        <v>0</v>
      </c>
    </row>
    <row r="246">
      <c r="A246" s="7" t="n">
        <v>300</v>
      </c>
      <c r="B246" s="8" t="inlineStr">
        <is>
          <t>)</t>
        </is>
      </c>
      <c r="C246" s="9" t="n">
        <v>263</v>
      </c>
      <c r="D246" s="9" t="n">
        <v>114</v>
      </c>
      <c r="E246" s="9" t="n">
        <v>61</v>
      </c>
      <c r="F246" s="9" t="n">
        <v>1</v>
      </c>
      <c r="G246" s="9" t="n">
        <v>1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0</v>
      </c>
      <c r="Q246" s="9" t="n">
        <v>2</v>
      </c>
      <c r="R246" s="9" t="n">
        <v>2</v>
      </c>
      <c r="S246" s="9" t="n">
        <v>8</v>
      </c>
      <c r="T246" s="9" t="n">
        <v>1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  <c r="Z246" s="9" t="n">
        <v>0</v>
      </c>
      <c r="AA246" s="9" t="n">
        <v>454</v>
      </c>
      <c r="AB246" s="10" t="n">
        <v>907</v>
      </c>
      <c r="AC246" s="10" t="n">
        <v>1</v>
      </c>
      <c r="AD246" s="10" t="n">
        <v>455</v>
      </c>
      <c r="AE246" s="10" t="n">
        <v>1363</v>
      </c>
      <c r="AF246" s="10" t="n">
        <v>0</v>
      </c>
    </row>
    <row r="247">
      <c r="A247" s="7" t="n">
        <v>301</v>
      </c>
      <c r="B247" s="8" t="inlineStr">
        <is>
          <t>Polling Station 301</t>
        </is>
      </c>
      <c r="C247" s="9" t="n">
        <v>209</v>
      </c>
      <c r="D247" s="9" t="n">
        <v>76</v>
      </c>
      <c r="E247" s="9" t="n">
        <v>187</v>
      </c>
      <c r="F247" s="9" t="n">
        <v>0</v>
      </c>
      <c r="G247" s="9" t="n">
        <v>3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2</v>
      </c>
      <c r="P247" s="9" t="n">
        <v>0</v>
      </c>
      <c r="Q247" s="9" t="n">
        <v>0</v>
      </c>
      <c r="R247" s="9" t="n">
        <v>1</v>
      </c>
      <c r="S247" s="9" t="n">
        <v>3</v>
      </c>
      <c r="T247" s="9" t="n">
        <v>2</v>
      </c>
      <c r="U247" s="9" t="n">
        <v>3</v>
      </c>
      <c r="V247" s="9" t="n">
        <v>0</v>
      </c>
      <c r="W247" s="9" t="n">
        <v>1</v>
      </c>
      <c r="X247" s="9" t="n">
        <v>0</v>
      </c>
      <c r="Y247" s="9" t="n">
        <v>0</v>
      </c>
      <c r="Z247" s="9" t="n">
        <v>0</v>
      </c>
      <c r="AA247" s="9" t="n">
        <v>488</v>
      </c>
      <c r="AB247" s="10" t="n">
        <v>975</v>
      </c>
      <c r="AC247" s="10" t="n">
        <v>3</v>
      </c>
      <c r="AD247" s="10" t="n">
        <v>491</v>
      </c>
      <c r="AE247" s="10" t="n">
        <v>1469</v>
      </c>
      <c r="AF247" s="10" t="n">
        <v>0</v>
      </c>
    </row>
    <row r="248">
      <c r="A248" s="7" t="n">
        <v>302</v>
      </c>
      <c r="B248" s="8" t="inlineStr">
        <is>
          <t>Polling Station 302</t>
        </is>
      </c>
      <c r="C248" s="9" t="n">
        <v>193</v>
      </c>
      <c r="D248" s="9" t="n">
        <v>94</v>
      </c>
      <c r="E248" s="9" t="n">
        <v>201</v>
      </c>
      <c r="F248" s="9" t="n">
        <v>1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1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1</v>
      </c>
      <c r="S248" s="9" t="n">
        <v>7</v>
      </c>
      <c r="T248" s="9" t="n">
        <v>5</v>
      </c>
      <c r="U248" s="9" t="n">
        <v>2</v>
      </c>
      <c r="V248" s="9" t="n">
        <v>0</v>
      </c>
      <c r="W248" s="9" t="n">
        <v>2</v>
      </c>
      <c r="X248" s="9" t="n">
        <v>0</v>
      </c>
      <c r="Y248" s="9" t="n">
        <v>0</v>
      </c>
      <c r="Z248" s="9" t="n">
        <v>0</v>
      </c>
      <c r="AA248" s="9" t="n">
        <v>508</v>
      </c>
      <c r="AB248" s="10" t="n">
        <v>1015</v>
      </c>
      <c r="AC248" s="10" t="n">
        <v>5</v>
      </c>
      <c r="AD248" s="10" t="n">
        <v>0</v>
      </c>
      <c r="AE248" s="10" t="n">
        <v>1020</v>
      </c>
      <c r="AF248" s="10" t="n">
        <v>0</v>
      </c>
    </row>
    <row r="249">
      <c r="A249" s="7" t="n">
        <v>304</v>
      </c>
      <c r="B249" s="8" t="inlineStr">
        <is>
          <t>)</t>
        </is>
      </c>
      <c r="C249" s="9" t="n">
        <v>228</v>
      </c>
      <c r="D249" s="9" t="n">
        <v>98</v>
      </c>
      <c r="E249" s="9" t="n">
        <v>221</v>
      </c>
      <c r="F249" s="9" t="n">
        <v>3</v>
      </c>
      <c r="G249" s="9" t="n">
        <v>6</v>
      </c>
      <c r="H249" s="9" t="n">
        <v>2</v>
      </c>
      <c r="I249" s="9" t="n">
        <v>0</v>
      </c>
      <c r="J249" s="9" t="n">
        <v>1</v>
      </c>
      <c r="K249" s="9" t="n">
        <v>0</v>
      </c>
      <c r="L249" s="9" t="n">
        <v>0</v>
      </c>
      <c r="M249" s="9" t="n">
        <v>1</v>
      </c>
      <c r="N249" s="9" t="n">
        <v>1</v>
      </c>
      <c r="O249" s="9" t="n">
        <v>2</v>
      </c>
      <c r="P249" s="9" t="n">
        <v>0</v>
      </c>
      <c r="Q249" s="9" t="n">
        <v>2</v>
      </c>
      <c r="R249" s="9" t="n">
        <v>5</v>
      </c>
      <c r="S249" s="9" t="n">
        <v>11</v>
      </c>
      <c r="T249" s="9" t="n">
        <v>0</v>
      </c>
      <c r="U249" s="9" t="n">
        <v>0</v>
      </c>
      <c r="V249" s="9" t="n">
        <v>0</v>
      </c>
      <c r="W249" s="9" t="n">
        <v>0</v>
      </c>
      <c r="X249" s="9" t="n">
        <v>0</v>
      </c>
      <c r="Y249" s="9" t="n">
        <v>0</v>
      </c>
      <c r="Z249" s="9" t="n">
        <v>0</v>
      </c>
      <c r="AA249" s="9" t="n">
        <v>587</v>
      </c>
      <c r="AB249" s="10" t="n">
        <v>1168</v>
      </c>
      <c r="AC249" s="10" t="n">
        <v>4</v>
      </c>
      <c r="AD249" s="10" t="n">
        <v>0</v>
      </c>
      <c r="AE249" s="10" t="n">
        <v>1172</v>
      </c>
      <c r="AF249" s="10" t="n">
        <v>0</v>
      </c>
    </row>
    <row r="250">
      <c r="A250" s="7" t="n">
        <v>305</v>
      </c>
      <c r="B250" s="8" t="inlineStr">
        <is>
          <t>Polling Station 305</t>
        </is>
      </c>
      <c r="C250" s="9" t="n">
        <v>230</v>
      </c>
      <c r="D250" s="9" t="n">
        <v>97</v>
      </c>
      <c r="E250" s="9" t="n">
        <v>0</v>
      </c>
      <c r="F250" s="9" t="n">
        <v>1</v>
      </c>
      <c r="G250" s="9" t="n">
        <v>6</v>
      </c>
      <c r="H250" s="9" t="n">
        <v>0</v>
      </c>
      <c r="I250" s="9" t="n">
        <v>0</v>
      </c>
      <c r="J250" s="9" t="n">
        <v>1</v>
      </c>
      <c r="K250" s="9" t="n">
        <v>0</v>
      </c>
      <c r="L250" s="9" t="n">
        <v>0</v>
      </c>
      <c r="M250" s="9" t="n">
        <v>1</v>
      </c>
      <c r="N250" s="9" t="n">
        <v>0</v>
      </c>
      <c r="O250" s="9" t="n">
        <v>0</v>
      </c>
      <c r="P250" s="9" t="n">
        <v>0</v>
      </c>
      <c r="Q250" s="9" t="n">
        <v>4</v>
      </c>
      <c r="R250" s="9" t="n">
        <v>2</v>
      </c>
      <c r="S250" s="9" t="n">
        <v>6</v>
      </c>
      <c r="T250" s="9" t="n">
        <v>1</v>
      </c>
      <c r="U250" s="9" t="n">
        <v>1</v>
      </c>
      <c r="V250" s="9" t="n">
        <v>0</v>
      </c>
      <c r="W250" s="9" t="n">
        <v>1</v>
      </c>
      <c r="X250" s="9" t="n">
        <v>1</v>
      </c>
      <c r="Y250" s="9" t="n">
        <v>0</v>
      </c>
      <c r="Z250" s="9" t="n">
        <v>0</v>
      </c>
      <c r="AA250" s="9" t="n">
        <v>568</v>
      </c>
      <c r="AB250" s="10" t="n">
        <v>920</v>
      </c>
      <c r="AC250" s="10" t="n">
        <v>1</v>
      </c>
      <c r="AD250" s="10" t="n">
        <v>0</v>
      </c>
      <c r="AE250" s="10" t="n">
        <v>921</v>
      </c>
      <c r="AF250" s="10" t="n">
        <v>0</v>
      </c>
    </row>
    <row r="251">
      <c r="A251" s="7" t="n">
        <v>307</v>
      </c>
      <c r="B251" s="8" t="inlineStr">
        <is>
          <t>)</t>
        </is>
      </c>
      <c r="C251" s="9" t="n">
        <v>263</v>
      </c>
      <c r="D251" s="9" t="n">
        <v>110</v>
      </c>
      <c r="E251" s="9" t="n">
        <v>269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1</v>
      </c>
      <c r="P251" s="9" t="n">
        <v>1</v>
      </c>
      <c r="Q251" s="9" t="n">
        <v>2</v>
      </c>
      <c r="R251" s="9" t="n">
        <v>1</v>
      </c>
      <c r="S251" s="9" t="n">
        <v>4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</v>
      </c>
      <c r="Y251" s="9" t="n">
        <v>0</v>
      </c>
      <c r="Z251" s="9" t="n">
        <v>0</v>
      </c>
      <c r="AA251" s="9" t="n">
        <v>663</v>
      </c>
      <c r="AB251" s="10" t="n">
        <v>1314</v>
      </c>
      <c r="AC251" s="10" t="n">
        <v>3</v>
      </c>
      <c r="AD251" s="10" t="n">
        <v>0</v>
      </c>
      <c r="AE251" s="10" t="n">
        <v>1317</v>
      </c>
      <c r="AF251" s="10" t="n">
        <v>0</v>
      </c>
    </row>
    <row r="252">
      <c r="A252" s="7" t="n">
        <v>308</v>
      </c>
      <c r="B252" s="8" t="inlineStr">
        <is>
          <t>)</t>
        </is>
      </c>
      <c r="C252" s="9" t="n">
        <v>300</v>
      </c>
      <c r="D252" s="9" t="n">
        <v>130</v>
      </c>
      <c r="E252" s="9" t="n">
        <v>322</v>
      </c>
      <c r="F252" s="9" t="n">
        <v>0</v>
      </c>
      <c r="G252" s="9" t="n">
        <v>0</v>
      </c>
      <c r="H252" s="9" t="n">
        <v>33</v>
      </c>
      <c r="I252" s="9" t="n">
        <v>0</v>
      </c>
      <c r="J252" s="9" t="n">
        <v>0</v>
      </c>
      <c r="K252" s="9" t="n">
        <v>0</v>
      </c>
      <c r="L252" s="9" t="n">
        <v>55</v>
      </c>
      <c r="M252" s="9" t="n">
        <v>2</v>
      </c>
      <c r="N252" s="9" t="n">
        <v>2</v>
      </c>
      <c r="O252" s="9" t="n">
        <v>0</v>
      </c>
      <c r="P252" s="9" t="n">
        <v>0</v>
      </c>
      <c r="Q252" s="9" t="n">
        <v>0</v>
      </c>
      <c r="R252" s="9" t="n">
        <v>3</v>
      </c>
      <c r="S252" s="9" t="n">
        <v>11</v>
      </c>
      <c r="T252" s="9" t="n">
        <v>4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0</v>
      </c>
      <c r="Z252" s="9" t="n">
        <v>0</v>
      </c>
      <c r="AA252" s="9" t="n">
        <v>781</v>
      </c>
      <c r="AB252" s="10" t="n">
        <v>1643</v>
      </c>
      <c r="AC252" s="10" t="n">
        <v>0</v>
      </c>
      <c r="AD252" s="10" t="n">
        <v>0</v>
      </c>
      <c r="AE252" s="10" t="n">
        <v>1643</v>
      </c>
      <c r="AF252" s="10" t="n">
        <v>0</v>
      </c>
    </row>
    <row r="253">
      <c r="A253" s="7" t="n">
        <v>309</v>
      </c>
      <c r="B253" s="8" t="inlineStr">
        <is>
          <t>,</t>
        </is>
      </c>
      <c r="C253" s="9" t="n">
        <v>152</v>
      </c>
      <c r="D253" s="9" t="n">
        <v>90</v>
      </c>
      <c r="E253" s="9" t="n">
        <v>141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2</v>
      </c>
      <c r="Q253" s="9" t="n">
        <v>4</v>
      </c>
      <c r="R253" s="9" t="n">
        <v>5</v>
      </c>
      <c r="S253" s="9" t="n">
        <v>8</v>
      </c>
      <c r="T253" s="9" t="n">
        <v>1</v>
      </c>
      <c r="U253" s="9" t="n">
        <v>0</v>
      </c>
      <c r="V253" s="9" t="n">
        <v>0</v>
      </c>
      <c r="W253" s="9" t="n">
        <v>0</v>
      </c>
      <c r="X253" s="9" t="n">
        <v>0</v>
      </c>
      <c r="Y253" s="9" t="n">
        <v>0</v>
      </c>
      <c r="Z253" s="9" t="n">
        <v>1</v>
      </c>
      <c r="AA253" s="9" t="n">
        <v>408</v>
      </c>
      <c r="AB253" s="10" t="n">
        <v>812</v>
      </c>
      <c r="AC253" s="10" t="n">
        <v>4</v>
      </c>
      <c r="AD253" s="10" t="n">
        <v>412</v>
      </c>
      <c r="AE253" s="10" t="n">
        <v>1228</v>
      </c>
      <c r="AF253" s="10" t="n">
        <v>0</v>
      </c>
    </row>
    <row r="254">
      <c r="A254" s="7" t="n">
        <v>310</v>
      </c>
      <c r="B254" s="8" t="inlineStr">
        <is>
          <t>)</t>
        </is>
      </c>
      <c r="C254" s="9" t="n">
        <v>71</v>
      </c>
      <c r="D254" s="9" t="n">
        <v>40</v>
      </c>
      <c r="E254" s="9" t="n">
        <v>138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Q254" s="9" t="n">
        <v>2</v>
      </c>
      <c r="R254" s="9" t="n">
        <v>1</v>
      </c>
      <c r="S254" s="9" t="n">
        <v>1</v>
      </c>
      <c r="T254" s="9" t="n">
        <v>0</v>
      </c>
      <c r="U254" s="9" t="n">
        <v>0</v>
      </c>
      <c r="V254" s="9" t="n">
        <v>0</v>
      </c>
      <c r="W254" s="9" t="n">
        <v>0</v>
      </c>
      <c r="X254" s="9" t="n">
        <v>1</v>
      </c>
      <c r="Y254" s="9" t="n">
        <v>0</v>
      </c>
      <c r="Z254" s="9" t="n">
        <v>0</v>
      </c>
      <c r="AA254" s="9" t="n">
        <v>256</v>
      </c>
      <c r="AB254" s="10" t="n">
        <v>510</v>
      </c>
      <c r="AC254" s="10" t="n">
        <v>0</v>
      </c>
      <c r="AD254" s="10" t="n">
        <v>257</v>
      </c>
      <c r="AE254" s="10" t="n">
        <v>767</v>
      </c>
      <c r="AF254" s="10" t="n">
        <v>0</v>
      </c>
    </row>
    <row r="255">
      <c r="A255" s="7" t="n">
        <v>311</v>
      </c>
      <c r="B255" s="8" t="inlineStr">
        <is>
          <t>Polling Station 311</t>
        </is>
      </c>
      <c r="C255" s="9" t="n">
        <v>259</v>
      </c>
      <c r="D255" s="9" t="n">
        <v>105</v>
      </c>
      <c r="E255" s="9" t="n">
        <v>246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1</v>
      </c>
      <c r="N255" s="9" t="n">
        <v>0</v>
      </c>
      <c r="O255" s="9" t="n">
        <v>0</v>
      </c>
      <c r="P255" s="9" t="n">
        <v>0</v>
      </c>
      <c r="Q255" s="9" t="n">
        <v>0</v>
      </c>
      <c r="R255" s="9" t="n">
        <v>1</v>
      </c>
      <c r="S255" s="9" t="n">
        <v>9</v>
      </c>
      <c r="T255" s="9" t="n">
        <v>1</v>
      </c>
      <c r="U255" s="9" t="n">
        <v>0</v>
      </c>
      <c r="V255" s="9" t="n">
        <v>0</v>
      </c>
      <c r="W255" s="9" t="n">
        <v>0</v>
      </c>
      <c r="X255" s="9" t="n">
        <v>0</v>
      </c>
      <c r="Y255" s="9" t="n">
        <v>1</v>
      </c>
      <c r="Z255" s="9" t="n">
        <v>0</v>
      </c>
      <c r="AA255" s="9" t="n">
        <v>628</v>
      </c>
      <c r="AB255" s="10" t="n">
        <v>1251</v>
      </c>
      <c r="AC255" s="10" t="n">
        <v>5</v>
      </c>
      <c r="AD255" s="10" t="n">
        <v>0</v>
      </c>
      <c r="AE255" s="10" t="n">
        <v>1256</v>
      </c>
      <c r="AF255" s="10" t="n">
        <v>0</v>
      </c>
    </row>
    <row r="256">
      <c r="A256" s="7" t="n">
        <v>312</v>
      </c>
      <c r="B256" s="8" t="inlineStr">
        <is>
          <t>Polling Station 312</t>
        </is>
      </c>
      <c r="C256" s="9" t="n">
        <v>224</v>
      </c>
      <c r="D256" s="9" t="n">
        <v>103</v>
      </c>
      <c r="E256" s="9" t="n">
        <v>196</v>
      </c>
      <c r="F256" s="9" t="n">
        <v>4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1</v>
      </c>
      <c r="O256" s="9" t="n">
        <v>1</v>
      </c>
      <c r="P256" s="9" t="n">
        <v>1</v>
      </c>
      <c r="Q256" s="9" t="n">
        <v>6</v>
      </c>
      <c r="R256" s="9" t="n">
        <v>3</v>
      </c>
      <c r="S256" s="9" t="n">
        <v>21</v>
      </c>
      <c r="T256" s="9" t="n">
        <v>1</v>
      </c>
      <c r="U256" s="9" t="n">
        <v>1</v>
      </c>
      <c r="V256" s="9" t="n">
        <v>1</v>
      </c>
      <c r="W256" s="9" t="n">
        <v>0</v>
      </c>
      <c r="X256" s="9" t="n">
        <v>3</v>
      </c>
      <c r="Y256" s="9" t="n">
        <v>0</v>
      </c>
      <c r="Z256" s="9" t="n">
        <v>1</v>
      </c>
      <c r="AA256" s="9" t="n">
        <v>574</v>
      </c>
      <c r="AB256" s="10" t="n">
        <v>1141</v>
      </c>
      <c r="AC256" s="10" t="n">
        <v>3</v>
      </c>
      <c r="AD256" s="10" t="n">
        <v>0</v>
      </c>
      <c r="AE256" s="10" t="n">
        <v>1144</v>
      </c>
      <c r="AF256" s="10" t="n">
        <v>0</v>
      </c>
    </row>
    <row r="257">
      <c r="A257" s="7" t="n">
        <v>313</v>
      </c>
      <c r="B257" s="8" t="inlineStr">
        <is>
          <t>Polling Station 313</t>
        </is>
      </c>
      <c r="C257" s="9" t="n">
        <v>295</v>
      </c>
      <c r="D257" s="9" t="n">
        <v>127</v>
      </c>
      <c r="E257" s="9" t="n">
        <v>338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2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1</v>
      </c>
      <c r="P257" s="9" t="n">
        <v>5</v>
      </c>
      <c r="Q257" s="9" t="n">
        <v>5</v>
      </c>
      <c r="R257" s="9" t="n">
        <v>6</v>
      </c>
      <c r="S257" s="9" t="n">
        <v>21</v>
      </c>
      <c r="T257" s="9" t="n">
        <v>3</v>
      </c>
      <c r="U257" s="9" t="n">
        <v>0</v>
      </c>
      <c r="V257" s="9" t="n">
        <v>0</v>
      </c>
      <c r="W257" s="9" t="n">
        <v>3</v>
      </c>
      <c r="X257" s="9" t="n">
        <v>2</v>
      </c>
      <c r="Y257" s="9" t="n">
        <v>0</v>
      </c>
      <c r="Z257" s="9" t="n">
        <v>2</v>
      </c>
      <c r="AA257" s="9" t="n">
        <v>825</v>
      </c>
      <c r="AB257" s="10" t="n">
        <v>1635</v>
      </c>
      <c r="AC257" s="10" t="n">
        <v>5</v>
      </c>
      <c r="AD257" s="10" t="n">
        <v>0</v>
      </c>
      <c r="AE257" s="10" t="n">
        <v>1640</v>
      </c>
      <c r="AF257" s="10" t="n">
        <v>0</v>
      </c>
    </row>
    <row r="258">
      <c r="A258" s="7" t="n">
        <v>314</v>
      </c>
      <c r="B258" s="8" t="inlineStr">
        <is>
          <t>Polling Station 314</t>
        </is>
      </c>
      <c r="C258" s="9" t="n">
        <v>194</v>
      </c>
      <c r="D258" s="9" t="n">
        <v>83</v>
      </c>
      <c r="E258" s="9" t="n">
        <v>174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1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1</v>
      </c>
      <c r="P258" s="9" t="n">
        <v>1</v>
      </c>
      <c r="Q258" s="9" t="n">
        <v>2</v>
      </c>
      <c r="R258" s="9" t="n">
        <v>0</v>
      </c>
      <c r="S258" s="9" t="n">
        <v>6</v>
      </c>
      <c r="T258" s="9" t="n">
        <v>0</v>
      </c>
      <c r="U258" s="9" t="n">
        <v>1</v>
      </c>
      <c r="V258" s="9" t="n">
        <v>0</v>
      </c>
      <c r="W258" s="9" t="n">
        <v>1</v>
      </c>
      <c r="X258" s="9" t="n">
        <v>0</v>
      </c>
      <c r="Y258" s="9" t="n">
        <v>0</v>
      </c>
      <c r="Z258" s="9" t="n">
        <v>0</v>
      </c>
      <c r="AA258" s="9" t="n">
        <v>468</v>
      </c>
      <c r="AB258" s="10" t="n">
        <v>932</v>
      </c>
      <c r="AC258" s="10" t="n">
        <v>3</v>
      </c>
      <c r="AD258" s="10" t="n">
        <v>471</v>
      </c>
      <c r="AE258" s="10" t="n">
        <v>1406</v>
      </c>
      <c r="AF258" s="10" t="n">
        <v>0</v>
      </c>
    </row>
    <row r="259">
      <c r="A259" s="7" t="n">
        <v>316</v>
      </c>
      <c r="B259" s="8" t="inlineStr">
        <is>
          <t>)</t>
        </is>
      </c>
      <c r="C259" s="9" t="n">
        <v>271</v>
      </c>
      <c r="D259" s="9" t="n">
        <v>96</v>
      </c>
      <c r="E259" s="9" t="n">
        <v>268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355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9" t="n">
        <v>1</v>
      </c>
      <c r="Q259" s="9" t="n">
        <v>2</v>
      </c>
      <c r="R259" s="9" t="n">
        <v>1</v>
      </c>
      <c r="S259" s="9" t="n">
        <v>5</v>
      </c>
      <c r="T259" s="9" t="n">
        <v>1</v>
      </c>
      <c r="U259" s="9" t="n">
        <v>0</v>
      </c>
      <c r="V259" s="9" t="n">
        <v>0</v>
      </c>
      <c r="W259" s="9" t="n">
        <v>0</v>
      </c>
      <c r="X259" s="9" t="n">
        <v>0</v>
      </c>
      <c r="Y259" s="9" t="n">
        <v>0</v>
      </c>
      <c r="Z259" s="9" t="n">
        <v>0</v>
      </c>
      <c r="AA259" s="9" t="n">
        <v>655</v>
      </c>
      <c r="AB259" s="10" t="n">
        <v>1655</v>
      </c>
      <c r="AC259" s="10" t="n">
        <v>2</v>
      </c>
      <c r="AD259" s="10" t="n">
        <v>0</v>
      </c>
      <c r="AE259" s="10" t="n">
        <v>1657</v>
      </c>
      <c r="AF259" s="10" t="n">
        <v>0</v>
      </c>
    </row>
    <row r="260">
      <c r="A260" s="7" t="n">
        <v>317</v>
      </c>
      <c r="B260" s="8" t="inlineStr">
        <is>
          <t>Polling Station 317</t>
        </is>
      </c>
      <c r="C260" s="9" t="n">
        <v>280</v>
      </c>
      <c r="D260" s="9" t="n">
        <v>89</v>
      </c>
      <c r="E260" s="9" t="n">
        <v>225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4</v>
      </c>
      <c r="R260" s="9" t="n">
        <v>4</v>
      </c>
      <c r="S260" s="9" t="n">
        <v>9</v>
      </c>
      <c r="T260" s="9" t="n">
        <v>0</v>
      </c>
      <c r="U260" s="9" t="n">
        <v>1</v>
      </c>
      <c r="V260" s="9" t="n">
        <v>0</v>
      </c>
      <c r="W260" s="9" t="n">
        <v>0</v>
      </c>
      <c r="X260" s="9" t="n">
        <v>1</v>
      </c>
      <c r="Y260" s="9" t="n">
        <v>2</v>
      </c>
      <c r="Z260" s="9" t="n">
        <v>0</v>
      </c>
      <c r="AA260" s="9" t="n">
        <v>622</v>
      </c>
      <c r="AB260" s="10" t="n">
        <v>1237</v>
      </c>
      <c r="AC260" s="10" t="n">
        <v>2</v>
      </c>
      <c r="AD260" s="10" t="n">
        <v>0</v>
      </c>
      <c r="AE260" s="10" t="n">
        <v>1239</v>
      </c>
      <c r="AF260" s="10" t="n">
        <v>3</v>
      </c>
    </row>
    <row r="261">
      <c r="A261" s="7" t="n">
        <v>318</v>
      </c>
      <c r="B261" s="8" t="inlineStr">
        <is>
          <t>)</t>
        </is>
      </c>
      <c r="C261" s="9" t="n">
        <v>272</v>
      </c>
      <c r="D261" s="9" t="n">
        <v>0</v>
      </c>
      <c r="E261" s="9" t="n">
        <v>372</v>
      </c>
      <c r="F261" s="9" t="n">
        <v>2</v>
      </c>
      <c r="G261" s="9" t="n">
        <v>0</v>
      </c>
      <c r="H261" s="9" t="n">
        <v>0</v>
      </c>
      <c r="I261" s="9" t="n">
        <v>0</v>
      </c>
      <c r="J261" s="9" t="n">
        <v>4</v>
      </c>
      <c r="K261" s="9" t="n">
        <v>0</v>
      </c>
      <c r="L261" s="9" t="n">
        <v>5</v>
      </c>
      <c r="M261" s="9" t="n">
        <v>4</v>
      </c>
      <c r="N261" s="9" t="n">
        <v>7</v>
      </c>
      <c r="O261" s="9" t="n">
        <v>1</v>
      </c>
      <c r="P261" s="9" t="n">
        <v>2</v>
      </c>
      <c r="Q261" s="9" t="n">
        <v>4</v>
      </c>
      <c r="R261" s="9" t="n">
        <v>1</v>
      </c>
      <c r="S261" s="9" t="n">
        <v>0</v>
      </c>
      <c r="T261" s="9" t="n">
        <v>2</v>
      </c>
      <c r="U261" s="9" t="n">
        <v>0</v>
      </c>
      <c r="V261" s="9" t="n">
        <v>0</v>
      </c>
      <c r="W261" s="9" t="n">
        <v>0</v>
      </c>
      <c r="X261" s="9" t="n">
        <v>1</v>
      </c>
      <c r="Y261" s="9" t="n">
        <v>0</v>
      </c>
      <c r="Z261" s="9" t="n">
        <v>1</v>
      </c>
      <c r="AA261" s="9" t="n">
        <v>781</v>
      </c>
      <c r="AB261" s="10" t="n">
        <v>1459</v>
      </c>
      <c r="AC261" s="10" t="n">
        <v>6</v>
      </c>
      <c r="AD261" s="10" t="n">
        <v>0</v>
      </c>
      <c r="AE261" s="10" t="n">
        <v>1465</v>
      </c>
      <c r="AF261" s="10" t="n">
        <v>0</v>
      </c>
    </row>
    <row r="262">
      <c r="A262" s="7" t="n">
        <v>320</v>
      </c>
      <c r="B262" s="8" t="inlineStr">
        <is>
          <t>Polling Station 320</t>
        </is>
      </c>
      <c r="C262" s="9" t="n">
        <v>0</v>
      </c>
      <c r="D262" s="9" t="n">
        <v>4</v>
      </c>
      <c r="E262" s="9" t="n">
        <v>0</v>
      </c>
      <c r="F262" s="9" t="n">
        <v>6</v>
      </c>
      <c r="G262" s="9" t="n">
        <v>0</v>
      </c>
      <c r="H262" s="9" t="n">
        <v>8</v>
      </c>
      <c r="I262" s="9" t="n">
        <v>9</v>
      </c>
      <c r="J262" s="9" t="n">
        <v>10</v>
      </c>
      <c r="K262" s="9" t="n">
        <v>11</v>
      </c>
      <c r="L262" s="9" t="n">
        <v>12</v>
      </c>
      <c r="M262" s="9" t="n">
        <v>13</v>
      </c>
      <c r="N262" s="9" t="n">
        <v>14</v>
      </c>
      <c r="O262" s="9" t="n">
        <v>15</v>
      </c>
      <c r="P262" s="9" t="n">
        <v>16</v>
      </c>
      <c r="Q262" s="9" t="n">
        <v>7</v>
      </c>
      <c r="R262" s="9" t="n">
        <v>18</v>
      </c>
      <c r="S262" s="9" t="n">
        <v>19</v>
      </c>
      <c r="T262" s="9" t="n">
        <v>20</v>
      </c>
      <c r="U262" s="9" t="n">
        <v>21</v>
      </c>
      <c r="V262" s="9" t="n">
        <v>22</v>
      </c>
      <c r="W262" s="9" t="n">
        <v>23</v>
      </c>
      <c r="X262" s="9" t="n">
        <v>24</v>
      </c>
      <c r="Y262" s="9" t="n">
        <v>25</v>
      </c>
      <c r="Z262" s="9" t="n">
        <v>26</v>
      </c>
      <c r="AA262" s="9" t="n">
        <v>0</v>
      </c>
      <c r="AB262" s="10" t="n">
        <v>323</v>
      </c>
      <c r="AC262" s="10" t="n">
        <v>29</v>
      </c>
      <c r="AD262" s="10" t="n">
        <v>30</v>
      </c>
      <c r="AE262" s="10" t="n">
        <v>382</v>
      </c>
      <c r="AF262" s="10" t="n">
        <v>0</v>
      </c>
    </row>
    <row r="263">
      <c r="A263" s="7" t="n">
        <v>321</v>
      </c>
      <c r="B263" s="8" t="inlineStr">
        <is>
          <t>Polling Station 321</t>
        </is>
      </c>
      <c r="C263" s="9" t="n">
        <v>197</v>
      </c>
      <c r="D263" s="9" t="n">
        <v>58</v>
      </c>
      <c r="E263" s="9" t="n">
        <v>295</v>
      </c>
      <c r="F263" s="9" t="n">
        <v>0</v>
      </c>
      <c r="G263" s="9" t="n">
        <v>6</v>
      </c>
      <c r="H263" s="9" t="n">
        <v>1</v>
      </c>
      <c r="I263" s="9" t="n">
        <v>0</v>
      </c>
      <c r="J263" s="9" t="n">
        <v>0</v>
      </c>
      <c r="K263" s="9" t="n">
        <v>1</v>
      </c>
      <c r="L263" s="9" t="n">
        <v>1</v>
      </c>
      <c r="M263" s="9" t="n">
        <v>2</v>
      </c>
      <c r="N263" s="9" t="n">
        <v>1</v>
      </c>
      <c r="O263" s="9" t="n">
        <v>1</v>
      </c>
      <c r="P263" s="9" t="n">
        <v>0</v>
      </c>
      <c r="Q263" s="9" t="n">
        <v>0</v>
      </c>
      <c r="R263" s="9" t="n">
        <v>1</v>
      </c>
      <c r="S263" s="9" t="n">
        <v>9</v>
      </c>
      <c r="T263" s="9" t="n">
        <v>0</v>
      </c>
      <c r="U263" s="9" t="n">
        <v>1</v>
      </c>
      <c r="V263" s="9" t="n">
        <v>0</v>
      </c>
      <c r="W263" s="9" t="n">
        <v>0</v>
      </c>
      <c r="X263" s="9" t="n">
        <v>0</v>
      </c>
      <c r="Y263" s="9" t="n">
        <v>1</v>
      </c>
      <c r="Z263" s="9" t="n">
        <v>2</v>
      </c>
      <c r="AA263" s="9" t="n">
        <v>580</v>
      </c>
      <c r="AB263" s="10" t="n">
        <v>1157</v>
      </c>
      <c r="AC263" s="10" t="n">
        <v>3</v>
      </c>
      <c r="AD263" s="10" t="n">
        <v>0</v>
      </c>
      <c r="AE263" s="10" t="n">
        <v>1160</v>
      </c>
      <c r="AF263" s="10" t="n">
        <v>0</v>
      </c>
    </row>
    <row r="264">
      <c r="A264" s="7" t="n">
        <v>322</v>
      </c>
      <c r="B264" s="8" t="inlineStr">
        <is>
          <t>Polling Station 322</t>
        </is>
      </c>
      <c r="C264" s="9" t="n">
        <v>325</v>
      </c>
      <c r="D264" s="9" t="n">
        <v>110</v>
      </c>
      <c r="E264" s="9" t="n">
        <v>428</v>
      </c>
      <c r="F264" s="9" t="n">
        <v>6</v>
      </c>
      <c r="G264" s="9" t="n">
        <v>6</v>
      </c>
      <c r="H264" s="9" t="n">
        <v>0</v>
      </c>
      <c r="I264" s="9" t="n">
        <v>0</v>
      </c>
      <c r="J264" s="9" t="n">
        <v>3</v>
      </c>
      <c r="K264" s="9" t="n">
        <v>0</v>
      </c>
      <c r="L264" s="9" t="n">
        <v>0</v>
      </c>
      <c r="M264" s="9" t="n">
        <v>1</v>
      </c>
      <c r="N264" s="9" t="n">
        <v>2</v>
      </c>
      <c r="O264" s="9" t="n">
        <v>0</v>
      </c>
      <c r="P264" s="9" t="n">
        <v>1</v>
      </c>
      <c r="Q264" s="9" t="n">
        <v>0</v>
      </c>
      <c r="R264" s="9" t="n">
        <v>2</v>
      </c>
      <c r="S264" s="9" t="n">
        <v>5</v>
      </c>
      <c r="T264" s="9" t="n">
        <v>2</v>
      </c>
      <c r="U264" s="9" t="n">
        <v>1</v>
      </c>
      <c r="V264" s="9" t="n">
        <v>1</v>
      </c>
      <c r="W264" s="9" t="n">
        <v>1</v>
      </c>
      <c r="X264" s="9" t="n">
        <v>0</v>
      </c>
      <c r="Y264" s="9" t="n">
        <v>0</v>
      </c>
      <c r="Z264" s="9" t="n">
        <v>0</v>
      </c>
      <c r="AA264" s="9" t="n">
        <v>898</v>
      </c>
      <c r="AB264" s="10" t="n">
        <v>1792</v>
      </c>
      <c r="AC264" s="10" t="n">
        <v>7</v>
      </c>
      <c r="AD264" s="10" t="n">
        <v>0</v>
      </c>
      <c r="AE264" s="10" t="n">
        <v>1799</v>
      </c>
      <c r="AF264" s="10" t="n">
        <v>0</v>
      </c>
    </row>
    <row r="265">
      <c r="A265" s="7" t="n">
        <v>323</v>
      </c>
      <c r="B265" s="8" t="inlineStr">
        <is>
          <t>Polling Station 323</t>
        </is>
      </c>
      <c r="C265" s="9" t="n">
        <v>339</v>
      </c>
      <c r="D265" s="9" t="n">
        <v>179</v>
      </c>
      <c r="E265" s="9" t="n">
        <v>312</v>
      </c>
      <c r="F265" s="9" t="n">
        <v>2</v>
      </c>
      <c r="G265" s="9" t="n">
        <v>4</v>
      </c>
      <c r="H265" s="9" t="n">
        <v>0</v>
      </c>
      <c r="I265" s="9" t="n">
        <v>0</v>
      </c>
      <c r="J265" s="9" t="n">
        <v>1</v>
      </c>
      <c r="K265" s="9" t="n">
        <v>0</v>
      </c>
      <c r="L265" s="9" t="n">
        <v>2</v>
      </c>
      <c r="M265" s="9" t="n">
        <v>2</v>
      </c>
      <c r="N265" s="9" t="n">
        <v>0</v>
      </c>
      <c r="O265" s="9" t="n">
        <v>3</v>
      </c>
      <c r="P265" s="9" t="n">
        <v>2</v>
      </c>
      <c r="Q265" s="9" t="n">
        <v>0</v>
      </c>
      <c r="R265" s="9" t="n">
        <v>4</v>
      </c>
      <c r="S265" s="9" t="n">
        <v>17</v>
      </c>
      <c r="T265" s="9" t="n">
        <v>5</v>
      </c>
      <c r="U265" s="9" t="n">
        <v>2</v>
      </c>
      <c r="V265" s="9" t="n">
        <v>0</v>
      </c>
      <c r="W265" s="9" t="n">
        <v>1</v>
      </c>
      <c r="X265" s="9" t="n">
        <v>0</v>
      </c>
      <c r="Y265" s="9" t="n">
        <v>1</v>
      </c>
      <c r="Z265" s="9" t="n">
        <v>0</v>
      </c>
      <c r="AA265" s="9" t="n">
        <v>885</v>
      </c>
      <c r="AB265" s="10" t="n">
        <v>1761</v>
      </c>
      <c r="AC265" s="10" t="n">
        <v>6</v>
      </c>
      <c r="AD265" s="10" t="n">
        <v>91</v>
      </c>
      <c r="AE265" s="10" t="n">
        <v>1858</v>
      </c>
      <c r="AF265" s="10" t="n">
        <v>0</v>
      </c>
    </row>
    <row r="266">
      <c r="A266" s="7" t="n">
        <v>324</v>
      </c>
      <c r="B266" s="8" t="inlineStr">
        <is>
          <t>Polling Station 324</t>
        </is>
      </c>
      <c r="C266" s="9" t="n">
        <v>0</v>
      </c>
      <c r="D266" s="9" t="n">
        <v>97</v>
      </c>
      <c r="E266" s="9" t="n">
        <v>192</v>
      </c>
      <c r="F266" s="9" t="n">
        <v>0</v>
      </c>
      <c r="G266" s="9" t="n">
        <v>1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2</v>
      </c>
      <c r="P266" s="9" t="n">
        <v>1</v>
      </c>
      <c r="Q266" s="9" t="n">
        <v>0</v>
      </c>
      <c r="R266" s="9" t="n">
        <v>0</v>
      </c>
      <c r="S266" s="9" t="n">
        <v>0</v>
      </c>
      <c r="T266" s="9" t="n">
        <v>3</v>
      </c>
      <c r="U266" s="9" t="n">
        <v>1</v>
      </c>
      <c r="V266" s="9" t="n">
        <v>0</v>
      </c>
      <c r="W266" s="9" t="n">
        <v>0</v>
      </c>
      <c r="X266" s="9" t="n">
        <v>1</v>
      </c>
      <c r="Y266" s="9" t="n">
        <v>0</v>
      </c>
      <c r="Z266" s="9" t="n">
        <v>0</v>
      </c>
      <c r="AA266" s="9" t="n">
        <v>522</v>
      </c>
      <c r="AB266" s="10" t="n">
        <v>820</v>
      </c>
      <c r="AC266" s="10" t="n">
        <v>3</v>
      </c>
      <c r="AD266" s="10" t="n">
        <v>0</v>
      </c>
      <c r="AE266" s="10" t="n">
        <v>823</v>
      </c>
      <c r="AF266" s="10" t="n">
        <v>0</v>
      </c>
    </row>
    <row r="267">
      <c r="A267" s="7" t="n">
        <v>325</v>
      </c>
      <c r="B267" s="8" t="inlineStr">
        <is>
          <t>Polling Station 325</t>
        </is>
      </c>
      <c r="C267" s="9" t="n">
        <v>290</v>
      </c>
      <c r="D267" s="9" t="n">
        <v>121</v>
      </c>
      <c r="E267" s="9" t="n">
        <v>269</v>
      </c>
      <c r="F267" s="9" t="n">
        <v>2</v>
      </c>
      <c r="G267" s="9" t="n">
        <v>10</v>
      </c>
      <c r="H267" s="9" t="n">
        <v>2</v>
      </c>
      <c r="I267" s="9" t="n">
        <v>2</v>
      </c>
      <c r="J267" s="9" t="n">
        <v>1</v>
      </c>
      <c r="K267" s="9" t="n">
        <v>0</v>
      </c>
      <c r="L267" s="9" t="n">
        <v>0</v>
      </c>
      <c r="M267" s="9" t="n">
        <v>0</v>
      </c>
      <c r="N267" s="9" t="n">
        <v>2</v>
      </c>
      <c r="O267" s="9" t="n">
        <v>14</v>
      </c>
      <c r="P267" s="9" t="n">
        <v>0</v>
      </c>
      <c r="Q267" s="9" t="n">
        <v>0</v>
      </c>
      <c r="R267" s="9" t="n">
        <v>0</v>
      </c>
      <c r="S267" s="9" t="n">
        <v>14</v>
      </c>
      <c r="T267" s="9" t="n">
        <v>6</v>
      </c>
      <c r="U267" s="9" t="n">
        <v>5</v>
      </c>
      <c r="V267" s="9" t="n">
        <v>0</v>
      </c>
      <c r="W267" s="9" t="n">
        <v>0</v>
      </c>
      <c r="X267" s="9" t="n">
        <v>0</v>
      </c>
      <c r="Y267" s="9" t="n">
        <v>1</v>
      </c>
      <c r="Z267" s="9" t="n">
        <v>1</v>
      </c>
      <c r="AA267" s="9" t="n">
        <v>754</v>
      </c>
      <c r="AB267" s="10" t="n">
        <v>1494</v>
      </c>
      <c r="AC267" s="10" t="n">
        <v>4</v>
      </c>
      <c r="AD267" s="10" t="n">
        <v>0</v>
      </c>
      <c r="AE267" s="10" t="n">
        <v>1498</v>
      </c>
      <c r="AF267" s="10" t="n">
        <v>0</v>
      </c>
    </row>
    <row r="268">
      <c r="A268" s="7" t="n">
        <v>326</v>
      </c>
      <c r="B268" s="8" t="inlineStr">
        <is>
          <t>Polling Station 326</t>
        </is>
      </c>
      <c r="C268" s="9" t="n">
        <v>0</v>
      </c>
      <c r="D268" s="9" t="n">
        <v>104</v>
      </c>
      <c r="E268" s="9" t="n">
        <v>284</v>
      </c>
      <c r="F268" s="9" t="n">
        <v>0</v>
      </c>
      <c r="G268" s="9" t="n">
        <v>2</v>
      </c>
      <c r="H268" s="9" t="n">
        <v>1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1</v>
      </c>
      <c r="N268" s="9" t="n">
        <v>0</v>
      </c>
      <c r="O268" s="9" t="n">
        <v>4</v>
      </c>
      <c r="P268" s="9" t="n">
        <v>0</v>
      </c>
      <c r="Q268" s="9" t="n">
        <v>0</v>
      </c>
      <c r="R268" s="9" t="n">
        <v>3</v>
      </c>
      <c r="S268" s="9" t="n">
        <v>6</v>
      </c>
      <c r="T268" s="9" t="n">
        <v>0</v>
      </c>
      <c r="U268" s="9" t="n">
        <v>3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  <c r="AA268" s="9" t="n">
        <v>622</v>
      </c>
      <c r="AB268" s="10" t="n">
        <v>1030</v>
      </c>
      <c r="AC268" s="10" t="n">
        <v>3</v>
      </c>
      <c r="AD268" s="10" t="n">
        <v>0</v>
      </c>
      <c r="AE268" s="10" t="n">
        <v>1033</v>
      </c>
      <c r="AF268" s="10" t="n">
        <v>0</v>
      </c>
    </row>
    <row r="269">
      <c r="A269" s="7" t="n">
        <v>327</v>
      </c>
      <c r="B269" s="8" t="inlineStr">
        <is>
          <t>Polling Station 327</t>
        </is>
      </c>
      <c r="C269" s="9" t="n">
        <v>139</v>
      </c>
      <c r="D269" s="9" t="n">
        <v>0</v>
      </c>
      <c r="E269" s="9" t="n">
        <v>147</v>
      </c>
      <c r="F269" s="9" t="n">
        <v>2</v>
      </c>
      <c r="G269" s="9" t="n">
        <v>1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0</v>
      </c>
      <c r="P269" s="9" t="n">
        <v>0</v>
      </c>
      <c r="Q269" s="9" t="n">
        <v>0</v>
      </c>
      <c r="R269" s="9" t="n">
        <v>1</v>
      </c>
      <c r="S269" s="9" t="n">
        <v>3</v>
      </c>
      <c r="T269" s="9" t="n">
        <v>1</v>
      </c>
      <c r="U269" s="9" t="n">
        <v>0</v>
      </c>
      <c r="V269" s="9" t="n">
        <v>0</v>
      </c>
      <c r="W269" s="9" t="n">
        <v>0</v>
      </c>
      <c r="X269" s="9" t="n">
        <v>0</v>
      </c>
      <c r="Y269" s="9" t="n">
        <v>0</v>
      </c>
      <c r="Z269" s="9" t="n">
        <v>0</v>
      </c>
      <c r="AA269" s="9" t="n">
        <v>371</v>
      </c>
      <c r="AB269" s="10" t="n">
        <v>665</v>
      </c>
      <c r="AC269" s="10" t="n">
        <v>4</v>
      </c>
      <c r="AD269" s="10" t="n">
        <v>375</v>
      </c>
      <c r="AE269" s="10" t="n">
        <v>1044</v>
      </c>
      <c r="AF269" s="10" t="n">
        <v>0</v>
      </c>
    </row>
    <row r="270">
      <c r="A270" s="7" t="n">
        <v>328</v>
      </c>
      <c r="B270" s="8" t="inlineStr">
        <is>
          <t>Polling Station 328</t>
        </is>
      </c>
      <c r="C270" s="9" t="n">
        <v>24</v>
      </c>
      <c r="D270" s="9" t="n">
        <v>0</v>
      </c>
      <c r="E270" s="9" t="n">
        <v>270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2</v>
      </c>
      <c r="S270" s="9" t="n">
        <v>2</v>
      </c>
      <c r="T270" s="9" t="n">
        <v>0</v>
      </c>
      <c r="U270" s="9" t="n">
        <v>0</v>
      </c>
      <c r="V270" s="9" t="n">
        <v>0</v>
      </c>
      <c r="W270" s="9" t="n">
        <v>1</v>
      </c>
      <c r="X270" s="9" t="n">
        <v>0</v>
      </c>
      <c r="Y270" s="9" t="n">
        <v>0</v>
      </c>
      <c r="Z270" s="9" t="n">
        <v>0</v>
      </c>
      <c r="AA270" s="9" t="n">
        <v>447</v>
      </c>
      <c r="AB270" s="10" t="n">
        <v>746</v>
      </c>
      <c r="AC270" s="10" t="n">
        <v>4</v>
      </c>
      <c r="AD270" s="10" t="n">
        <v>8</v>
      </c>
      <c r="AE270" s="10" t="n">
        <v>758</v>
      </c>
      <c r="AF270" s="10" t="n">
        <v>0</v>
      </c>
    </row>
    <row r="271">
      <c r="A271" s="7" t="n">
        <v>329</v>
      </c>
      <c r="B271" s="8" t="inlineStr">
        <is>
          <t>Polling Station 329</t>
        </is>
      </c>
      <c r="C271" s="9" t="n">
        <v>154</v>
      </c>
      <c r="D271" s="9" t="n">
        <v>74</v>
      </c>
      <c r="E271" s="9" t="n">
        <v>299</v>
      </c>
      <c r="F271" s="9" t="n">
        <v>1</v>
      </c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1</v>
      </c>
      <c r="P271" s="9" t="n">
        <v>0</v>
      </c>
      <c r="Q271" s="9" t="n">
        <v>0</v>
      </c>
      <c r="R271" s="9" t="n">
        <v>1</v>
      </c>
      <c r="S271" s="9" t="n">
        <v>2</v>
      </c>
      <c r="T271" s="9" t="n">
        <v>0</v>
      </c>
      <c r="U271" s="9" t="n">
        <v>0</v>
      </c>
      <c r="V271" s="9" t="n">
        <v>0</v>
      </c>
      <c r="W271" s="9" t="n">
        <v>0</v>
      </c>
      <c r="X271" s="9" t="n">
        <v>1</v>
      </c>
      <c r="Y271" s="9" t="n">
        <v>1</v>
      </c>
      <c r="Z271" s="9" t="n">
        <v>1</v>
      </c>
      <c r="AA271" s="9" t="n">
        <v>542</v>
      </c>
      <c r="AB271" s="10" t="n">
        <v>1077</v>
      </c>
      <c r="AC271" s="10" t="n">
        <v>0</v>
      </c>
      <c r="AD271" s="10" t="n">
        <v>0</v>
      </c>
      <c r="AE271" s="10" t="n">
        <v>1077</v>
      </c>
      <c r="AF271" s="10" t="n">
        <v>0</v>
      </c>
    </row>
    <row r="272">
      <c r="A272" s="7" t="n">
        <v>330</v>
      </c>
      <c r="B272" s="8" t="inlineStr">
        <is>
          <t>Polling Station 330</t>
        </is>
      </c>
      <c r="C272" s="9" t="n">
        <v>0</v>
      </c>
      <c r="D272" s="9" t="n">
        <v>0</v>
      </c>
      <c r="E272" s="9" t="n">
        <v>119</v>
      </c>
      <c r="F272" s="9" t="n">
        <v>0</v>
      </c>
      <c r="G272" s="9" t="n">
        <v>5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6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298</v>
      </c>
      <c r="AB272" s="10" t="n">
        <v>428</v>
      </c>
      <c r="AC272" s="10" t="n">
        <v>1</v>
      </c>
      <c r="AD272" s="10" t="n">
        <v>299</v>
      </c>
      <c r="AE272" s="10" t="n">
        <v>728</v>
      </c>
      <c r="AF272" s="10" t="n">
        <v>0</v>
      </c>
    </row>
    <row r="273">
      <c r="A273" s="7" t="n">
        <v>331</v>
      </c>
      <c r="B273" s="8" t="inlineStr">
        <is>
          <t>Polling Station 331</t>
        </is>
      </c>
      <c r="C273" s="9" t="n">
        <v>169</v>
      </c>
      <c r="D273" s="9" t="n">
        <v>0</v>
      </c>
      <c r="E273" s="9" t="n">
        <v>200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9" t="n">
        <v>0</v>
      </c>
      <c r="O273" s="9" t="n">
        <v>0</v>
      </c>
      <c r="P273" s="9" t="n">
        <v>0</v>
      </c>
      <c r="Q273" s="9" t="n">
        <v>1</v>
      </c>
      <c r="R273" s="9" t="n">
        <v>1</v>
      </c>
      <c r="S273" s="9" t="n">
        <v>4</v>
      </c>
      <c r="T273" s="9" t="n">
        <v>0</v>
      </c>
      <c r="U273" s="9" t="n">
        <v>0</v>
      </c>
      <c r="V273" s="9" t="n">
        <v>0</v>
      </c>
      <c r="W273" s="9" t="n">
        <v>0</v>
      </c>
      <c r="X273" s="9" t="n">
        <v>0</v>
      </c>
      <c r="Y273" s="9" t="n">
        <v>0</v>
      </c>
      <c r="Z273" s="9" t="n">
        <v>0</v>
      </c>
      <c r="AA273" s="9" t="n">
        <v>437</v>
      </c>
      <c r="AB273" s="10" t="n">
        <v>812</v>
      </c>
      <c r="AC273" s="10" t="n">
        <v>0</v>
      </c>
      <c r="AD273" s="10" t="n">
        <v>440</v>
      </c>
      <c r="AE273" s="10" t="n">
        <v>1252</v>
      </c>
      <c r="AF273" s="10" t="n">
        <v>0</v>
      </c>
    </row>
    <row r="274">
      <c r="A274" s="7" t="n">
        <v>332</v>
      </c>
      <c r="B274" s="8" t="inlineStr">
        <is>
          <t>Polling Station 332</t>
        </is>
      </c>
      <c r="C274" s="9" t="n">
        <v>202</v>
      </c>
      <c r="D274" s="9" t="n">
        <v>86</v>
      </c>
      <c r="E274" s="9" t="n">
        <v>209</v>
      </c>
      <c r="F274" s="9" t="n">
        <v>1</v>
      </c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1</v>
      </c>
      <c r="M274" s="9" t="n">
        <v>1</v>
      </c>
      <c r="N274" s="9" t="n">
        <v>0</v>
      </c>
      <c r="O274" s="9" t="n">
        <v>0</v>
      </c>
      <c r="P274" s="9" t="n">
        <v>0</v>
      </c>
      <c r="Q274" s="9" t="n">
        <v>2</v>
      </c>
      <c r="R274" s="9" t="n">
        <v>1</v>
      </c>
      <c r="S274" s="9" t="n">
        <v>10</v>
      </c>
      <c r="T274" s="9" t="n">
        <v>1</v>
      </c>
      <c r="U274" s="9" t="n">
        <v>3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  <c r="AA274" s="9" t="n">
        <v>522</v>
      </c>
      <c r="AB274" s="10" t="n">
        <v>1039</v>
      </c>
      <c r="AC274" s="10" t="n">
        <v>3</v>
      </c>
      <c r="AD274" s="10" t="n">
        <v>0</v>
      </c>
      <c r="AE274" s="10" t="n">
        <v>1042</v>
      </c>
      <c r="AF274" s="10" t="n">
        <v>0</v>
      </c>
    </row>
    <row r="275">
      <c r="A275" s="7" t="n">
        <v>333</v>
      </c>
      <c r="B275" s="8" t="inlineStr">
        <is>
          <t>Polling Station 333</t>
        </is>
      </c>
      <c r="C275" s="9" t="n">
        <v>108</v>
      </c>
      <c r="D275" s="9" t="n">
        <v>0</v>
      </c>
      <c r="E275" s="9" t="n">
        <v>132</v>
      </c>
      <c r="F275" s="9" t="n">
        <v>2</v>
      </c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1</v>
      </c>
      <c r="P275" s="9" t="n">
        <v>0</v>
      </c>
      <c r="Q275" s="9" t="n">
        <v>4</v>
      </c>
      <c r="R275" s="9" t="n">
        <v>5</v>
      </c>
      <c r="S275" s="9" t="n">
        <v>8</v>
      </c>
      <c r="T275" s="9" t="n">
        <v>1</v>
      </c>
      <c r="U275" s="9" t="n">
        <v>1</v>
      </c>
      <c r="V275" s="9" t="n">
        <v>0</v>
      </c>
      <c r="W275" s="9" t="n">
        <v>1</v>
      </c>
      <c r="X275" s="9" t="n">
        <v>0</v>
      </c>
      <c r="Y275" s="9" t="n">
        <v>0</v>
      </c>
      <c r="Z275" s="9" t="n">
        <v>0</v>
      </c>
      <c r="AA275" s="9" t="n">
        <v>319</v>
      </c>
      <c r="AB275" s="10" t="n">
        <v>582</v>
      </c>
      <c r="AC275" s="10" t="n">
        <v>2</v>
      </c>
      <c r="AD275" s="10" t="n">
        <v>321</v>
      </c>
      <c r="AE275" s="10" t="n">
        <v>905</v>
      </c>
      <c r="AF275" s="10" t="n">
        <v>0</v>
      </c>
    </row>
    <row r="276">
      <c r="A276" s="7" t="n">
        <v>334</v>
      </c>
      <c r="B276" s="8" t="inlineStr">
        <is>
          <t>Polling Station 334</t>
        </is>
      </c>
      <c r="C276" s="9" t="n">
        <v>33</v>
      </c>
      <c r="D276" s="9" t="n">
        <v>7</v>
      </c>
      <c r="E276" s="9" t="n">
        <v>228</v>
      </c>
      <c r="F276" s="9" t="n">
        <v>1</v>
      </c>
      <c r="G276" s="9" t="n">
        <v>0</v>
      </c>
      <c r="H276" s="9" t="n">
        <v>1</v>
      </c>
      <c r="I276" s="9" t="n">
        <v>1</v>
      </c>
      <c r="J276" s="9" t="n">
        <v>1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2</v>
      </c>
      <c r="Q276" s="9" t="n">
        <v>2</v>
      </c>
      <c r="R276" s="9" t="n">
        <v>7</v>
      </c>
      <c r="S276" s="9" t="n">
        <v>20</v>
      </c>
      <c r="T276" s="9" t="n">
        <v>5</v>
      </c>
      <c r="U276" s="9" t="n">
        <v>4</v>
      </c>
      <c r="V276" s="9" t="n">
        <v>2</v>
      </c>
      <c r="W276" s="9" t="n">
        <v>2</v>
      </c>
      <c r="X276" s="9" t="n">
        <v>0</v>
      </c>
      <c r="Y276" s="9" t="n">
        <v>1</v>
      </c>
      <c r="Z276" s="9" t="n">
        <v>0</v>
      </c>
      <c r="AA276" s="9" t="n">
        <v>722</v>
      </c>
      <c r="AB276" s="10" t="n">
        <v>1039</v>
      </c>
      <c r="AC276" s="10" t="n">
        <v>5</v>
      </c>
      <c r="AD276" s="10" t="n">
        <v>0</v>
      </c>
      <c r="AE276" s="10" t="n">
        <v>1044</v>
      </c>
      <c r="AF276" s="10" t="n">
        <v>0</v>
      </c>
    </row>
    <row r="277">
      <c r="A277" s="7" t="n">
        <v>335</v>
      </c>
      <c r="B277" s="8" t="inlineStr">
        <is>
          <t>Polling Station 335</t>
        </is>
      </c>
      <c r="C277" s="9" t="n">
        <v>250</v>
      </c>
      <c r="D277" s="9" t="n">
        <v>175</v>
      </c>
      <c r="E277" s="9" t="n">
        <v>146</v>
      </c>
      <c r="F277" s="9" t="n">
        <v>1</v>
      </c>
      <c r="G277" s="9" t="n">
        <v>0</v>
      </c>
      <c r="H277" s="9" t="n">
        <v>2</v>
      </c>
      <c r="I277" s="9" t="n">
        <v>1</v>
      </c>
      <c r="J277" s="9" t="n">
        <v>0</v>
      </c>
      <c r="K277" s="9" t="n">
        <v>0</v>
      </c>
      <c r="L277" s="9" t="n">
        <v>0</v>
      </c>
      <c r="M277" s="9" t="n">
        <v>1</v>
      </c>
      <c r="N277" s="9" t="n">
        <v>2</v>
      </c>
      <c r="O277" s="9" t="n">
        <v>1</v>
      </c>
      <c r="P277" s="9" t="n">
        <v>1</v>
      </c>
      <c r="Q277" s="9" t="n">
        <v>4</v>
      </c>
      <c r="R277" s="9" t="n">
        <v>2</v>
      </c>
      <c r="S277" s="9" t="n">
        <v>6</v>
      </c>
      <c r="T277" s="9" t="n">
        <v>2</v>
      </c>
      <c r="U277" s="9" t="n">
        <v>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  <c r="AA277" s="9" t="n">
        <v>600</v>
      </c>
      <c r="AB277" s="10" t="n">
        <v>1194</v>
      </c>
      <c r="AC277" s="10" t="n">
        <v>6</v>
      </c>
      <c r="AD277" s="10" t="n">
        <v>0</v>
      </c>
      <c r="AE277" s="10" t="n">
        <v>1200</v>
      </c>
      <c r="AF277" s="10" t="n">
        <v>0</v>
      </c>
    </row>
    <row r="278">
      <c r="A278" s="7" t="n">
        <v>336</v>
      </c>
      <c r="B278" s="8" t="inlineStr">
        <is>
          <t>Polling Station 336</t>
        </is>
      </c>
      <c r="C278" s="9" t="n">
        <v>396</v>
      </c>
      <c r="D278" s="9" t="n">
        <v>240</v>
      </c>
      <c r="E278" s="9" t="n">
        <v>273</v>
      </c>
      <c r="F278" s="9" t="n">
        <v>2</v>
      </c>
      <c r="G278" s="9" t="n">
        <v>0</v>
      </c>
      <c r="H278" s="9" t="n">
        <v>1</v>
      </c>
      <c r="I278" s="9" t="n">
        <v>0</v>
      </c>
      <c r="J278" s="9" t="n">
        <v>0</v>
      </c>
      <c r="K278" s="9" t="n">
        <v>0</v>
      </c>
      <c r="L278" s="9" t="n">
        <v>2</v>
      </c>
      <c r="M278" s="9" t="n">
        <v>1</v>
      </c>
      <c r="N278" s="9" t="n">
        <v>2</v>
      </c>
      <c r="O278" s="9" t="n">
        <v>0</v>
      </c>
      <c r="P278" s="9" t="n">
        <v>3</v>
      </c>
      <c r="Q278" s="9" t="n">
        <v>8</v>
      </c>
      <c r="R278" s="9" t="n">
        <v>4</v>
      </c>
      <c r="S278" s="9" t="n">
        <v>18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1</v>
      </c>
      <c r="Y278" s="9" t="n">
        <v>2</v>
      </c>
      <c r="Z278" s="9" t="n">
        <v>1</v>
      </c>
      <c r="AA278" s="9" t="n">
        <v>969</v>
      </c>
      <c r="AB278" s="10" t="n">
        <v>1923</v>
      </c>
      <c r="AC278" s="10" t="n">
        <v>7</v>
      </c>
      <c r="AD278" s="10" t="n">
        <v>0</v>
      </c>
      <c r="AE278" s="10" t="n">
        <v>1930</v>
      </c>
      <c r="AF278" s="10" t="n">
        <v>0</v>
      </c>
    </row>
    <row r="279">
      <c r="A279" s="7" t="n">
        <v>337</v>
      </c>
      <c r="B279" s="8" t="inlineStr">
        <is>
          <t>Polling Station 337</t>
        </is>
      </c>
      <c r="C279" s="9" t="n">
        <v>0</v>
      </c>
      <c r="D279" s="9" t="n">
        <v>4</v>
      </c>
      <c r="E279" s="9" t="n">
        <v>241</v>
      </c>
      <c r="F279" s="9" t="n">
        <v>0</v>
      </c>
      <c r="G279" s="9" t="n">
        <v>0</v>
      </c>
      <c r="H279" s="9" t="n">
        <v>1</v>
      </c>
      <c r="I279" s="9" t="n">
        <v>1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5</v>
      </c>
      <c r="R279" s="9" t="n">
        <v>5</v>
      </c>
      <c r="S279" s="9" t="n">
        <v>6</v>
      </c>
      <c r="T279" s="9" t="n">
        <v>0</v>
      </c>
      <c r="U279" s="9" t="n">
        <v>1</v>
      </c>
      <c r="V279" s="9" t="n">
        <v>0</v>
      </c>
      <c r="W279" s="9" t="n">
        <v>0</v>
      </c>
      <c r="X279" s="9" t="n">
        <v>0</v>
      </c>
      <c r="Y279" s="9" t="n">
        <v>1</v>
      </c>
      <c r="Z279" s="9" t="n">
        <v>2</v>
      </c>
      <c r="AA279" s="9" t="n">
        <v>531</v>
      </c>
      <c r="AB279" s="10" t="n">
        <v>798</v>
      </c>
      <c r="AC279" s="10" t="n">
        <v>8</v>
      </c>
      <c r="AD279" s="10" t="n">
        <v>0</v>
      </c>
      <c r="AE279" s="10" t="n">
        <v>806</v>
      </c>
      <c r="AF279" s="10" t="n">
        <v>0</v>
      </c>
    </row>
    <row r="280">
      <c r="A280" s="7" t="n">
        <v>338</v>
      </c>
      <c r="B280" s="8" t="inlineStr">
        <is>
          <t>Polling Station 338</t>
        </is>
      </c>
      <c r="C280" s="9" t="n">
        <v>7</v>
      </c>
      <c r="D280" s="9" t="n">
        <v>7</v>
      </c>
      <c r="E280" s="9" t="n">
        <v>179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1</v>
      </c>
      <c r="N280" s="9" t="n">
        <v>1</v>
      </c>
      <c r="O280" s="9" t="n">
        <v>0</v>
      </c>
      <c r="P280" s="9" t="n">
        <v>0</v>
      </c>
      <c r="Q280" s="9" t="n">
        <v>3</v>
      </c>
      <c r="R280" s="9" t="n">
        <v>1</v>
      </c>
      <c r="S280" s="9" t="n">
        <v>14</v>
      </c>
      <c r="T280" s="9" t="n">
        <v>1</v>
      </c>
      <c r="U280" s="9" t="n">
        <v>0</v>
      </c>
      <c r="V280" s="9" t="n">
        <v>1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451</v>
      </c>
      <c r="AB280" s="10" t="n">
        <v>666</v>
      </c>
      <c r="AC280" s="10" t="n">
        <v>4</v>
      </c>
      <c r="AD280" s="10" t="n">
        <v>455</v>
      </c>
      <c r="AE280" s="10" t="n">
        <v>1125</v>
      </c>
      <c r="AF280" s="10" t="n">
        <v>0</v>
      </c>
    </row>
    <row r="281">
      <c r="A281" s="7" t="n">
        <v>339</v>
      </c>
      <c r="B281" s="8" t="inlineStr">
        <is>
          <t>Polling Station 339</t>
        </is>
      </c>
      <c r="C281" s="9" t="n">
        <v>190</v>
      </c>
      <c r="D281" s="9" t="n">
        <v>107</v>
      </c>
      <c r="E281" s="9" t="n">
        <v>175</v>
      </c>
      <c r="F281" s="9" t="n">
        <v>0</v>
      </c>
      <c r="G281" s="9" t="n">
        <v>0</v>
      </c>
      <c r="H281" s="9" t="n">
        <v>0</v>
      </c>
      <c r="I281" s="9" t="n">
        <v>1</v>
      </c>
      <c r="J281" s="9" t="n">
        <v>0</v>
      </c>
      <c r="K281" s="9" t="n">
        <v>1</v>
      </c>
      <c r="L281" s="9" t="n">
        <v>0</v>
      </c>
      <c r="M281" s="9" t="n">
        <v>0</v>
      </c>
      <c r="N281" s="9" t="n">
        <v>1</v>
      </c>
      <c r="O281" s="9" t="n">
        <v>0</v>
      </c>
      <c r="P281" s="9" t="n">
        <v>0</v>
      </c>
      <c r="Q281" s="9" t="n">
        <v>3</v>
      </c>
      <c r="R281" s="9" t="n">
        <v>2</v>
      </c>
      <c r="S281" s="9" t="n">
        <v>0</v>
      </c>
      <c r="T281" s="9" t="n">
        <v>0</v>
      </c>
      <c r="U281" s="9" t="n">
        <v>0</v>
      </c>
      <c r="V281" s="9" t="n">
        <v>0</v>
      </c>
      <c r="W281" s="9" t="n">
        <v>0</v>
      </c>
      <c r="X281" s="9" t="n">
        <v>0</v>
      </c>
      <c r="Y281" s="9" t="n">
        <v>0</v>
      </c>
      <c r="Z281" s="9" t="n">
        <v>3</v>
      </c>
      <c r="AA281" s="9" t="n">
        <v>494</v>
      </c>
      <c r="AB281" s="10" t="n">
        <v>977</v>
      </c>
      <c r="AC281" s="10" t="n">
        <v>0</v>
      </c>
      <c r="AD281" s="10" t="n">
        <v>494</v>
      </c>
      <c r="AE281" s="10" t="n">
        <v>1471</v>
      </c>
      <c r="AF281" s="10" t="n">
        <v>0</v>
      </c>
    </row>
    <row r="282">
      <c r="A282" s="7" t="n">
        <v>340</v>
      </c>
      <c r="B282" s="8" t="inlineStr">
        <is>
          <t>Polling Station 340</t>
        </is>
      </c>
      <c r="C282" s="9" t="n">
        <v>3</v>
      </c>
      <c r="D282" s="9" t="n">
        <v>4</v>
      </c>
      <c r="E282" s="9" t="n">
        <v>5</v>
      </c>
      <c r="F282" s="9" t="n">
        <v>6</v>
      </c>
      <c r="G282" s="9" t="n">
        <v>7</v>
      </c>
      <c r="H282" s="9" t="n">
        <v>8</v>
      </c>
      <c r="I282" s="9" t="n">
        <v>9</v>
      </c>
      <c r="J282" s="9" t="n">
        <v>10</v>
      </c>
      <c r="K282" s="9" t="n">
        <v>11</v>
      </c>
      <c r="L282" s="9" t="n">
        <v>12</v>
      </c>
      <c r="M282" s="9" t="n">
        <v>13</v>
      </c>
      <c r="N282" s="9" t="n">
        <v>14</v>
      </c>
      <c r="O282" s="9" t="n">
        <v>15</v>
      </c>
      <c r="P282" s="9" t="n">
        <v>16</v>
      </c>
      <c r="Q282" s="9" t="n">
        <v>17</v>
      </c>
      <c r="R282" s="9" t="n">
        <v>18</v>
      </c>
      <c r="S282" s="9" t="n">
        <v>19</v>
      </c>
      <c r="T282" s="9" t="n">
        <v>20</v>
      </c>
      <c r="U282" s="9" t="n">
        <v>21</v>
      </c>
      <c r="V282" s="9" t="n">
        <v>22</v>
      </c>
      <c r="W282" s="9" t="n">
        <v>23</v>
      </c>
      <c r="X282" s="9" t="n">
        <v>24</v>
      </c>
      <c r="Y282" s="9" t="n">
        <v>25</v>
      </c>
      <c r="Z282" s="9" t="n">
        <v>26</v>
      </c>
      <c r="AA282" s="9" t="n">
        <v>0</v>
      </c>
      <c r="AB282" s="10" t="n">
        <v>348</v>
      </c>
      <c r="AC282" s="10" t="n">
        <v>29</v>
      </c>
      <c r="AD282" s="10" t="n">
        <v>30</v>
      </c>
      <c r="AE282" s="10" t="n">
        <v>407</v>
      </c>
      <c r="AF282" s="10" t="n">
        <v>0</v>
      </c>
    </row>
    <row r="283">
      <c r="A283" s="7" t="n">
        <v>341</v>
      </c>
      <c r="B283" s="8" t="inlineStr">
        <is>
          <t>Polling Station 341</t>
        </is>
      </c>
      <c r="C283" s="9" t="n">
        <v>170</v>
      </c>
      <c r="D283" s="9" t="n">
        <v>174</v>
      </c>
      <c r="E283" s="9" t="n">
        <v>207</v>
      </c>
      <c r="F283" s="9" t="n">
        <v>4</v>
      </c>
      <c r="G283" s="9" t="n">
        <v>12</v>
      </c>
      <c r="H283" s="9" t="n">
        <v>1</v>
      </c>
      <c r="I283" s="9" t="n">
        <v>1</v>
      </c>
      <c r="J283" s="9" t="n">
        <v>4</v>
      </c>
      <c r="K283" s="9" t="n">
        <v>1</v>
      </c>
      <c r="L283" s="9" t="n">
        <v>1</v>
      </c>
      <c r="M283" s="9" t="n">
        <v>0</v>
      </c>
      <c r="N283" s="9" t="n">
        <v>1</v>
      </c>
      <c r="O283" s="9" t="n">
        <v>0</v>
      </c>
      <c r="P283" s="9" t="n">
        <v>2</v>
      </c>
      <c r="Q283" s="9" t="n">
        <v>6</v>
      </c>
      <c r="R283" s="9" t="n">
        <v>0</v>
      </c>
      <c r="S283" s="9" t="n">
        <v>11</v>
      </c>
      <c r="T283" s="9" t="n">
        <v>0</v>
      </c>
      <c r="U283" s="9" t="n">
        <v>0</v>
      </c>
      <c r="V283" s="9" t="n">
        <v>0</v>
      </c>
      <c r="W283" s="9" t="n">
        <v>1</v>
      </c>
      <c r="X283" s="9" t="n">
        <v>0</v>
      </c>
      <c r="Y283" s="9" t="n">
        <v>0</v>
      </c>
      <c r="Z283" s="9" t="n">
        <v>2</v>
      </c>
      <c r="AA283" s="9" t="n">
        <v>608</v>
      </c>
      <c r="AB283" s="10" t="n">
        <v>1206</v>
      </c>
      <c r="AC283" s="10" t="n">
        <v>2</v>
      </c>
      <c r="AD283" s="10" t="n">
        <v>0</v>
      </c>
      <c r="AE283" s="10" t="n">
        <v>1208</v>
      </c>
      <c r="AF283" s="10" t="n">
        <v>0</v>
      </c>
    </row>
    <row r="284">
      <c r="A284" s="7" t="n">
        <v>342</v>
      </c>
      <c r="B284" s="8" t="inlineStr">
        <is>
          <t>Polling Station 342</t>
        </is>
      </c>
      <c r="C284" s="9" t="n">
        <v>330</v>
      </c>
      <c r="D284" s="9" t="n">
        <v>160</v>
      </c>
      <c r="E284" s="9" t="n">
        <v>368</v>
      </c>
      <c r="F284" s="9" t="n">
        <v>2</v>
      </c>
      <c r="G284" s="9" t="n">
        <v>11</v>
      </c>
      <c r="H284" s="9" t="n">
        <v>1</v>
      </c>
      <c r="I284" s="9" t="n">
        <v>0</v>
      </c>
      <c r="J284" s="9" t="n">
        <v>1</v>
      </c>
      <c r="K284" s="9" t="n">
        <v>1</v>
      </c>
      <c r="L284" s="9" t="n">
        <v>0</v>
      </c>
      <c r="M284" s="9" t="n">
        <v>0</v>
      </c>
      <c r="N284" s="9" t="n">
        <v>2</v>
      </c>
      <c r="O284" s="9" t="n">
        <v>0</v>
      </c>
      <c r="P284" s="9" t="n">
        <v>1</v>
      </c>
      <c r="Q284" s="9" t="n">
        <v>5</v>
      </c>
      <c r="R284" s="9" t="n">
        <v>2</v>
      </c>
      <c r="S284" s="9" t="n">
        <v>2</v>
      </c>
      <c r="T284" s="9" t="n">
        <v>2</v>
      </c>
      <c r="U284" s="9" t="n">
        <v>1</v>
      </c>
      <c r="V284" s="9" t="n">
        <v>0</v>
      </c>
      <c r="W284" s="9" t="n">
        <v>0</v>
      </c>
      <c r="X284" s="9" t="n">
        <v>0</v>
      </c>
      <c r="Y284" s="9" t="n">
        <v>0</v>
      </c>
      <c r="Z284" s="9" t="n">
        <v>0</v>
      </c>
      <c r="AA284" s="9" t="n">
        <v>893</v>
      </c>
      <c r="AB284" s="10" t="n">
        <v>1782</v>
      </c>
      <c r="AC284" s="10" t="n">
        <v>8</v>
      </c>
      <c r="AD284" s="10" t="n">
        <v>0</v>
      </c>
      <c r="AE284" s="10" t="n">
        <v>1790</v>
      </c>
      <c r="AF284" s="10" t="n">
        <v>0</v>
      </c>
    </row>
    <row r="285">
      <c r="A285" s="7" t="n">
        <v>343</v>
      </c>
      <c r="B285" s="8" t="inlineStr">
        <is>
          <t>Polling Station 343</t>
        </is>
      </c>
      <c r="C285" s="9" t="n">
        <v>128</v>
      </c>
      <c r="D285" s="9" t="n">
        <v>31</v>
      </c>
      <c r="E285" s="9" t="n">
        <v>223</v>
      </c>
      <c r="F285" s="9" t="n">
        <v>2</v>
      </c>
      <c r="G285" s="9" t="n">
        <v>7</v>
      </c>
      <c r="H285" s="9" t="n">
        <v>0</v>
      </c>
      <c r="I285" s="9" t="n">
        <v>1</v>
      </c>
      <c r="J285" s="9" t="n">
        <v>2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2</v>
      </c>
      <c r="P285" s="9" t="n">
        <v>0</v>
      </c>
      <c r="Q285" s="9" t="n">
        <v>2</v>
      </c>
      <c r="R285" s="9" t="n">
        <v>4</v>
      </c>
      <c r="S285" s="9" t="n">
        <v>6</v>
      </c>
      <c r="T285" s="9" t="n">
        <v>2</v>
      </c>
      <c r="U285" s="9" t="n">
        <v>1</v>
      </c>
      <c r="V285" s="9" t="n">
        <v>0</v>
      </c>
      <c r="W285" s="9" t="n">
        <v>0</v>
      </c>
      <c r="X285" s="9" t="n">
        <v>1</v>
      </c>
      <c r="Y285" s="9" t="n">
        <v>0</v>
      </c>
      <c r="Z285" s="9" t="n">
        <v>1</v>
      </c>
      <c r="AA285" s="9" t="n">
        <v>413</v>
      </c>
      <c r="AB285" s="10" t="n">
        <v>826</v>
      </c>
      <c r="AC285" s="10" t="n">
        <v>6</v>
      </c>
      <c r="AD285" s="10" t="n">
        <v>419</v>
      </c>
      <c r="AE285" s="10" t="n">
        <v>1251</v>
      </c>
      <c r="AF285" s="10" t="n">
        <v>0</v>
      </c>
    </row>
    <row r="286">
      <c r="A286" s="7" t="n">
        <v>344</v>
      </c>
      <c r="B286" s="8" t="inlineStr">
        <is>
          <t>Polling Station 344</t>
        </is>
      </c>
      <c r="C286" s="9" t="n">
        <v>254</v>
      </c>
      <c r="D286" s="9" t="n">
        <v>197</v>
      </c>
      <c r="E286" s="9" t="n">
        <v>173</v>
      </c>
      <c r="F286" s="9" t="n">
        <v>4</v>
      </c>
      <c r="G286" s="9" t="n">
        <v>4</v>
      </c>
      <c r="H286" s="9" t="n">
        <v>0</v>
      </c>
      <c r="I286" s="9" t="n">
        <v>0</v>
      </c>
      <c r="J286" s="9" t="n">
        <v>0</v>
      </c>
      <c r="K286" s="9" t="n">
        <v>4</v>
      </c>
      <c r="L286" s="9" t="n">
        <v>0</v>
      </c>
      <c r="M286" s="9" t="n">
        <v>0</v>
      </c>
      <c r="N286" s="9" t="n">
        <v>1</v>
      </c>
      <c r="O286" s="9" t="n">
        <v>0</v>
      </c>
      <c r="P286" s="9" t="n">
        <v>0</v>
      </c>
      <c r="Q286" s="9" t="n">
        <v>4</v>
      </c>
      <c r="R286" s="9" t="n">
        <v>3</v>
      </c>
      <c r="S286" s="9" t="n">
        <v>5</v>
      </c>
      <c r="T286" s="9" t="n">
        <v>1</v>
      </c>
      <c r="U286" s="9" t="n">
        <v>2</v>
      </c>
      <c r="V286" s="9" t="n">
        <v>0</v>
      </c>
      <c r="W286" s="9" t="n">
        <v>0</v>
      </c>
      <c r="X286" s="9" t="n">
        <v>1</v>
      </c>
      <c r="Y286" s="9" t="n">
        <v>0</v>
      </c>
      <c r="Z286" s="9" t="n">
        <v>0</v>
      </c>
      <c r="AA286" s="9" t="n">
        <v>657</v>
      </c>
      <c r="AB286" s="10" t="n">
        <v>1310</v>
      </c>
      <c r="AC286" s="10" t="n">
        <v>7</v>
      </c>
      <c r="AD286" s="10" t="n">
        <v>0</v>
      </c>
      <c r="AE286" s="10" t="n">
        <v>1317</v>
      </c>
      <c r="AF286" s="10" t="n">
        <v>0</v>
      </c>
    </row>
    <row r="287">
      <c r="A287" s="7" t="n">
        <v>345</v>
      </c>
      <c r="B287" s="8" t="inlineStr">
        <is>
          <t>Polling Station 345</t>
        </is>
      </c>
      <c r="C287" s="9" t="n">
        <v>317</v>
      </c>
      <c r="D287" s="9" t="n">
        <v>178</v>
      </c>
      <c r="E287" s="9" t="n">
        <v>43</v>
      </c>
      <c r="F287" s="9" t="n">
        <v>2</v>
      </c>
      <c r="G287" s="9" t="n">
        <v>1</v>
      </c>
      <c r="H287" s="9" t="n">
        <v>2</v>
      </c>
      <c r="I287" s="9" t="n">
        <v>0</v>
      </c>
      <c r="J287" s="9" t="n">
        <v>1</v>
      </c>
      <c r="K287" s="9" t="n">
        <v>4</v>
      </c>
      <c r="L287" s="9" t="n">
        <v>0</v>
      </c>
      <c r="M287" s="9" t="n">
        <v>2</v>
      </c>
      <c r="N287" s="9" t="n">
        <v>0</v>
      </c>
      <c r="O287" s="9" t="n">
        <v>0</v>
      </c>
      <c r="P287" s="9" t="n">
        <v>0</v>
      </c>
      <c r="Q287" s="9" t="n">
        <v>0</v>
      </c>
      <c r="R287" s="9" t="n">
        <v>3</v>
      </c>
      <c r="S287" s="9" t="n">
        <v>16</v>
      </c>
      <c r="T287" s="9" t="n">
        <v>1</v>
      </c>
      <c r="U287" s="9" t="n">
        <v>0</v>
      </c>
      <c r="V287" s="9" t="n">
        <v>0</v>
      </c>
      <c r="W287" s="9" t="n">
        <v>2</v>
      </c>
      <c r="X287" s="9" t="n">
        <v>1</v>
      </c>
      <c r="Y287" s="9" t="n">
        <v>0</v>
      </c>
      <c r="Z287" s="9" t="n">
        <v>0</v>
      </c>
      <c r="AA287" s="9" t="n">
        <v>578</v>
      </c>
      <c r="AB287" s="10" t="n">
        <v>1151</v>
      </c>
      <c r="AC287" s="10" t="n">
        <v>8</v>
      </c>
      <c r="AD287" s="10" t="n">
        <v>0</v>
      </c>
      <c r="AE287" s="10" t="n">
        <v>1159</v>
      </c>
      <c r="AF287" s="10" t="n">
        <v>0</v>
      </c>
    </row>
    <row r="288">
      <c r="A288" s="7" t="n">
        <v>346</v>
      </c>
      <c r="B288" s="8" t="inlineStr">
        <is>
          <t>Polling Station 346</t>
        </is>
      </c>
      <c r="C288" s="9" t="n">
        <v>271</v>
      </c>
      <c r="D288" s="9" t="n">
        <v>89</v>
      </c>
      <c r="E288" s="9" t="n">
        <v>149</v>
      </c>
      <c r="F288" s="9" t="n">
        <v>3</v>
      </c>
      <c r="G288" s="9" t="n">
        <v>2</v>
      </c>
      <c r="H288" s="9" t="n">
        <v>0</v>
      </c>
      <c r="I288" s="9" t="n">
        <v>0</v>
      </c>
      <c r="J288" s="9" t="n">
        <v>1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2</v>
      </c>
      <c r="Q288" s="9" t="n">
        <v>3</v>
      </c>
      <c r="R288" s="9" t="n">
        <v>2</v>
      </c>
      <c r="S288" s="9" t="n">
        <v>15</v>
      </c>
      <c r="T288" s="9" t="n">
        <v>1</v>
      </c>
      <c r="U288" s="9" t="n">
        <v>1</v>
      </c>
      <c r="V288" s="9" t="n">
        <v>0</v>
      </c>
      <c r="W288" s="9" t="n">
        <v>0</v>
      </c>
      <c r="X288" s="9" t="n">
        <v>2</v>
      </c>
      <c r="Y288" s="9" t="n">
        <v>1</v>
      </c>
      <c r="Z288" s="9" t="n">
        <v>0</v>
      </c>
      <c r="AA288" s="9" t="n">
        <v>544</v>
      </c>
      <c r="AB288" s="10" t="n">
        <v>1086</v>
      </c>
      <c r="AC288" s="10" t="n">
        <v>0</v>
      </c>
      <c r="AD288" s="10" t="n">
        <v>0</v>
      </c>
      <c r="AE288" s="10" t="n">
        <v>1086</v>
      </c>
      <c r="AF288" s="10" t="n">
        <v>0</v>
      </c>
    </row>
    <row r="289">
      <c r="A289" s="7" t="n">
        <v>347</v>
      </c>
      <c r="B289" s="8" t="inlineStr">
        <is>
          <t>Polling Station 347</t>
        </is>
      </c>
      <c r="C289" s="9" t="n">
        <v>96</v>
      </c>
      <c r="D289" s="9" t="n">
        <v>70</v>
      </c>
      <c r="E289" s="9" t="n">
        <v>234</v>
      </c>
      <c r="F289" s="9" t="n">
        <v>2</v>
      </c>
      <c r="G289" s="9" t="n">
        <v>0</v>
      </c>
      <c r="H289" s="9" t="n">
        <v>1</v>
      </c>
      <c r="I289" s="9" t="n">
        <v>0</v>
      </c>
      <c r="J289" s="9" t="n">
        <v>2</v>
      </c>
      <c r="K289" s="9" t="n">
        <v>2</v>
      </c>
      <c r="L289" s="9" t="n">
        <v>0</v>
      </c>
      <c r="M289" s="9" t="n">
        <v>1</v>
      </c>
      <c r="N289" s="9" t="n">
        <v>3</v>
      </c>
      <c r="O289" s="9" t="n">
        <v>0</v>
      </c>
      <c r="P289" s="9" t="n">
        <v>1</v>
      </c>
      <c r="Q289" s="9" t="n">
        <v>0</v>
      </c>
      <c r="R289" s="9" t="n">
        <v>1</v>
      </c>
      <c r="S289" s="9" t="n">
        <v>0</v>
      </c>
      <c r="T289" s="9" t="n">
        <v>1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  <c r="AA289" s="9" t="n">
        <v>417</v>
      </c>
      <c r="AB289" s="10" t="n">
        <v>831</v>
      </c>
      <c r="AC289" s="10" t="n">
        <v>3</v>
      </c>
      <c r="AD289" s="10" t="n">
        <v>420</v>
      </c>
      <c r="AE289" s="10" t="n">
        <v>1254</v>
      </c>
      <c r="AF289" s="10" t="n">
        <v>0</v>
      </c>
    </row>
    <row r="290">
      <c r="A290" s="11" t="inlineStr">
        <is>
          <t>TOTAL EVM VOTES</t>
        </is>
      </c>
      <c r="B290" s="12" t="n"/>
      <c r="C290" s="13">
        <f>SUM(C6:C289)</f>
        <v/>
      </c>
      <c r="D290" s="13">
        <f>SUM(D6:D289)</f>
        <v/>
      </c>
      <c r="E290" s="13">
        <f>SUM(E6:E289)</f>
        <v/>
      </c>
      <c r="F290" s="13">
        <f>SUM(F6:F289)</f>
        <v/>
      </c>
      <c r="G290" s="13">
        <f>SUM(G6:G289)</f>
        <v/>
      </c>
      <c r="H290" s="13">
        <f>SUM(H6:H289)</f>
        <v/>
      </c>
      <c r="I290" s="13">
        <f>SUM(I6:I289)</f>
        <v/>
      </c>
      <c r="J290" s="13">
        <f>SUM(J6:J289)</f>
        <v/>
      </c>
      <c r="K290" s="13">
        <f>SUM(K6:K289)</f>
        <v/>
      </c>
      <c r="L290" s="13">
        <f>SUM(L6:L289)</f>
        <v/>
      </c>
      <c r="M290" s="13">
        <f>SUM(M6:M289)</f>
        <v/>
      </c>
      <c r="N290" s="13">
        <f>SUM(N6:N289)</f>
        <v/>
      </c>
      <c r="O290" s="13">
        <f>SUM(O6:O289)</f>
        <v/>
      </c>
      <c r="P290" s="13">
        <f>SUM(P6:P289)</f>
        <v/>
      </c>
      <c r="Q290" s="13">
        <f>SUM(Q6:Q289)</f>
        <v/>
      </c>
      <c r="R290" s="13">
        <f>SUM(R6:R289)</f>
        <v/>
      </c>
      <c r="S290" s="13">
        <f>SUM(S6:S289)</f>
        <v/>
      </c>
      <c r="T290" s="13">
        <f>SUM(T6:T289)</f>
        <v/>
      </c>
      <c r="U290" s="13">
        <f>SUM(U6:U289)</f>
        <v/>
      </c>
      <c r="V290" s="13">
        <f>SUM(V6:V289)</f>
        <v/>
      </c>
      <c r="W290" s="13">
        <f>SUM(W6:W289)</f>
        <v/>
      </c>
      <c r="X290" s="13">
        <f>SUM(X6:X289)</f>
        <v/>
      </c>
      <c r="Y290" s="13">
        <f>SUM(Y6:Y289)</f>
        <v/>
      </c>
      <c r="Z290" s="13">
        <f>SUM(Z6:Z289)</f>
        <v/>
      </c>
      <c r="AA290" s="13">
        <f>SUM(AA6:AA289)</f>
        <v/>
      </c>
      <c r="AB290" s="13">
        <f>SUM(AB6:AB289)</f>
        <v/>
      </c>
      <c r="AC290" s="13">
        <f>SUM(AC6:AC289)</f>
        <v/>
      </c>
      <c r="AD290" s="13">
        <f>SUM(AD6:AD289)</f>
        <v/>
      </c>
      <c r="AE290" s="13">
        <f>SUM(AE6:AE289)</f>
        <v/>
      </c>
      <c r="AF290" s="13">
        <f>SUM(AF6:AF289)</f>
        <v/>
      </c>
    </row>
    <row r="291">
      <c r="A291" s="11" t="inlineStr">
        <is>
          <t>POSTAL BALLOT VOTES</t>
        </is>
      </c>
      <c r="B291" s="12" t="n"/>
      <c r="C291" s="13" t="n">
        <v>0</v>
      </c>
      <c r="D291" s="13" t="n">
        <v>0</v>
      </c>
      <c r="E291" s="13" t="n">
        <v>0</v>
      </c>
      <c r="F291" s="13" t="n">
        <v>0</v>
      </c>
      <c r="G291" s="13" t="n">
        <v>0</v>
      </c>
      <c r="H291" s="13" t="n">
        <v>0</v>
      </c>
      <c r="I291" s="13" t="n">
        <v>0</v>
      </c>
      <c r="J291" s="13" t="n">
        <v>0</v>
      </c>
      <c r="K291" s="13" t="n">
        <v>0</v>
      </c>
      <c r="L291" s="13" t="n">
        <v>0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  <c r="V291" s="13" t="n">
        <v>0</v>
      </c>
      <c r="W291" s="13" t="n">
        <v>0</v>
      </c>
      <c r="X291" s="13" t="n">
        <v>0</v>
      </c>
      <c r="Y291" s="13" t="n">
        <v>0</v>
      </c>
      <c r="Z291" s="13" t="n">
        <v>0</v>
      </c>
      <c r="AA291" s="13" t="n">
        <v>0</v>
      </c>
      <c r="AB291" s="13" t="n">
        <v>0</v>
      </c>
      <c r="AC291" s="13" t="n">
        <v>0</v>
      </c>
      <c r="AD291" s="13" t="n">
        <v>0</v>
      </c>
      <c r="AE291" s="13" t="n">
        <v>0</v>
      </c>
      <c r="AF291" s="13" t="n">
        <v>0</v>
      </c>
    </row>
    <row r="292">
      <c r="A292" s="11" t="inlineStr">
        <is>
          <t>TOTAL VOTES POLLED</t>
        </is>
      </c>
      <c r="B292" s="12" t="n"/>
      <c r="C292" s="14">
        <f>C290+C291</f>
        <v/>
      </c>
      <c r="D292" s="14">
        <f>D290+D291</f>
        <v/>
      </c>
      <c r="E292" s="14">
        <f>E290+E291</f>
        <v/>
      </c>
      <c r="F292" s="14">
        <f>F290+F291</f>
        <v/>
      </c>
      <c r="G292" s="14">
        <f>G290+G291</f>
        <v/>
      </c>
      <c r="H292" s="14">
        <f>H290+H291</f>
        <v/>
      </c>
      <c r="I292" s="14">
        <f>I290+I291</f>
        <v/>
      </c>
      <c r="J292" s="14">
        <f>J290+J291</f>
        <v/>
      </c>
      <c r="K292" s="14">
        <f>K290+K291</f>
        <v/>
      </c>
      <c r="L292" s="14">
        <f>L290+L291</f>
        <v/>
      </c>
      <c r="M292" s="14">
        <f>M290+M291</f>
        <v/>
      </c>
      <c r="N292" s="14">
        <f>N290+N291</f>
        <v/>
      </c>
      <c r="O292" s="14">
        <f>O290+O291</f>
        <v/>
      </c>
      <c r="P292" s="14">
        <f>P290+P291</f>
        <v/>
      </c>
      <c r="Q292" s="14">
        <f>Q290+Q291</f>
        <v/>
      </c>
      <c r="R292" s="14">
        <f>R290+R291</f>
        <v/>
      </c>
      <c r="S292" s="14">
        <f>S290+S291</f>
        <v/>
      </c>
      <c r="T292" s="14">
        <f>T290+T291</f>
        <v/>
      </c>
      <c r="U292" s="14">
        <f>U290+U291</f>
        <v/>
      </c>
      <c r="V292" s="14">
        <f>V290+V291</f>
        <v/>
      </c>
      <c r="W292" s="14">
        <f>W290+W291</f>
        <v/>
      </c>
      <c r="X292" s="14">
        <f>X290+X291</f>
        <v/>
      </c>
      <c r="Y292" s="14">
        <f>Y290+Y291</f>
        <v/>
      </c>
      <c r="Z292" s="14">
        <f>Z290+Z291</f>
        <v/>
      </c>
      <c r="AA292" s="14">
        <f>AA290+AA291</f>
        <v/>
      </c>
      <c r="AB292" s="14">
        <f>AB290+AB291</f>
        <v/>
      </c>
      <c r="AC292" s="14">
        <f>AC290+AC291</f>
        <v/>
      </c>
      <c r="AD292" s="14">
        <f>AD290+AD291</f>
        <v/>
      </c>
      <c r="AE292" s="14">
        <f>AE290+AE291</f>
        <v/>
      </c>
      <c r="AF292" s="14">
        <f>AF290+AF291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19" customWidth="1" min="4" max="4"/>
    <col width="20" customWidth="1" min="5" max="5"/>
    <col width="16" customWidth="1" min="6" max="6"/>
    <col width="18" customWidth="1" min="7" max="7"/>
    <col width="21" customWidth="1" min="8" max="8"/>
    <col width="23" customWidth="1" min="9" max="9"/>
    <col width="24" customWidth="1" min="10" max="10"/>
    <col width="24" customWidth="1" min="11" max="11"/>
    <col width="19" customWidth="1" min="12" max="12"/>
    <col width="22" customWidth="1" min="13" max="13"/>
    <col width="23" customWidth="1" min="14" max="14"/>
    <col width="17" customWidth="1" min="15" max="15"/>
    <col width="21" customWidth="1" min="16" max="16"/>
    <col width="16" customWidth="1" min="17" max="17"/>
    <col width="18" customWidth="1" min="18" max="18"/>
    <col width="18" customWidth="1" min="19" max="19"/>
    <col width="16" customWidth="1" min="20" max="20"/>
    <col width="20" customWidth="1" min="21" max="21"/>
    <col width="17" customWidth="1" min="22" max="22"/>
    <col width="16" customWidth="1" min="23" max="23"/>
    <col width="16" customWidth="1" min="24" max="24"/>
    <col width="17" customWidth="1" min="25" max="25"/>
  </cols>
  <sheetData>
    <row r="1">
      <c r="A1" s="1" t="inlineStr">
        <is>
          <t>Telangana Legislative Assembly General Election 2018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27-Choppadandi Assembly Constituency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Bodiga Shobha Galanna</t>
        </is>
      </c>
      <c r="D5" s="6" t="inlineStr">
        <is>
          <t>Medipally Satyam</t>
        </is>
      </c>
      <c r="E5" s="6" t="inlineStr">
        <is>
          <t>Sunke Ravishankar</t>
        </is>
      </c>
      <c r="F5" s="6" t="inlineStr">
        <is>
          <t>Ambati Babu</t>
        </is>
      </c>
      <c r="G5" s="6" t="inlineStr">
        <is>
          <t>Kandula Gopaiah</t>
        </is>
      </c>
      <c r="H5" s="6" t="inlineStr">
        <is>
          <t>Cheera Lingamurthy</t>
        </is>
      </c>
      <c r="I5" s="6" t="inlineStr">
        <is>
          <t>Dr. Cheruku Sudhakar</t>
        </is>
      </c>
      <c r="J5" s="6" t="inlineStr">
        <is>
          <t>Nakkala Venkataramulu</t>
        </is>
      </c>
      <c r="K5" s="6" t="inlineStr">
        <is>
          <t>Burra Rajendra Prasad</t>
        </is>
      </c>
      <c r="L5" s="6" t="inlineStr">
        <is>
          <t>Mekala Mallesham</t>
        </is>
      </c>
      <c r="M5" s="6" t="inlineStr">
        <is>
          <t>Vallapu Dasharatham</t>
        </is>
      </c>
      <c r="N5" s="6" t="inlineStr">
        <is>
          <t>Shankaraiah Jinukala</t>
        </is>
      </c>
      <c r="O5" s="6" t="inlineStr">
        <is>
          <t>Kandula Ramesh</t>
        </is>
      </c>
      <c r="P5" s="6" t="inlineStr">
        <is>
          <t>Kallepelli Anjaiah</t>
        </is>
      </c>
      <c r="Q5" s="6" t="inlineStr">
        <is>
          <t>Gade Gopaiah</t>
        </is>
      </c>
      <c r="R5" s="6" t="inlineStr">
        <is>
          <t>Jilla Mallesham</t>
        </is>
      </c>
      <c r="S5" s="6" t="inlineStr">
        <is>
          <t>Dudam Mallesham</t>
        </is>
      </c>
      <c r="T5" s="6" t="inlineStr">
        <is>
          <t>B.C. Rajender</t>
        </is>
      </c>
      <c r="U5" s="5" t="inlineStr">
        <is>
          <t>Total_Valid_Votes</t>
        </is>
      </c>
      <c r="V5" s="5" t="inlineStr">
        <is>
          <t>Rejected_Votes</t>
        </is>
      </c>
      <c r="W5" s="5" t="inlineStr">
        <is>
          <t>NOTA</t>
        </is>
      </c>
      <c r="X5" s="5" t="inlineStr">
        <is>
          <t>Total_Votes</t>
        </is>
      </c>
      <c r="Y5" s="5" t="inlineStr">
        <is>
          <t>Tendered_Votes</t>
        </is>
      </c>
    </row>
    <row r="6">
      <c r="A6" s="7" t="n">
        <v>1</v>
      </c>
      <c r="B6" s="8" t="inlineStr">
        <is>
          <t>Polling Station 1</t>
        </is>
      </c>
      <c r="C6" s="9" t="n">
        <v>2</v>
      </c>
      <c r="D6" s="9" t="n">
        <v>3</v>
      </c>
      <c r="E6" s="9" t="n">
        <v>4</v>
      </c>
      <c r="F6" s="9" t="n">
        <v>0</v>
      </c>
      <c r="G6" s="9" t="n">
        <v>6</v>
      </c>
      <c r="H6" s="9" t="n">
        <v>7</v>
      </c>
      <c r="I6" s="9" t="n">
        <v>8</v>
      </c>
      <c r="J6" s="9" t="n">
        <v>9</v>
      </c>
      <c r="K6" s="9" t="n">
        <v>10</v>
      </c>
      <c r="L6" s="9" t="n">
        <v>1</v>
      </c>
      <c r="M6" s="9" t="n">
        <v>12</v>
      </c>
      <c r="N6" s="9" t="n">
        <v>2</v>
      </c>
      <c r="O6" s="9" t="n">
        <v>14</v>
      </c>
      <c r="P6" s="9" t="n">
        <v>15</v>
      </c>
      <c r="Q6" s="9" t="n">
        <v>16</v>
      </c>
      <c r="R6" s="9" t="n">
        <v>17</v>
      </c>
      <c r="S6" s="9" t="n">
        <v>18</v>
      </c>
      <c r="T6" s="9" t="n">
        <v>19</v>
      </c>
      <c r="U6" s="10" t="n">
        <v>163</v>
      </c>
      <c r="V6" s="10" t="n">
        <v>0</v>
      </c>
      <c r="W6" s="10" t="n">
        <v>0</v>
      </c>
      <c r="X6" s="10" t="n">
        <v>163</v>
      </c>
      <c r="Y6" s="10" t="n">
        <v>0</v>
      </c>
    </row>
    <row r="7">
      <c r="A7" s="7" t="n">
        <v>2</v>
      </c>
      <c r="B7" s="8" t="inlineStr">
        <is>
          <t>Polling Station 2</t>
        </is>
      </c>
      <c r="C7" s="9" t="n">
        <v>1</v>
      </c>
      <c r="D7" s="9" t="n">
        <v>65</v>
      </c>
      <c r="E7" s="9" t="n">
        <v>8</v>
      </c>
      <c r="F7" s="9" t="n">
        <v>129</v>
      </c>
      <c r="G7" s="9" t="n">
        <v>285</v>
      </c>
      <c r="H7" s="9" t="n">
        <v>3</v>
      </c>
      <c r="I7" s="9" t="n">
        <v>2</v>
      </c>
      <c r="J7" s="9" t="n">
        <v>0</v>
      </c>
      <c r="K7" s="9" t="n">
        <v>6</v>
      </c>
      <c r="L7" s="9" t="n">
        <v>0</v>
      </c>
      <c r="M7" s="9" t="n">
        <v>1</v>
      </c>
      <c r="N7" s="9" t="n">
        <v>6</v>
      </c>
      <c r="O7" s="9" t="n">
        <v>5</v>
      </c>
      <c r="P7" s="9" t="n">
        <v>9</v>
      </c>
      <c r="Q7" s="9" t="n">
        <v>519</v>
      </c>
      <c r="R7" s="9" t="n">
        <v>0</v>
      </c>
      <c r="S7" s="9" t="n">
        <v>5</v>
      </c>
      <c r="T7" s="9" t="n">
        <v>524</v>
      </c>
      <c r="U7" s="10" t="n">
        <v>1568</v>
      </c>
      <c r="V7" s="10" t="n">
        <v>0</v>
      </c>
      <c r="W7" s="10" t="n">
        <v>0</v>
      </c>
      <c r="X7" s="10" t="n">
        <v>1568</v>
      </c>
      <c r="Y7" s="10" t="n">
        <v>0</v>
      </c>
    </row>
    <row r="8">
      <c r="A8" s="7" t="n">
        <v>3</v>
      </c>
      <c r="B8" s="8" t="inlineStr">
        <is>
          <t>Polling Station 3</t>
        </is>
      </c>
      <c r="C8" s="9" t="n">
        <v>2</v>
      </c>
      <c r="D8" s="9" t="n">
        <v>48</v>
      </c>
      <c r="E8" s="9" t="n">
        <v>6</v>
      </c>
      <c r="F8" s="9" t="n">
        <v>139</v>
      </c>
      <c r="G8" s="9" t="n">
        <v>297</v>
      </c>
      <c r="H8" s="9" t="n">
        <v>5</v>
      </c>
      <c r="I8" s="9" t="n">
        <v>2</v>
      </c>
      <c r="J8" s="9" t="n">
        <v>0</v>
      </c>
      <c r="K8" s="9" t="n">
        <v>2</v>
      </c>
      <c r="L8" s="9" t="n">
        <v>0</v>
      </c>
      <c r="M8" s="9" t="n">
        <v>3</v>
      </c>
      <c r="N8" s="9" t="n">
        <v>14</v>
      </c>
      <c r="O8" s="9" t="n">
        <v>6</v>
      </c>
      <c r="P8" s="9" t="n">
        <v>1</v>
      </c>
      <c r="Q8" s="9" t="n">
        <v>533</v>
      </c>
      <c r="R8" s="9" t="n">
        <v>0</v>
      </c>
      <c r="S8" s="9" t="n">
        <v>8</v>
      </c>
      <c r="T8" s="9" t="n">
        <v>541</v>
      </c>
      <c r="U8" s="10" t="n">
        <v>1607</v>
      </c>
      <c r="V8" s="10" t="n">
        <v>0</v>
      </c>
      <c r="W8" s="10" t="n">
        <v>0</v>
      </c>
      <c r="X8" s="10" t="n">
        <v>1607</v>
      </c>
      <c r="Y8" s="10" t="n">
        <v>0</v>
      </c>
    </row>
    <row r="9">
      <c r="A9" s="7" t="n">
        <v>4</v>
      </c>
      <c r="B9" s="8" t="inlineStr">
        <is>
          <t>Polling Station 4</t>
        </is>
      </c>
      <c r="C9" s="9" t="n">
        <v>3</v>
      </c>
      <c r="D9" s="9" t="n">
        <v>57</v>
      </c>
      <c r="E9" s="9" t="n">
        <v>4</v>
      </c>
      <c r="F9" s="9" t="n">
        <v>153</v>
      </c>
      <c r="G9" s="9" t="n">
        <v>272</v>
      </c>
      <c r="H9" s="9" t="n">
        <v>2</v>
      </c>
      <c r="I9" s="9" t="n">
        <v>0</v>
      </c>
      <c r="J9" s="9" t="n">
        <v>0</v>
      </c>
      <c r="K9" s="9" t="n">
        <v>1</v>
      </c>
      <c r="L9" s="9" t="n">
        <v>0</v>
      </c>
      <c r="M9" s="9" t="n">
        <v>1</v>
      </c>
      <c r="N9" s="9" t="n">
        <v>8</v>
      </c>
      <c r="O9" s="9" t="n">
        <v>4</v>
      </c>
      <c r="P9" s="9" t="n">
        <v>7</v>
      </c>
      <c r="Q9" s="9" t="n">
        <v>509</v>
      </c>
      <c r="R9" s="9" t="n">
        <v>0</v>
      </c>
      <c r="S9" s="9" t="n">
        <v>4</v>
      </c>
      <c r="T9" s="9" t="n">
        <v>513</v>
      </c>
      <c r="U9" s="10" t="n">
        <v>1538</v>
      </c>
      <c r="V9" s="10" t="n">
        <v>0</v>
      </c>
      <c r="W9" s="10" t="n">
        <v>0</v>
      </c>
      <c r="X9" s="10" t="n">
        <v>1538</v>
      </c>
      <c r="Y9" s="10" t="n">
        <v>0</v>
      </c>
    </row>
    <row r="10">
      <c r="A10" s="7" t="n">
        <v>5</v>
      </c>
      <c r="B10" s="8" t="inlineStr">
        <is>
          <t>Polling Station 5</t>
        </is>
      </c>
      <c r="C10" s="9" t="n">
        <v>4</v>
      </c>
      <c r="D10" s="9" t="n">
        <v>191</v>
      </c>
      <c r="E10" s="9" t="n">
        <v>6</v>
      </c>
      <c r="F10" s="9" t="n">
        <v>129</v>
      </c>
      <c r="G10" s="9" t="n">
        <v>534</v>
      </c>
      <c r="H10" s="9" t="n">
        <v>5</v>
      </c>
      <c r="I10" s="9" t="n">
        <v>2</v>
      </c>
      <c r="J10" s="9" t="n">
        <v>1</v>
      </c>
      <c r="K10" s="9" t="n">
        <v>3</v>
      </c>
      <c r="L10" s="9" t="n">
        <v>2</v>
      </c>
      <c r="M10" s="9" t="n">
        <v>2</v>
      </c>
      <c r="N10" s="9" t="n">
        <v>23</v>
      </c>
      <c r="O10" s="9" t="n">
        <v>16</v>
      </c>
      <c r="P10" s="9" t="n">
        <v>8</v>
      </c>
      <c r="Q10" s="9" t="n">
        <v>912</v>
      </c>
      <c r="R10" s="9" t="n">
        <v>0</v>
      </c>
      <c r="S10" s="9" t="n">
        <v>9</v>
      </c>
      <c r="T10" s="9" t="n">
        <v>921</v>
      </c>
      <c r="U10" s="10" t="n">
        <v>2768</v>
      </c>
      <c r="V10" s="10" t="n">
        <v>0</v>
      </c>
      <c r="W10" s="10" t="n">
        <v>0</v>
      </c>
      <c r="X10" s="10" t="n">
        <v>2768</v>
      </c>
      <c r="Y10" s="10" t="n">
        <v>0</v>
      </c>
    </row>
    <row r="11">
      <c r="A11" s="7" t="n">
        <v>6</v>
      </c>
      <c r="B11" s="8" t="inlineStr">
        <is>
          <t>Polling Station 6</t>
        </is>
      </c>
      <c r="C11" s="9" t="n">
        <v>5</v>
      </c>
      <c r="D11" s="9" t="n">
        <v>179</v>
      </c>
      <c r="E11" s="9" t="n">
        <v>9</v>
      </c>
      <c r="F11" s="9" t="n">
        <v>152</v>
      </c>
      <c r="G11" s="9" t="n">
        <v>540</v>
      </c>
      <c r="H11" s="9" t="n">
        <v>4</v>
      </c>
      <c r="I11" s="9" t="n">
        <v>3</v>
      </c>
      <c r="J11" s="9" t="n">
        <v>2</v>
      </c>
      <c r="K11" s="9" t="n">
        <v>5</v>
      </c>
      <c r="L11" s="9" t="n">
        <v>2</v>
      </c>
      <c r="M11" s="9" t="n">
        <v>0</v>
      </c>
      <c r="N11" s="9" t="n">
        <v>9</v>
      </c>
      <c r="O11" s="9" t="n">
        <v>1</v>
      </c>
      <c r="P11" s="9" t="n">
        <v>9</v>
      </c>
      <c r="Q11" s="9" t="n">
        <v>925</v>
      </c>
      <c r="R11" s="9" t="n">
        <v>0</v>
      </c>
      <c r="S11" s="9" t="n">
        <v>16</v>
      </c>
      <c r="T11" s="9" t="n">
        <v>941</v>
      </c>
      <c r="U11" s="10" t="n">
        <v>2802</v>
      </c>
      <c r="V11" s="10" t="n">
        <v>0</v>
      </c>
      <c r="W11" s="10" t="n">
        <v>0</v>
      </c>
      <c r="X11" s="10" t="n">
        <v>2802</v>
      </c>
      <c r="Y11" s="10" t="n">
        <v>0</v>
      </c>
    </row>
    <row r="12">
      <c r="A12" s="7" t="n">
        <v>7</v>
      </c>
      <c r="B12" s="8" t="inlineStr">
        <is>
          <t>Polling Station 7</t>
        </is>
      </c>
      <c r="C12" s="9" t="n">
        <v>6</v>
      </c>
      <c r="D12" s="9" t="n">
        <v>96</v>
      </c>
      <c r="E12" s="9" t="n">
        <v>4</v>
      </c>
      <c r="F12" s="9" t="n">
        <v>222</v>
      </c>
      <c r="G12" s="9" t="n">
        <v>317</v>
      </c>
      <c r="H12" s="9" t="n">
        <v>2</v>
      </c>
      <c r="I12" s="9" t="n">
        <v>1</v>
      </c>
      <c r="J12" s="9" t="n">
        <v>3</v>
      </c>
      <c r="K12" s="9" t="n">
        <v>2</v>
      </c>
      <c r="L12" s="9" t="n">
        <v>4</v>
      </c>
      <c r="M12" s="9" t="n">
        <v>3</v>
      </c>
      <c r="N12" s="9" t="n">
        <v>8</v>
      </c>
      <c r="O12" s="9" t="n">
        <v>14</v>
      </c>
      <c r="P12" s="9" t="n">
        <v>9</v>
      </c>
      <c r="Q12" s="9" t="n">
        <v>685</v>
      </c>
      <c r="R12" s="9" t="n">
        <v>0</v>
      </c>
      <c r="S12" s="9" t="n">
        <v>10</v>
      </c>
      <c r="T12" s="9" t="n">
        <v>695</v>
      </c>
      <c r="U12" s="10" t="n">
        <v>2081</v>
      </c>
      <c r="V12" s="10" t="n">
        <v>0</v>
      </c>
      <c r="W12" s="10" t="n">
        <v>0</v>
      </c>
      <c r="X12" s="10" t="n">
        <v>2081</v>
      </c>
      <c r="Y12" s="10" t="n">
        <v>0</v>
      </c>
    </row>
    <row r="13">
      <c r="A13" s="7" t="n">
        <v>8</v>
      </c>
      <c r="B13" s="8" t="inlineStr">
        <is>
          <t>Polling Station 8</t>
        </is>
      </c>
      <c r="C13" s="9" t="n">
        <v>7</v>
      </c>
      <c r="D13" s="9" t="n">
        <v>211</v>
      </c>
      <c r="E13" s="9" t="n">
        <v>7</v>
      </c>
      <c r="F13" s="9" t="n">
        <v>213</v>
      </c>
      <c r="G13" s="9" t="n">
        <v>305</v>
      </c>
      <c r="H13" s="9" t="n">
        <v>10</v>
      </c>
      <c r="I13" s="9" t="n">
        <v>2</v>
      </c>
      <c r="J13" s="9" t="n">
        <v>2</v>
      </c>
      <c r="K13" s="9" t="n">
        <v>2</v>
      </c>
      <c r="L13" s="9" t="n">
        <v>0</v>
      </c>
      <c r="M13" s="9" t="n">
        <v>2</v>
      </c>
      <c r="N13" s="9" t="n">
        <v>7</v>
      </c>
      <c r="O13" s="9" t="n">
        <v>7</v>
      </c>
      <c r="P13" s="9" t="n">
        <v>6</v>
      </c>
      <c r="Q13" s="9" t="n">
        <v>784</v>
      </c>
      <c r="R13" s="9" t="n">
        <v>0</v>
      </c>
      <c r="S13" s="9" t="n">
        <v>7</v>
      </c>
      <c r="T13" s="9" t="n">
        <v>791</v>
      </c>
      <c r="U13" s="10" t="n">
        <v>2363</v>
      </c>
      <c r="V13" s="10" t="n">
        <v>0</v>
      </c>
      <c r="W13" s="10" t="n">
        <v>0</v>
      </c>
      <c r="X13" s="10" t="n">
        <v>2363</v>
      </c>
      <c r="Y13" s="10" t="n">
        <v>0</v>
      </c>
    </row>
    <row r="14">
      <c r="A14" s="7" t="n">
        <v>9</v>
      </c>
      <c r="B14" s="8" t="inlineStr">
        <is>
          <t>Polling Station 9</t>
        </is>
      </c>
      <c r="C14" s="9" t="n">
        <v>8</v>
      </c>
      <c r="D14" s="9" t="n">
        <v>116</v>
      </c>
      <c r="E14" s="9" t="n">
        <v>12</v>
      </c>
      <c r="F14" s="9" t="n">
        <v>75</v>
      </c>
      <c r="G14" s="9" t="n">
        <v>390</v>
      </c>
      <c r="H14" s="9" t="n">
        <v>3</v>
      </c>
      <c r="I14" s="9" t="n">
        <v>2</v>
      </c>
      <c r="J14" s="9" t="n">
        <v>0</v>
      </c>
      <c r="K14" s="9" t="n">
        <v>2</v>
      </c>
      <c r="L14" s="9" t="n">
        <v>2</v>
      </c>
      <c r="M14" s="9" t="n">
        <v>3</v>
      </c>
      <c r="N14" s="9" t="n">
        <v>7</v>
      </c>
      <c r="O14" s="9" t="n">
        <v>10</v>
      </c>
      <c r="P14" s="9" t="n">
        <v>6</v>
      </c>
      <c r="Q14" s="9" t="n">
        <v>628</v>
      </c>
      <c r="R14" s="9" t="n">
        <v>0</v>
      </c>
      <c r="S14" s="9" t="n">
        <v>5</v>
      </c>
      <c r="T14" s="9" t="n">
        <v>633</v>
      </c>
      <c r="U14" s="10" t="n">
        <v>1902</v>
      </c>
      <c r="V14" s="10" t="n">
        <v>0</v>
      </c>
      <c r="W14" s="10" t="n">
        <v>0</v>
      </c>
      <c r="X14" s="10" t="n">
        <v>1902</v>
      </c>
      <c r="Y14" s="10" t="n">
        <v>0</v>
      </c>
    </row>
    <row r="15">
      <c r="A15" s="7" t="n">
        <v>10</v>
      </c>
      <c r="B15" s="8" t="inlineStr">
        <is>
          <t>Polling Station 10</t>
        </is>
      </c>
      <c r="C15" s="9" t="n">
        <v>9</v>
      </c>
      <c r="D15" s="9" t="n">
        <v>14</v>
      </c>
      <c r="E15" s="9" t="n">
        <v>0</v>
      </c>
      <c r="F15" s="9" t="n">
        <v>472</v>
      </c>
      <c r="G15" s="9" t="n">
        <v>532</v>
      </c>
      <c r="H15" s="9" t="n">
        <v>2</v>
      </c>
      <c r="I15" s="9" t="n">
        <v>2</v>
      </c>
      <c r="J15" s="9" t="n">
        <v>2</v>
      </c>
      <c r="K15" s="9" t="n">
        <v>2</v>
      </c>
      <c r="L15" s="9" t="n">
        <v>2</v>
      </c>
      <c r="M15" s="9" t="n">
        <v>3</v>
      </c>
      <c r="N15" s="9" t="n">
        <v>18</v>
      </c>
      <c r="O15" s="9" t="n">
        <v>19</v>
      </c>
      <c r="P15" s="9" t="n">
        <v>15</v>
      </c>
      <c r="Q15" s="9" t="n">
        <v>790</v>
      </c>
      <c r="R15" s="9" t="n">
        <v>0</v>
      </c>
      <c r="S15" s="9" t="n">
        <v>8</v>
      </c>
      <c r="T15" s="9" t="n">
        <v>798</v>
      </c>
      <c r="U15" s="10" t="n">
        <v>2688</v>
      </c>
      <c r="V15" s="10" t="n">
        <v>0</v>
      </c>
      <c r="W15" s="10" t="n">
        <v>0</v>
      </c>
      <c r="X15" s="10" t="n">
        <v>2688</v>
      </c>
      <c r="Y15" s="10" t="n">
        <v>0</v>
      </c>
    </row>
    <row r="16">
      <c r="A16" s="7" t="n">
        <v>11</v>
      </c>
      <c r="B16" s="8" t="inlineStr">
        <is>
          <t>Polling Station 11</t>
        </is>
      </c>
      <c r="C16" s="9" t="n">
        <v>10</v>
      </c>
      <c r="D16" s="9" t="n">
        <v>84</v>
      </c>
      <c r="E16" s="9" t="n">
        <v>0</v>
      </c>
      <c r="F16" s="9" t="n">
        <v>204</v>
      </c>
      <c r="G16" s="9" t="n">
        <v>451</v>
      </c>
      <c r="H16" s="9" t="n">
        <v>8</v>
      </c>
      <c r="I16" s="9" t="n">
        <v>0</v>
      </c>
      <c r="J16" s="9" t="n">
        <v>0</v>
      </c>
      <c r="K16" s="9" t="n">
        <v>3</v>
      </c>
      <c r="L16" s="9" t="n">
        <v>4</v>
      </c>
      <c r="M16" s="9" t="n">
        <v>2</v>
      </c>
      <c r="N16" s="9" t="n">
        <v>0</v>
      </c>
      <c r="O16" s="9" t="n">
        <v>8</v>
      </c>
      <c r="P16" s="9" t="n">
        <v>8</v>
      </c>
      <c r="Q16" s="9" t="n">
        <v>784</v>
      </c>
      <c r="R16" s="9" t="n">
        <v>0</v>
      </c>
      <c r="S16" s="9" t="n">
        <v>14</v>
      </c>
      <c r="T16" s="9" t="n">
        <v>798</v>
      </c>
      <c r="U16" s="10" t="n">
        <v>2378</v>
      </c>
      <c r="V16" s="10" t="n">
        <v>0</v>
      </c>
      <c r="W16" s="10" t="n">
        <v>0</v>
      </c>
      <c r="X16" s="10" t="n">
        <v>2378</v>
      </c>
      <c r="Y16" s="10" t="n">
        <v>0</v>
      </c>
    </row>
    <row r="17">
      <c r="A17" s="7" t="n">
        <v>12</v>
      </c>
      <c r="B17" s="8" t="inlineStr">
        <is>
          <t>Polling Station 12</t>
        </is>
      </c>
      <c r="C17" s="9" t="n">
        <v>1</v>
      </c>
      <c r="D17" s="9" t="n">
        <v>73</v>
      </c>
      <c r="E17" s="9" t="n">
        <v>9</v>
      </c>
      <c r="F17" s="9" t="n">
        <v>168</v>
      </c>
      <c r="G17" s="9" t="n">
        <v>334</v>
      </c>
      <c r="H17" s="9" t="n">
        <v>7</v>
      </c>
      <c r="I17" s="9" t="n">
        <v>0</v>
      </c>
      <c r="J17" s="9" t="n">
        <v>2</v>
      </c>
      <c r="K17" s="9" t="n">
        <v>1</v>
      </c>
      <c r="L17" s="9" t="n">
        <v>0</v>
      </c>
      <c r="M17" s="9" t="n">
        <v>2</v>
      </c>
      <c r="N17" s="9" t="n">
        <v>8</v>
      </c>
      <c r="O17" s="9" t="n">
        <v>11</v>
      </c>
      <c r="P17" s="9" t="n">
        <v>7</v>
      </c>
      <c r="Q17" s="9" t="n">
        <v>616</v>
      </c>
      <c r="R17" s="9" t="n">
        <v>0</v>
      </c>
      <c r="S17" s="9" t="n">
        <v>9</v>
      </c>
      <c r="T17" s="9" t="n">
        <v>625</v>
      </c>
      <c r="U17" s="10" t="n">
        <v>1873</v>
      </c>
      <c r="V17" s="10" t="n">
        <v>0</v>
      </c>
      <c r="W17" s="10" t="n">
        <v>0</v>
      </c>
      <c r="X17" s="10" t="n">
        <v>1873</v>
      </c>
      <c r="Y17" s="10" t="n">
        <v>0</v>
      </c>
    </row>
    <row r="18">
      <c r="A18" s="7" t="n">
        <v>13</v>
      </c>
      <c r="B18" s="8" t="inlineStr">
        <is>
          <t>Polling Station 13</t>
        </is>
      </c>
      <c r="C18" s="9" t="n">
        <v>12</v>
      </c>
      <c r="D18" s="9" t="n">
        <v>57</v>
      </c>
      <c r="E18" s="9" t="n">
        <v>8</v>
      </c>
      <c r="F18" s="9" t="n">
        <v>269</v>
      </c>
      <c r="G18" s="9" t="n">
        <v>444</v>
      </c>
      <c r="H18" s="9" t="n">
        <v>10</v>
      </c>
      <c r="I18" s="9" t="n">
        <v>0</v>
      </c>
      <c r="J18" s="9" t="n">
        <v>2</v>
      </c>
      <c r="K18" s="9" t="n">
        <v>2</v>
      </c>
      <c r="L18" s="9" t="n">
        <v>2</v>
      </c>
      <c r="M18" s="9" t="n">
        <v>8</v>
      </c>
      <c r="N18" s="9" t="n">
        <v>16</v>
      </c>
      <c r="O18" s="9" t="n">
        <v>16</v>
      </c>
      <c r="P18" s="9" t="n">
        <v>16</v>
      </c>
      <c r="Q18" s="9" t="n">
        <v>849</v>
      </c>
      <c r="R18" s="9" t="n">
        <v>0</v>
      </c>
      <c r="S18" s="9" t="n">
        <v>12</v>
      </c>
      <c r="T18" s="9" t="n">
        <v>861</v>
      </c>
      <c r="U18" s="10" t="n">
        <v>2584</v>
      </c>
      <c r="V18" s="10" t="n">
        <v>0</v>
      </c>
      <c r="W18" s="10" t="n">
        <v>0</v>
      </c>
      <c r="X18" s="10" t="n">
        <v>2584</v>
      </c>
      <c r="Y18" s="10" t="n">
        <v>0</v>
      </c>
    </row>
    <row r="19">
      <c r="A19" s="7" t="n">
        <v>14</v>
      </c>
      <c r="B19" s="8" t="inlineStr">
        <is>
          <t>Polling Station 14</t>
        </is>
      </c>
      <c r="C19" s="9" t="n">
        <v>13</v>
      </c>
      <c r="D19" s="9" t="n">
        <v>25</v>
      </c>
      <c r="E19" s="9" t="n">
        <v>4</v>
      </c>
      <c r="F19" s="9" t="n">
        <v>152</v>
      </c>
      <c r="G19" s="9" t="n">
        <v>147</v>
      </c>
      <c r="H19" s="9" t="n">
        <v>2</v>
      </c>
      <c r="I19" s="9" t="n">
        <v>0</v>
      </c>
      <c r="J19" s="9" t="n">
        <v>0</v>
      </c>
      <c r="K19" s="9" t="n">
        <v>2</v>
      </c>
      <c r="L19" s="9" t="n">
        <v>0</v>
      </c>
      <c r="M19" s="9" t="n">
        <v>4</v>
      </c>
      <c r="N19" s="9" t="n">
        <v>0</v>
      </c>
      <c r="O19" s="9" t="n">
        <v>7</v>
      </c>
      <c r="P19" s="9" t="n">
        <v>5</v>
      </c>
      <c r="Q19" s="9" t="n">
        <v>381</v>
      </c>
      <c r="R19" s="9" t="n">
        <v>0</v>
      </c>
      <c r="S19" s="9" t="n">
        <v>3</v>
      </c>
      <c r="T19" s="9" t="n">
        <v>354</v>
      </c>
      <c r="U19" s="10" t="n">
        <v>1099</v>
      </c>
      <c r="V19" s="10" t="n">
        <v>0</v>
      </c>
      <c r="W19" s="10" t="n">
        <v>0</v>
      </c>
      <c r="X19" s="10" t="n">
        <v>1099</v>
      </c>
      <c r="Y19" s="10" t="n">
        <v>0</v>
      </c>
    </row>
    <row r="20">
      <c r="A20" s="7" t="n">
        <v>15</v>
      </c>
      <c r="B20" s="8" t="inlineStr">
        <is>
          <t>Polling Station 15</t>
        </is>
      </c>
      <c r="C20" s="9" t="n">
        <v>14</v>
      </c>
      <c r="D20" s="9" t="n">
        <v>38</v>
      </c>
      <c r="E20" s="9" t="n">
        <v>2</v>
      </c>
      <c r="F20" s="9" t="n">
        <v>363</v>
      </c>
      <c r="G20" s="9" t="n">
        <v>283</v>
      </c>
      <c r="H20" s="9" t="n">
        <v>3</v>
      </c>
      <c r="I20" s="9" t="n">
        <v>1</v>
      </c>
      <c r="J20" s="9" t="n">
        <v>1</v>
      </c>
      <c r="K20" s="9" t="n">
        <v>2</v>
      </c>
      <c r="L20" s="9" t="n">
        <v>0</v>
      </c>
      <c r="M20" s="9" t="n">
        <v>2</v>
      </c>
      <c r="N20" s="9" t="n">
        <v>12</v>
      </c>
      <c r="O20" s="9" t="n">
        <v>6</v>
      </c>
      <c r="P20" s="9" t="n">
        <v>11</v>
      </c>
      <c r="Q20" s="9" t="n">
        <v>724</v>
      </c>
      <c r="R20" s="9" t="n">
        <v>0</v>
      </c>
      <c r="S20" s="9" t="n">
        <v>123</v>
      </c>
      <c r="T20" s="9" t="n">
        <v>737</v>
      </c>
      <c r="U20" s="10" t="n">
        <v>2322</v>
      </c>
      <c r="V20" s="10" t="n">
        <v>0</v>
      </c>
      <c r="W20" s="10" t="n">
        <v>0</v>
      </c>
      <c r="X20" s="10" t="n">
        <v>2322</v>
      </c>
      <c r="Y20" s="10" t="n">
        <v>0</v>
      </c>
    </row>
    <row r="21">
      <c r="A21" s="7" t="n">
        <v>16</v>
      </c>
      <c r="B21" s="8" t="inlineStr">
        <is>
          <t>Polling Station 16</t>
        </is>
      </c>
      <c r="C21" s="9" t="n">
        <v>15</v>
      </c>
      <c r="D21" s="9" t="n">
        <v>97</v>
      </c>
      <c r="E21" s="9" t="n">
        <v>10</v>
      </c>
      <c r="F21" s="9" t="n">
        <v>197</v>
      </c>
      <c r="G21" s="9" t="n">
        <v>500</v>
      </c>
      <c r="H21" s="9" t="n">
        <v>4</v>
      </c>
      <c r="I21" s="9" t="n">
        <v>5</v>
      </c>
      <c r="J21" s="9" t="n">
        <v>3</v>
      </c>
      <c r="K21" s="9" t="n">
        <v>5</v>
      </c>
      <c r="L21" s="9" t="n">
        <v>3</v>
      </c>
      <c r="M21" s="9" t="n">
        <v>5</v>
      </c>
      <c r="N21" s="9" t="n">
        <v>12</v>
      </c>
      <c r="O21" s="9" t="n">
        <v>7</v>
      </c>
      <c r="P21" s="9" t="n">
        <v>26</v>
      </c>
      <c r="Q21" s="9" t="n">
        <v>884</v>
      </c>
      <c r="R21" s="9" t="n">
        <v>0</v>
      </c>
      <c r="S21" s="9" t="n">
        <v>12</v>
      </c>
      <c r="T21" s="9" t="n">
        <v>896</v>
      </c>
      <c r="U21" s="10" t="n">
        <v>2681</v>
      </c>
      <c r="V21" s="10" t="n">
        <v>0</v>
      </c>
      <c r="W21" s="10" t="n">
        <v>0</v>
      </c>
      <c r="X21" s="10" t="n">
        <v>2681</v>
      </c>
      <c r="Y21" s="10" t="n">
        <v>0</v>
      </c>
    </row>
    <row r="22">
      <c r="A22" s="7" t="n">
        <v>17</v>
      </c>
      <c r="B22" s="8" t="inlineStr">
        <is>
          <t>Polling Station 17</t>
        </is>
      </c>
      <c r="C22" s="9" t="n">
        <v>7</v>
      </c>
      <c r="D22" s="9" t="n">
        <v>54</v>
      </c>
      <c r="E22" s="9" t="n">
        <v>9</v>
      </c>
      <c r="F22" s="9" t="n">
        <v>231</v>
      </c>
      <c r="G22" s="9" t="n">
        <v>548</v>
      </c>
      <c r="H22" s="9" t="n">
        <v>4</v>
      </c>
      <c r="I22" s="9" t="n">
        <v>3</v>
      </c>
      <c r="J22" s="9" t="n">
        <v>3</v>
      </c>
      <c r="K22" s="9" t="n">
        <v>0</v>
      </c>
      <c r="L22" s="9" t="n">
        <v>2</v>
      </c>
      <c r="M22" s="9" t="n">
        <v>1</v>
      </c>
      <c r="N22" s="9" t="n">
        <v>5</v>
      </c>
      <c r="O22" s="9" t="n">
        <v>8</v>
      </c>
      <c r="P22" s="9" t="n">
        <v>10</v>
      </c>
      <c r="Q22" s="9" t="n">
        <v>878</v>
      </c>
      <c r="R22" s="9" t="n">
        <v>0</v>
      </c>
      <c r="S22" s="9" t="n">
        <v>12</v>
      </c>
      <c r="T22" s="9" t="n">
        <v>890</v>
      </c>
      <c r="U22" s="10" t="n">
        <v>2665</v>
      </c>
      <c r="V22" s="10" t="n">
        <v>0</v>
      </c>
      <c r="W22" s="10" t="n">
        <v>0</v>
      </c>
      <c r="X22" s="10" t="n">
        <v>2665</v>
      </c>
      <c r="Y22" s="10" t="n">
        <v>0</v>
      </c>
    </row>
    <row r="23">
      <c r="A23" s="7" t="n">
        <v>18</v>
      </c>
      <c r="B23" s="8" t="inlineStr">
        <is>
          <t>Polling Station 18</t>
        </is>
      </c>
      <c r="C23" s="9" t="n">
        <v>18</v>
      </c>
      <c r="D23" s="9" t="n">
        <v>72</v>
      </c>
      <c r="E23" s="9" t="n">
        <v>3</v>
      </c>
      <c r="F23" s="9" t="n">
        <v>180</v>
      </c>
      <c r="G23" s="9" t="n">
        <v>441</v>
      </c>
      <c r="H23" s="9" t="n">
        <v>3</v>
      </c>
      <c r="I23" s="9" t="n">
        <v>1</v>
      </c>
      <c r="J23" s="9" t="n">
        <v>1</v>
      </c>
      <c r="K23" s="9" t="n">
        <v>2</v>
      </c>
      <c r="L23" s="9" t="n">
        <v>2</v>
      </c>
      <c r="M23" s="9" t="n">
        <v>0</v>
      </c>
      <c r="N23" s="9" t="n">
        <v>4</v>
      </c>
      <c r="O23" s="9" t="n">
        <v>1</v>
      </c>
      <c r="P23" s="9" t="n">
        <v>5</v>
      </c>
      <c r="Q23" s="9" t="n">
        <v>5</v>
      </c>
      <c r="R23" s="9" t="n">
        <v>0</v>
      </c>
      <c r="S23" s="9" t="n">
        <v>7</v>
      </c>
      <c r="T23" s="9" t="n">
        <v>722</v>
      </c>
      <c r="U23" s="10" t="n">
        <v>1467</v>
      </c>
      <c r="V23" s="10" t="n">
        <v>0</v>
      </c>
      <c r="W23" s="10" t="n">
        <v>0</v>
      </c>
      <c r="X23" s="10" t="n">
        <v>1467</v>
      </c>
      <c r="Y23" s="10" t="n">
        <v>0</v>
      </c>
    </row>
    <row r="24">
      <c r="A24" s="7" t="n">
        <v>19</v>
      </c>
      <c r="B24" s="8" t="inlineStr">
        <is>
          <t>Polling Station 19</t>
        </is>
      </c>
      <c r="C24" s="9" t="n">
        <v>19</v>
      </c>
      <c r="D24" s="9" t="n">
        <v>35</v>
      </c>
      <c r="E24" s="9" t="n">
        <v>3</v>
      </c>
      <c r="F24" s="9" t="n">
        <v>194</v>
      </c>
      <c r="G24" s="9" t="n">
        <v>460</v>
      </c>
      <c r="H24" s="9" t="n">
        <v>6</v>
      </c>
      <c r="I24" s="9" t="n">
        <v>1</v>
      </c>
      <c r="J24" s="9" t="n">
        <v>0</v>
      </c>
      <c r="K24" s="9" t="n">
        <v>0</v>
      </c>
      <c r="L24" s="9" t="n">
        <v>1</v>
      </c>
      <c r="M24" s="9" t="n">
        <v>3</v>
      </c>
      <c r="N24" s="9" t="n">
        <v>5</v>
      </c>
      <c r="O24" s="9" t="n">
        <v>6</v>
      </c>
      <c r="P24" s="9" t="n">
        <v>4</v>
      </c>
      <c r="Q24" s="9" t="n">
        <v>719</v>
      </c>
      <c r="R24" s="9" t="n">
        <v>0</v>
      </c>
      <c r="S24" s="9" t="n">
        <v>7</v>
      </c>
      <c r="T24" s="9" t="n">
        <v>726</v>
      </c>
      <c r="U24" s="10" t="n">
        <v>2189</v>
      </c>
      <c r="V24" s="10" t="n">
        <v>0</v>
      </c>
      <c r="W24" s="10" t="n">
        <v>0</v>
      </c>
      <c r="X24" s="10" t="n">
        <v>2189</v>
      </c>
      <c r="Y24" s="10" t="n">
        <v>0</v>
      </c>
    </row>
    <row r="25">
      <c r="A25" s="7" t="n">
        <v>20</v>
      </c>
      <c r="B25" s="8" t="inlineStr">
        <is>
          <t>Polling Station 20</t>
        </is>
      </c>
      <c r="C25" s="9" t="n">
        <v>20</v>
      </c>
      <c r="D25" s="9" t="n">
        <v>32</v>
      </c>
      <c r="E25" s="9" t="n">
        <v>5</v>
      </c>
      <c r="F25" s="9" t="n">
        <v>243</v>
      </c>
      <c r="G25" s="9" t="n">
        <v>228</v>
      </c>
      <c r="H25" s="9" t="n">
        <v>1</v>
      </c>
      <c r="I25" s="9" t="n">
        <v>2</v>
      </c>
      <c r="J25" s="9" t="n">
        <v>0</v>
      </c>
      <c r="K25" s="9" t="n">
        <v>1</v>
      </c>
      <c r="L25" s="9" t="n">
        <v>2</v>
      </c>
      <c r="M25" s="9" t="n">
        <v>2</v>
      </c>
      <c r="N25" s="9" t="n">
        <v>10</v>
      </c>
      <c r="O25" s="9" t="n">
        <v>4</v>
      </c>
      <c r="P25" s="9" t="n">
        <v>6</v>
      </c>
      <c r="Q25" s="9" t="n">
        <v>538</v>
      </c>
      <c r="R25" s="9" t="n">
        <v>0</v>
      </c>
      <c r="S25" s="9" t="n">
        <v>7</v>
      </c>
      <c r="T25" s="9" t="n">
        <v>545</v>
      </c>
      <c r="U25" s="10" t="n">
        <v>1646</v>
      </c>
      <c r="V25" s="10" t="n">
        <v>0</v>
      </c>
      <c r="W25" s="10" t="n">
        <v>0</v>
      </c>
      <c r="X25" s="10" t="n">
        <v>1646</v>
      </c>
      <c r="Y25" s="10" t="n">
        <v>0</v>
      </c>
    </row>
    <row r="26">
      <c r="A26" s="7" t="n">
        <v>21</v>
      </c>
      <c r="B26" s="8" t="inlineStr">
        <is>
          <t>Polling Station 21</t>
        </is>
      </c>
      <c r="C26" s="9" t="n">
        <v>2</v>
      </c>
      <c r="D26" s="9" t="n">
        <v>1</v>
      </c>
      <c r="E26" s="9" t="n">
        <v>1</v>
      </c>
      <c r="F26" s="9" t="n">
        <v>166</v>
      </c>
      <c r="G26" s="9" t="n">
        <v>339</v>
      </c>
      <c r="H26" s="9" t="n">
        <v>2</v>
      </c>
      <c r="I26" s="9" t="n">
        <v>3</v>
      </c>
      <c r="J26" s="9" t="n">
        <v>0</v>
      </c>
      <c r="K26" s="9" t="n">
        <v>0</v>
      </c>
      <c r="L26" s="9" t="n">
        <v>1</v>
      </c>
      <c r="M26" s="9" t="n">
        <v>1</v>
      </c>
      <c r="N26" s="9" t="n">
        <v>6</v>
      </c>
      <c r="O26" s="9" t="n">
        <v>9</v>
      </c>
      <c r="P26" s="9" t="n">
        <v>1</v>
      </c>
      <c r="Q26" s="9" t="n">
        <v>542</v>
      </c>
      <c r="R26" s="9" t="n">
        <v>0</v>
      </c>
      <c r="S26" s="9" t="n">
        <v>12</v>
      </c>
      <c r="T26" s="9" t="n">
        <v>554</v>
      </c>
      <c r="U26" s="10" t="n">
        <v>1640</v>
      </c>
      <c r="V26" s="10" t="n">
        <v>0</v>
      </c>
      <c r="W26" s="10" t="n">
        <v>0</v>
      </c>
      <c r="X26" s="10" t="n">
        <v>1640</v>
      </c>
      <c r="Y26" s="10" t="n">
        <v>0</v>
      </c>
    </row>
    <row r="27">
      <c r="A27" s="7" t="n">
        <v>22</v>
      </c>
      <c r="B27" s="8" t="inlineStr">
        <is>
          <t>Polling Station 22</t>
        </is>
      </c>
      <c r="C27" s="9" t="n">
        <v>22</v>
      </c>
      <c r="D27" s="9" t="n">
        <v>46</v>
      </c>
      <c r="E27" s="9" t="n">
        <v>6</v>
      </c>
      <c r="F27" s="9" t="n">
        <v>146</v>
      </c>
      <c r="G27" s="9" t="n">
        <v>283</v>
      </c>
      <c r="H27" s="9" t="n">
        <v>1</v>
      </c>
      <c r="I27" s="9" t="n">
        <v>1</v>
      </c>
      <c r="J27" s="9" t="n">
        <v>0</v>
      </c>
      <c r="K27" s="9" t="n">
        <v>2</v>
      </c>
      <c r="L27" s="9" t="n">
        <v>0</v>
      </c>
      <c r="M27" s="9" t="n">
        <v>4</v>
      </c>
      <c r="N27" s="9" t="n">
        <v>6</v>
      </c>
      <c r="O27" s="9" t="n">
        <v>3</v>
      </c>
      <c r="P27" s="9" t="n">
        <v>7</v>
      </c>
      <c r="Q27" s="9" t="n">
        <v>502</v>
      </c>
      <c r="R27" s="9" t="n">
        <v>0</v>
      </c>
      <c r="S27" s="9" t="n">
        <v>7</v>
      </c>
      <c r="T27" s="9" t="n">
        <v>509</v>
      </c>
      <c r="U27" s="10" t="n">
        <v>1545</v>
      </c>
      <c r="V27" s="10" t="n">
        <v>0</v>
      </c>
      <c r="W27" s="10" t="n">
        <v>0</v>
      </c>
      <c r="X27" s="10" t="n">
        <v>1545</v>
      </c>
      <c r="Y27" s="10" t="n">
        <v>0</v>
      </c>
    </row>
    <row r="28">
      <c r="A28" s="7" t="n">
        <v>23</v>
      </c>
      <c r="B28" s="8" t="inlineStr">
        <is>
          <t>Polling Station 23</t>
        </is>
      </c>
      <c r="C28" s="9" t="n">
        <v>23</v>
      </c>
      <c r="D28" s="9" t="n">
        <v>0</v>
      </c>
      <c r="E28" s="9" t="n">
        <v>4</v>
      </c>
      <c r="F28" s="9" t="n">
        <v>171</v>
      </c>
      <c r="G28" s="9" t="n">
        <v>330</v>
      </c>
      <c r="H28" s="9" t="n">
        <v>4</v>
      </c>
      <c r="I28" s="9" t="n">
        <v>1</v>
      </c>
      <c r="J28" s="9" t="n">
        <v>1</v>
      </c>
      <c r="K28" s="9" t="n">
        <v>3</v>
      </c>
      <c r="L28" s="9" t="n">
        <v>0</v>
      </c>
      <c r="M28" s="9" t="n">
        <v>0</v>
      </c>
      <c r="N28" s="9" t="n">
        <v>2</v>
      </c>
      <c r="O28" s="9" t="n">
        <v>1</v>
      </c>
      <c r="P28" s="9" t="n">
        <v>2</v>
      </c>
      <c r="Q28" s="9" t="n">
        <v>590</v>
      </c>
      <c r="R28" s="9" t="n">
        <v>0</v>
      </c>
      <c r="S28" s="9" t="n">
        <v>8</v>
      </c>
      <c r="T28" s="9" t="n">
        <v>598</v>
      </c>
      <c r="U28" s="10" t="n">
        <v>1738</v>
      </c>
      <c r="V28" s="10" t="n">
        <v>0</v>
      </c>
      <c r="W28" s="10" t="n">
        <v>0</v>
      </c>
      <c r="X28" s="10" t="n">
        <v>1738</v>
      </c>
      <c r="Y28" s="10" t="n">
        <v>0</v>
      </c>
    </row>
    <row r="29">
      <c r="A29" s="7" t="n">
        <v>24</v>
      </c>
      <c r="B29" s="8" t="inlineStr">
        <is>
          <t>Polling Station 24</t>
        </is>
      </c>
      <c r="C29" s="9" t="n">
        <v>24</v>
      </c>
      <c r="D29" s="9" t="n">
        <v>93</v>
      </c>
      <c r="E29" s="9" t="n">
        <v>4</v>
      </c>
      <c r="F29" s="9" t="n">
        <v>102</v>
      </c>
      <c r="G29" s="9" t="n">
        <v>338</v>
      </c>
      <c r="H29" s="9" t="n">
        <v>2</v>
      </c>
      <c r="I29" s="9" t="n">
        <v>3</v>
      </c>
      <c r="J29" s="9" t="n">
        <v>0</v>
      </c>
      <c r="K29" s="9" t="n">
        <v>0</v>
      </c>
      <c r="L29" s="9" t="n">
        <v>1</v>
      </c>
      <c r="M29" s="9" t="n">
        <v>3</v>
      </c>
      <c r="N29" s="9" t="n">
        <v>0</v>
      </c>
      <c r="O29" s="9" t="n">
        <v>6</v>
      </c>
      <c r="P29" s="9" t="n">
        <v>4</v>
      </c>
      <c r="Q29" s="9" t="n">
        <v>561</v>
      </c>
      <c r="R29" s="9" t="n">
        <v>0</v>
      </c>
      <c r="S29" s="9" t="n">
        <v>10</v>
      </c>
      <c r="T29" s="9" t="n">
        <v>71</v>
      </c>
      <c r="U29" s="10" t="n">
        <v>1222</v>
      </c>
      <c r="V29" s="10" t="n">
        <v>0</v>
      </c>
      <c r="W29" s="10" t="n">
        <v>0</v>
      </c>
      <c r="X29" s="10" t="n">
        <v>1222</v>
      </c>
      <c r="Y29" s="10" t="n">
        <v>0</v>
      </c>
    </row>
    <row r="30">
      <c r="A30" s="7" t="n">
        <v>25</v>
      </c>
      <c r="B30" s="8" t="inlineStr">
        <is>
          <t>Polling Station 25</t>
        </is>
      </c>
      <c r="C30" s="9" t="n">
        <v>25</v>
      </c>
      <c r="D30" s="9" t="n">
        <v>0</v>
      </c>
      <c r="E30" s="9" t="n">
        <v>0</v>
      </c>
      <c r="F30" s="9" t="n">
        <v>149</v>
      </c>
      <c r="G30" s="9" t="n">
        <v>389</v>
      </c>
      <c r="H30" s="9" t="n">
        <v>1</v>
      </c>
      <c r="I30" s="9" t="n">
        <v>1</v>
      </c>
      <c r="J30" s="9" t="n">
        <v>2</v>
      </c>
      <c r="K30" s="9" t="n">
        <v>1</v>
      </c>
      <c r="L30" s="9" t="n">
        <v>0</v>
      </c>
      <c r="M30" s="9" t="n">
        <v>0</v>
      </c>
      <c r="N30" s="9" t="n">
        <v>0</v>
      </c>
      <c r="O30" s="9" t="n">
        <v>3</v>
      </c>
      <c r="P30" s="9" t="n">
        <v>12</v>
      </c>
      <c r="Q30" s="9" t="n">
        <v>599</v>
      </c>
      <c r="R30" s="9" t="n">
        <v>0</v>
      </c>
      <c r="S30" s="9" t="n">
        <v>1</v>
      </c>
      <c r="T30" s="9" t="n">
        <v>600</v>
      </c>
      <c r="U30" s="10" t="n">
        <v>1783</v>
      </c>
      <c r="V30" s="10" t="n">
        <v>0</v>
      </c>
      <c r="W30" s="10" t="n">
        <v>0</v>
      </c>
      <c r="X30" s="10" t="n">
        <v>1783</v>
      </c>
      <c r="Y30" s="10" t="n">
        <v>0</v>
      </c>
    </row>
    <row r="31">
      <c r="A31" s="7" t="n">
        <v>26</v>
      </c>
      <c r="B31" s="8" t="inlineStr">
        <is>
          <t>Polling Station 26</t>
        </is>
      </c>
      <c r="C31" s="9" t="n">
        <v>26</v>
      </c>
      <c r="D31" s="9" t="n">
        <v>0</v>
      </c>
      <c r="E31" s="9" t="n">
        <v>0</v>
      </c>
      <c r="F31" s="9" t="n">
        <v>123</v>
      </c>
      <c r="G31" s="9" t="n">
        <v>295</v>
      </c>
      <c r="H31" s="9" t="n">
        <v>2</v>
      </c>
      <c r="I31" s="9" t="n">
        <v>4</v>
      </c>
      <c r="J31" s="9" t="n">
        <v>0</v>
      </c>
      <c r="K31" s="9" t="n">
        <v>1</v>
      </c>
      <c r="L31" s="9" t="n">
        <v>3</v>
      </c>
      <c r="M31" s="9" t="n">
        <v>1</v>
      </c>
      <c r="N31" s="9" t="n">
        <v>0</v>
      </c>
      <c r="O31" s="9" t="n">
        <v>7</v>
      </c>
      <c r="P31" s="9" t="n">
        <v>1</v>
      </c>
      <c r="Q31" s="9" t="n">
        <v>468</v>
      </c>
      <c r="R31" s="9" t="n">
        <v>0</v>
      </c>
      <c r="S31" s="9" t="n">
        <v>53</v>
      </c>
      <c r="T31" s="9" t="n">
        <v>479</v>
      </c>
      <c r="U31" s="10" t="n">
        <v>1463</v>
      </c>
      <c r="V31" s="10" t="n">
        <v>0</v>
      </c>
      <c r="W31" s="10" t="n">
        <v>0</v>
      </c>
      <c r="X31" s="10" t="n">
        <v>1463</v>
      </c>
      <c r="Y31" s="10" t="n">
        <v>0</v>
      </c>
    </row>
    <row r="32">
      <c r="A32" s="7" t="n">
        <v>27</v>
      </c>
      <c r="B32" s="8" t="inlineStr">
        <is>
          <t>Polling Station 27</t>
        </is>
      </c>
      <c r="C32" s="9" t="n">
        <v>27</v>
      </c>
      <c r="D32" s="9" t="n">
        <v>24</v>
      </c>
      <c r="E32" s="9" t="n">
        <v>0</v>
      </c>
      <c r="F32" s="9" t="n">
        <v>67</v>
      </c>
      <c r="G32" s="9" t="n">
        <v>340</v>
      </c>
      <c r="H32" s="9" t="n">
        <v>0</v>
      </c>
      <c r="I32" s="9" t="n">
        <v>2</v>
      </c>
      <c r="J32" s="9" t="n">
        <v>2</v>
      </c>
      <c r="K32" s="9" t="n">
        <v>4</v>
      </c>
      <c r="L32" s="9" t="n">
        <v>0</v>
      </c>
      <c r="M32" s="9" t="n">
        <v>1</v>
      </c>
      <c r="N32" s="9" t="n">
        <v>0</v>
      </c>
      <c r="O32" s="9" t="n">
        <v>7</v>
      </c>
      <c r="P32" s="9" t="n">
        <v>9</v>
      </c>
      <c r="Q32" s="9" t="n">
        <v>471</v>
      </c>
      <c r="R32" s="9" t="n">
        <v>0</v>
      </c>
      <c r="S32" s="9" t="n">
        <v>6</v>
      </c>
      <c r="T32" s="9" t="n">
        <v>477</v>
      </c>
      <c r="U32" s="10" t="n">
        <v>1437</v>
      </c>
      <c r="V32" s="10" t="n">
        <v>0</v>
      </c>
      <c r="W32" s="10" t="n">
        <v>0</v>
      </c>
      <c r="X32" s="10" t="n">
        <v>1437</v>
      </c>
      <c r="Y32" s="10" t="n">
        <v>0</v>
      </c>
    </row>
    <row r="33">
      <c r="A33" s="7" t="n">
        <v>28</v>
      </c>
      <c r="B33" s="8" t="inlineStr">
        <is>
          <t>Polling Station 28</t>
        </is>
      </c>
      <c r="C33" s="9" t="n">
        <v>128</v>
      </c>
      <c r="D33" s="9" t="n">
        <v>0</v>
      </c>
      <c r="E33" s="9" t="n">
        <v>2</v>
      </c>
      <c r="F33" s="9" t="n">
        <v>161</v>
      </c>
      <c r="G33" s="9" t="n">
        <v>289</v>
      </c>
      <c r="H33" s="9" t="n">
        <v>0</v>
      </c>
      <c r="I33" s="9" t="n">
        <v>2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9</v>
      </c>
      <c r="P33" s="9" t="n">
        <v>6</v>
      </c>
      <c r="Q33" s="9" t="n">
        <v>497</v>
      </c>
      <c r="R33" s="9" t="n">
        <v>0</v>
      </c>
      <c r="S33" s="9" t="n">
        <v>4</v>
      </c>
      <c r="T33" s="9" t="n">
        <v>501</v>
      </c>
      <c r="U33" s="10" t="n">
        <v>1599</v>
      </c>
      <c r="V33" s="10" t="n">
        <v>0</v>
      </c>
      <c r="W33" s="10" t="n">
        <v>0</v>
      </c>
      <c r="X33" s="10" t="n">
        <v>1599</v>
      </c>
      <c r="Y33" s="10" t="n">
        <v>0</v>
      </c>
    </row>
    <row r="34">
      <c r="A34" s="7" t="n">
        <v>29</v>
      </c>
      <c r="B34" s="8" t="inlineStr">
        <is>
          <t>Polling Station 29</t>
        </is>
      </c>
      <c r="C34" s="9" t="n">
        <v>29</v>
      </c>
      <c r="D34" s="9" t="n">
        <v>95</v>
      </c>
      <c r="E34" s="9" t="n">
        <v>0</v>
      </c>
      <c r="F34" s="9" t="n">
        <v>184</v>
      </c>
      <c r="G34" s="9" t="n">
        <v>409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10</v>
      </c>
      <c r="P34" s="9" t="n">
        <v>8</v>
      </c>
      <c r="Q34" s="9" t="n">
        <v>725</v>
      </c>
      <c r="R34" s="9" t="n">
        <v>0</v>
      </c>
      <c r="S34" s="9" t="n">
        <v>10</v>
      </c>
      <c r="T34" s="9" t="n">
        <v>735</v>
      </c>
      <c r="U34" s="10" t="n">
        <v>2205</v>
      </c>
      <c r="V34" s="10" t="n">
        <v>0</v>
      </c>
      <c r="W34" s="10" t="n">
        <v>0</v>
      </c>
      <c r="X34" s="10" t="n">
        <v>2205</v>
      </c>
      <c r="Y34" s="10" t="n">
        <v>0</v>
      </c>
    </row>
    <row r="35">
      <c r="A35" s="7" t="n">
        <v>30</v>
      </c>
      <c r="B35" s="8" t="inlineStr">
        <is>
          <t>"30</t>
        </is>
      </c>
      <c r="C35" s="9" t="n">
        <v>30</v>
      </c>
      <c r="D35" s="9" t="n">
        <v>0</v>
      </c>
      <c r="E35" s="9" t="n">
        <v>0</v>
      </c>
      <c r="F35" s="9" t="n">
        <v>24</v>
      </c>
      <c r="G35" s="9" t="n">
        <v>379</v>
      </c>
      <c r="H35" s="9" t="n">
        <v>0</v>
      </c>
      <c r="I35" s="9" t="n">
        <v>0</v>
      </c>
      <c r="J35" s="9" t="n">
        <v>7</v>
      </c>
      <c r="K35" s="9" t="n">
        <v>0</v>
      </c>
      <c r="L35" s="9" t="n">
        <v>0</v>
      </c>
      <c r="M35" s="9" t="n">
        <v>0</v>
      </c>
      <c r="N35" s="9" t="n">
        <v>10</v>
      </c>
      <c r="O35" s="9" t="n">
        <v>12</v>
      </c>
      <c r="P35" s="9" t="n">
        <v>12</v>
      </c>
      <c r="Q35" s="9" t="n">
        <v>606</v>
      </c>
      <c r="R35" s="9" t="n">
        <v>0</v>
      </c>
      <c r="S35" s="9" t="n">
        <v>123</v>
      </c>
      <c r="T35" s="9" t="n">
        <v>619</v>
      </c>
      <c r="U35" s="10" t="n">
        <v>1822</v>
      </c>
      <c r="V35" s="10" t="n">
        <v>0</v>
      </c>
      <c r="W35" s="10" t="n">
        <v>0</v>
      </c>
      <c r="X35" s="10" t="n">
        <v>1822</v>
      </c>
      <c r="Y35" s="10" t="n">
        <v>0</v>
      </c>
    </row>
    <row r="36">
      <c r="A36" s="7" t="n">
        <v>31</v>
      </c>
      <c r="B36" s="8" t="inlineStr">
        <is>
          <t>Polling Station 31</t>
        </is>
      </c>
      <c r="C36" s="9" t="n">
        <v>3</v>
      </c>
      <c r="D36" s="9" t="n">
        <v>139</v>
      </c>
      <c r="E36" s="9" t="n">
        <v>0</v>
      </c>
      <c r="F36" s="9" t="n">
        <v>228</v>
      </c>
      <c r="G36" s="9" t="n">
        <v>490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5</v>
      </c>
      <c r="P36" s="9" t="n">
        <v>4</v>
      </c>
      <c r="Q36" s="9" t="n">
        <v>900</v>
      </c>
      <c r="R36" s="9" t="n">
        <v>0</v>
      </c>
      <c r="S36" s="9" t="n">
        <v>6</v>
      </c>
      <c r="T36" s="9" t="n">
        <v>906</v>
      </c>
      <c r="U36" s="10" t="n">
        <v>2681</v>
      </c>
      <c r="V36" s="10" t="n">
        <v>0</v>
      </c>
      <c r="W36" s="10" t="n">
        <v>0</v>
      </c>
      <c r="X36" s="10" t="n">
        <v>2681</v>
      </c>
      <c r="Y36" s="10" t="n">
        <v>0</v>
      </c>
    </row>
    <row r="37">
      <c r="A37" s="7" t="n">
        <v>32</v>
      </c>
      <c r="B37" s="8" t="inlineStr">
        <is>
          <t>Polling Station 32</t>
        </is>
      </c>
      <c r="C37" s="9" t="n">
        <v>0</v>
      </c>
      <c r="D37" s="9" t="n">
        <v>0</v>
      </c>
      <c r="E37" s="9" t="n">
        <v>0</v>
      </c>
      <c r="F37" s="9" t="n">
        <v>132</v>
      </c>
      <c r="G37" s="9" t="n">
        <v>334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12</v>
      </c>
      <c r="O37" s="9" t="n">
        <v>8</v>
      </c>
      <c r="P37" s="9" t="n">
        <v>5</v>
      </c>
      <c r="Q37" s="9" t="n">
        <v>597</v>
      </c>
      <c r="R37" s="9" t="n">
        <v>0</v>
      </c>
      <c r="S37" s="9" t="n">
        <v>9</v>
      </c>
      <c r="T37" s="9" t="n">
        <v>606</v>
      </c>
      <c r="U37" s="10" t="n">
        <v>1703</v>
      </c>
      <c r="V37" s="10" t="n">
        <v>0</v>
      </c>
      <c r="W37" s="10" t="n">
        <v>0</v>
      </c>
      <c r="X37" s="10" t="n">
        <v>1703</v>
      </c>
      <c r="Y37" s="10" t="n">
        <v>0</v>
      </c>
    </row>
    <row r="38">
      <c r="A38" s="7" t="n">
        <v>33</v>
      </c>
      <c r="B38" s="8" t="inlineStr">
        <is>
          <t>Polling Station 33</t>
        </is>
      </c>
      <c r="C38" s="9" t="n">
        <v>33</v>
      </c>
      <c r="D38" s="9" t="n">
        <v>50</v>
      </c>
      <c r="E38" s="9" t="n">
        <v>0</v>
      </c>
      <c r="F38" s="9" t="n">
        <v>255</v>
      </c>
      <c r="G38" s="9" t="n">
        <v>19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4</v>
      </c>
      <c r="O38" s="9" t="n">
        <v>0</v>
      </c>
      <c r="P38" s="9" t="n">
        <v>3</v>
      </c>
      <c r="Q38" s="9" t="n">
        <v>442</v>
      </c>
      <c r="R38" s="9" t="n">
        <v>0</v>
      </c>
      <c r="S38" s="9" t="n">
        <v>4</v>
      </c>
      <c r="T38" s="9" t="n">
        <v>446</v>
      </c>
      <c r="U38" s="10" t="n">
        <v>1256</v>
      </c>
      <c r="V38" s="10" t="n">
        <v>0</v>
      </c>
      <c r="W38" s="10" t="n">
        <v>0</v>
      </c>
      <c r="X38" s="10" t="n">
        <v>1256</v>
      </c>
      <c r="Y38" s="10" t="n">
        <v>0</v>
      </c>
    </row>
    <row r="39">
      <c r="A39" s="7" t="n">
        <v>34</v>
      </c>
      <c r="B39" s="8" t="inlineStr">
        <is>
          <t>Polling Station 34</t>
        </is>
      </c>
      <c r="C39" s="9" t="n">
        <v>34</v>
      </c>
      <c r="D39" s="9" t="n">
        <v>0</v>
      </c>
      <c r="E39" s="9" t="n">
        <v>1</v>
      </c>
      <c r="F39" s="9" t="n">
        <v>216</v>
      </c>
      <c r="G39" s="9" t="n">
        <v>390</v>
      </c>
      <c r="H39" s="9" t="n">
        <v>87</v>
      </c>
      <c r="I39" s="9" t="n">
        <v>1</v>
      </c>
      <c r="J39" s="9" t="n">
        <v>0</v>
      </c>
      <c r="K39" s="9" t="n">
        <v>0</v>
      </c>
      <c r="L39" s="9" t="n">
        <v>1</v>
      </c>
      <c r="M39" s="9" t="n">
        <v>0</v>
      </c>
      <c r="N39" s="9" t="n">
        <v>0</v>
      </c>
      <c r="O39" s="9" t="n">
        <v>0</v>
      </c>
      <c r="P39" s="9" t="n">
        <v>3</v>
      </c>
      <c r="Q39" s="9" t="n">
        <v>670</v>
      </c>
      <c r="R39" s="9" t="n">
        <v>0</v>
      </c>
      <c r="S39" s="9" t="n">
        <v>8</v>
      </c>
      <c r="T39" s="9" t="n">
        <v>678</v>
      </c>
      <c r="U39" s="10" t="n">
        <v>2089</v>
      </c>
      <c r="V39" s="10" t="n">
        <v>0</v>
      </c>
      <c r="W39" s="10" t="n">
        <v>0</v>
      </c>
      <c r="X39" s="10" t="n">
        <v>2089</v>
      </c>
      <c r="Y39" s="10" t="n">
        <v>0</v>
      </c>
    </row>
    <row r="40">
      <c r="A40" s="7" t="n">
        <v>35</v>
      </c>
      <c r="B40" s="8" t="inlineStr">
        <is>
          <t>Polling Station 35</t>
        </is>
      </c>
      <c r="C40" s="9" t="n">
        <v>0</v>
      </c>
      <c r="D40" s="9" t="n">
        <v>59</v>
      </c>
      <c r="E40" s="9" t="n">
        <v>0</v>
      </c>
      <c r="F40" s="9" t="n">
        <v>290</v>
      </c>
      <c r="G40" s="9" t="n">
        <v>401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8</v>
      </c>
      <c r="O40" s="9" t="n">
        <v>0</v>
      </c>
      <c r="P40" s="9" t="n">
        <v>12</v>
      </c>
      <c r="Q40" s="9" t="n">
        <v>802</v>
      </c>
      <c r="R40" s="9" t="n">
        <v>0</v>
      </c>
      <c r="S40" s="9" t="n">
        <v>11</v>
      </c>
      <c r="T40" s="9" t="n">
        <v>813</v>
      </c>
      <c r="U40" s="10" t="n">
        <v>2396</v>
      </c>
      <c r="V40" s="10" t="n">
        <v>0</v>
      </c>
      <c r="W40" s="10" t="n">
        <v>0</v>
      </c>
      <c r="X40" s="10" t="n">
        <v>2396</v>
      </c>
      <c r="Y40" s="10" t="n">
        <v>0</v>
      </c>
    </row>
    <row r="41">
      <c r="A41" s="7" t="n">
        <v>36</v>
      </c>
      <c r="B41" s="8" t="inlineStr">
        <is>
          <t>Polling Station 36</t>
        </is>
      </c>
      <c r="C41" s="9" t="n">
        <v>36</v>
      </c>
      <c r="D41" s="9" t="n">
        <v>40</v>
      </c>
      <c r="E41" s="9" t="n">
        <v>0</v>
      </c>
      <c r="F41" s="9" t="n">
        <v>121</v>
      </c>
      <c r="G41" s="9" t="n">
        <v>605</v>
      </c>
      <c r="H41" s="9" t="n">
        <v>4</v>
      </c>
      <c r="I41" s="9" t="n">
        <v>2</v>
      </c>
      <c r="J41" s="9" t="n">
        <v>0</v>
      </c>
      <c r="K41" s="9" t="n">
        <v>0</v>
      </c>
      <c r="L41" s="9" t="n">
        <v>0</v>
      </c>
      <c r="M41" s="9" t="n">
        <v>1</v>
      </c>
      <c r="N41" s="9" t="n">
        <v>8</v>
      </c>
      <c r="O41" s="9" t="n">
        <v>0</v>
      </c>
      <c r="P41" s="9" t="n">
        <v>14</v>
      </c>
      <c r="Q41" s="9" t="n">
        <v>819</v>
      </c>
      <c r="R41" s="9" t="n">
        <v>0</v>
      </c>
      <c r="S41" s="9" t="n">
        <v>16</v>
      </c>
      <c r="T41" s="9" t="n">
        <v>835</v>
      </c>
      <c r="U41" s="10" t="n">
        <v>2501</v>
      </c>
      <c r="V41" s="10" t="n">
        <v>0</v>
      </c>
      <c r="W41" s="10" t="n">
        <v>0</v>
      </c>
      <c r="X41" s="10" t="n">
        <v>2501</v>
      </c>
      <c r="Y41" s="10" t="n">
        <v>0</v>
      </c>
    </row>
    <row r="42">
      <c r="A42" s="7" t="n">
        <v>37</v>
      </c>
      <c r="B42" s="8" t="inlineStr">
        <is>
          <t>Polling Station 37</t>
        </is>
      </c>
      <c r="C42" s="9" t="n">
        <v>37</v>
      </c>
      <c r="D42" s="9" t="n">
        <v>13</v>
      </c>
      <c r="E42" s="9" t="n">
        <v>0</v>
      </c>
      <c r="F42" s="9" t="n">
        <v>165</v>
      </c>
      <c r="G42" s="9" t="n">
        <v>649</v>
      </c>
      <c r="H42" s="9" t="n">
        <v>3</v>
      </c>
      <c r="I42" s="9" t="n">
        <v>3</v>
      </c>
      <c r="J42" s="9" t="n">
        <v>1</v>
      </c>
      <c r="K42" s="9" t="n">
        <v>4</v>
      </c>
      <c r="L42" s="9" t="n">
        <v>1</v>
      </c>
      <c r="M42" s="9" t="n">
        <v>7</v>
      </c>
      <c r="N42" s="9" t="n">
        <v>0</v>
      </c>
      <c r="O42" s="9" t="n">
        <v>13</v>
      </c>
      <c r="P42" s="9" t="n">
        <v>18</v>
      </c>
      <c r="Q42" s="9" t="n">
        <v>895</v>
      </c>
      <c r="R42" s="9" t="n">
        <v>0</v>
      </c>
      <c r="S42" s="9" t="n">
        <v>0</v>
      </c>
      <c r="T42" s="9" t="n">
        <v>906</v>
      </c>
      <c r="U42" s="10" t="n">
        <v>2715</v>
      </c>
      <c r="V42" s="10" t="n">
        <v>0</v>
      </c>
      <c r="W42" s="10" t="n">
        <v>0</v>
      </c>
      <c r="X42" s="10" t="n">
        <v>2715</v>
      </c>
      <c r="Y42" s="10" t="n">
        <v>0</v>
      </c>
    </row>
    <row r="43">
      <c r="A43" s="7" t="n">
        <v>38</v>
      </c>
      <c r="B43" s="8" t="inlineStr">
        <is>
          <t>Polling Station 38</t>
        </is>
      </c>
      <c r="C43" s="9" t="n">
        <v>38</v>
      </c>
      <c r="D43" s="9" t="n">
        <v>20</v>
      </c>
      <c r="E43" s="9" t="n">
        <v>0</v>
      </c>
      <c r="F43" s="9" t="n">
        <v>220</v>
      </c>
      <c r="G43" s="9" t="n">
        <v>485</v>
      </c>
      <c r="H43" s="9" t="n">
        <v>0</v>
      </c>
      <c r="I43" s="9" t="n">
        <v>0</v>
      </c>
      <c r="J43" s="9" t="n">
        <v>1</v>
      </c>
      <c r="K43" s="9" t="n">
        <v>0</v>
      </c>
      <c r="L43" s="9" t="n">
        <v>0</v>
      </c>
      <c r="M43" s="9" t="n">
        <v>0</v>
      </c>
      <c r="N43" s="9" t="n">
        <v>2</v>
      </c>
      <c r="O43" s="9" t="n">
        <v>3</v>
      </c>
      <c r="P43" s="9" t="n">
        <v>8</v>
      </c>
      <c r="Q43" s="9" t="n">
        <v>753</v>
      </c>
      <c r="R43" s="9" t="n">
        <v>0</v>
      </c>
      <c r="S43" s="9" t="n">
        <v>9</v>
      </c>
      <c r="T43" s="9" t="n">
        <v>769</v>
      </c>
      <c r="U43" s="10" t="n">
        <v>2308</v>
      </c>
      <c r="V43" s="10" t="n">
        <v>0</v>
      </c>
      <c r="W43" s="10" t="n">
        <v>0</v>
      </c>
      <c r="X43" s="10" t="n">
        <v>2308</v>
      </c>
      <c r="Y43" s="10" t="n">
        <v>0</v>
      </c>
    </row>
    <row r="44">
      <c r="A44" s="7" t="n">
        <v>39</v>
      </c>
      <c r="B44" s="8" t="inlineStr">
        <is>
          <t>Polling Station 39</t>
        </is>
      </c>
      <c r="C44" s="9" t="n">
        <v>39</v>
      </c>
      <c r="D44" s="9" t="n">
        <v>43</v>
      </c>
      <c r="E44" s="9" t="n">
        <v>0</v>
      </c>
      <c r="F44" s="9" t="n">
        <v>154</v>
      </c>
      <c r="G44" s="9" t="n">
        <v>484</v>
      </c>
      <c r="H44" s="9" t="n">
        <v>3</v>
      </c>
      <c r="I44" s="9" t="n">
        <v>0</v>
      </c>
      <c r="J44" s="9" t="n">
        <v>0</v>
      </c>
      <c r="K44" s="9" t="n">
        <v>1</v>
      </c>
      <c r="L44" s="9" t="n">
        <v>1</v>
      </c>
      <c r="M44" s="9" t="n">
        <v>1</v>
      </c>
      <c r="N44" s="9" t="n">
        <v>0</v>
      </c>
      <c r="O44" s="9" t="n">
        <v>0</v>
      </c>
      <c r="P44" s="9" t="n">
        <v>2</v>
      </c>
      <c r="Q44" s="9" t="n">
        <v>701</v>
      </c>
      <c r="R44" s="9" t="n">
        <v>0</v>
      </c>
      <c r="S44" s="9" t="n">
        <v>10</v>
      </c>
      <c r="T44" s="9" t="n">
        <v>11</v>
      </c>
      <c r="U44" s="10" t="n">
        <v>1450</v>
      </c>
      <c r="V44" s="10" t="n">
        <v>0</v>
      </c>
      <c r="W44" s="10" t="n">
        <v>0</v>
      </c>
      <c r="X44" s="10" t="n">
        <v>1450</v>
      </c>
      <c r="Y44" s="10" t="n">
        <v>0</v>
      </c>
    </row>
    <row r="45">
      <c r="A45" s="7" t="n">
        <v>40</v>
      </c>
      <c r="B45" s="8" t="inlineStr">
        <is>
          <t>Polling Station 40</t>
        </is>
      </c>
      <c r="C45" s="9" t="n">
        <v>40</v>
      </c>
      <c r="D45" s="9" t="n">
        <v>35</v>
      </c>
      <c r="E45" s="9" t="n">
        <v>0</v>
      </c>
      <c r="F45" s="9" t="n">
        <v>160</v>
      </c>
      <c r="G45" s="9" t="n">
        <v>420</v>
      </c>
      <c r="H45" s="9" t="n">
        <v>7</v>
      </c>
      <c r="I45" s="9" t="n">
        <v>1</v>
      </c>
      <c r="J45" s="9" t="n">
        <v>1</v>
      </c>
      <c r="K45" s="9" t="n">
        <v>1</v>
      </c>
      <c r="L45" s="9" t="n">
        <v>4</v>
      </c>
      <c r="M45" s="9" t="n">
        <v>2</v>
      </c>
      <c r="N45" s="9" t="n">
        <v>10</v>
      </c>
      <c r="O45" s="9" t="n">
        <v>7</v>
      </c>
      <c r="P45" s="9" t="n">
        <v>6</v>
      </c>
      <c r="Q45" s="9" t="n">
        <v>659</v>
      </c>
      <c r="R45" s="9" t="n">
        <v>0</v>
      </c>
      <c r="S45" s="9" t="n">
        <v>9</v>
      </c>
      <c r="T45" s="9" t="n">
        <v>668</v>
      </c>
      <c r="U45" s="10" t="n">
        <v>2030</v>
      </c>
      <c r="V45" s="10" t="n">
        <v>0</v>
      </c>
      <c r="W45" s="10" t="n">
        <v>0</v>
      </c>
      <c r="X45" s="10" t="n">
        <v>2030</v>
      </c>
      <c r="Y45" s="10" t="n">
        <v>0</v>
      </c>
    </row>
    <row r="46">
      <c r="A46" s="7" t="n">
        <v>41</v>
      </c>
      <c r="B46" s="8" t="inlineStr">
        <is>
          <t>Polling Station 41</t>
        </is>
      </c>
      <c r="C46" s="9" t="n">
        <v>41</v>
      </c>
      <c r="D46" s="9" t="n">
        <v>22</v>
      </c>
      <c r="E46" s="9" t="n">
        <v>0</v>
      </c>
      <c r="F46" s="9" t="n">
        <v>81</v>
      </c>
      <c r="G46" s="9" t="n">
        <v>380</v>
      </c>
      <c r="H46" s="9" t="n">
        <v>2</v>
      </c>
      <c r="I46" s="9" t="n">
        <v>0</v>
      </c>
      <c r="J46" s="9" t="n">
        <v>0</v>
      </c>
      <c r="K46" s="9" t="n">
        <v>2</v>
      </c>
      <c r="L46" s="9" t="n">
        <v>0</v>
      </c>
      <c r="M46" s="9" t="n">
        <v>5</v>
      </c>
      <c r="N46" s="9" t="n">
        <v>23</v>
      </c>
      <c r="O46" s="9" t="n">
        <v>13</v>
      </c>
      <c r="P46" s="9" t="n">
        <v>4</v>
      </c>
      <c r="Q46" s="9" t="n">
        <v>524</v>
      </c>
      <c r="R46" s="9" t="n">
        <v>0</v>
      </c>
      <c r="S46" s="9" t="n">
        <v>8</v>
      </c>
      <c r="T46" s="9" t="n">
        <v>532</v>
      </c>
      <c r="U46" s="10" t="n">
        <v>1637</v>
      </c>
      <c r="V46" s="10" t="n">
        <v>0</v>
      </c>
      <c r="W46" s="10" t="n">
        <v>0</v>
      </c>
      <c r="X46" s="10" t="n">
        <v>1637</v>
      </c>
      <c r="Y46" s="10" t="n">
        <v>0</v>
      </c>
    </row>
    <row r="47">
      <c r="A47" s="7" t="n">
        <v>42</v>
      </c>
      <c r="B47" s="8" t="inlineStr">
        <is>
          <t>Polling Station 42</t>
        </is>
      </c>
      <c r="C47" s="9" t="n">
        <v>42</v>
      </c>
      <c r="D47" s="9" t="n">
        <v>0</v>
      </c>
      <c r="E47" s="9" t="n">
        <v>0</v>
      </c>
      <c r="F47" s="9" t="n">
        <v>146</v>
      </c>
      <c r="G47" s="9" t="n">
        <v>516</v>
      </c>
      <c r="H47" s="9" t="n">
        <v>8</v>
      </c>
      <c r="I47" s="9" t="n">
        <v>2</v>
      </c>
      <c r="J47" s="9" t="n">
        <v>0</v>
      </c>
      <c r="K47" s="9" t="n">
        <v>3</v>
      </c>
      <c r="L47" s="9" t="n">
        <v>2</v>
      </c>
      <c r="M47" s="9" t="n">
        <v>2</v>
      </c>
      <c r="N47" s="9" t="n">
        <v>13</v>
      </c>
      <c r="O47" s="9" t="n">
        <v>7</v>
      </c>
      <c r="P47" s="9" t="n">
        <v>13</v>
      </c>
      <c r="Q47" s="9" t="n">
        <v>782</v>
      </c>
      <c r="R47" s="9" t="n">
        <v>0</v>
      </c>
      <c r="S47" s="9" t="n">
        <v>0</v>
      </c>
      <c r="T47" s="9" t="n">
        <v>790</v>
      </c>
      <c r="U47" s="10" t="n">
        <v>2326</v>
      </c>
      <c r="V47" s="10" t="n">
        <v>0</v>
      </c>
      <c r="W47" s="10" t="n">
        <v>0</v>
      </c>
      <c r="X47" s="10" t="n">
        <v>2326</v>
      </c>
      <c r="Y47" s="10" t="n">
        <v>0</v>
      </c>
    </row>
    <row r="48">
      <c r="A48" s="7" t="n">
        <v>43</v>
      </c>
      <c r="B48" s="8" t="inlineStr">
        <is>
          <t>Polling Station 43</t>
        </is>
      </c>
      <c r="C48" s="9" t="n">
        <v>43</v>
      </c>
      <c r="D48" s="9" t="n">
        <v>65</v>
      </c>
      <c r="E48" s="9" t="n">
        <v>33</v>
      </c>
      <c r="F48" s="9" t="n">
        <v>369</v>
      </c>
      <c r="G48" s="9" t="n">
        <v>327</v>
      </c>
      <c r="H48" s="9" t="n">
        <v>5</v>
      </c>
      <c r="I48" s="9" t="n">
        <v>1</v>
      </c>
      <c r="J48" s="9" t="n">
        <v>1</v>
      </c>
      <c r="K48" s="9" t="n">
        <v>2</v>
      </c>
      <c r="L48" s="9" t="n">
        <v>0</v>
      </c>
      <c r="M48" s="9" t="n">
        <v>5</v>
      </c>
      <c r="N48" s="9" t="n">
        <v>7</v>
      </c>
      <c r="O48" s="9" t="n">
        <v>12</v>
      </c>
      <c r="P48" s="9" t="n">
        <v>9</v>
      </c>
      <c r="Q48" s="9" t="n">
        <v>836</v>
      </c>
      <c r="R48" s="9" t="n">
        <v>0</v>
      </c>
      <c r="S48" s="9" t="n">
        <v>5</v>
      </c>
      <c r="T48" s="9" t="n">
        <v>1</v>
      </c>
      <c r="U48" s="10" t="n">
        <v>1721</v>
      </c>
      <c r="V48" s="10" t="n">
        <v>0</v>
      </c>
      <c r="W48" s="10" t="n">
        <v>0</v>
      </c>
      <c r="X48" s="10" t="n">
        <v>1721</v>
      </c>
      <c r="Y48" s="10" t="n">
        <v>0</v>
      </c>
    </row>
    <row r="49">
      <c r="A49" s="7" t="n">
        <v>44</v>
      </c>
      <c r="B49" s="8" t="inlineStr">
        <is>
          <t>Polling Station 44</t>
        </is>
      </c>
      <c r="C49" s="9" t="n">
        <v>44</v>
      </c>
      <c r="D49" s="9" t="n">
        <v>50</v>
      </c>
      <c r="E49" s="9" t="n">
        <v>0</v>
      </c>
      <c r="F49" s="9" t="n">
        <v>146</v>
      </c>
      <c r="G49" s="9" t="n">
        <v>181</v>
      </c>
      <c r="H49" s="9" t="n">
        <v>2</v>
      </c>
      <c r="I49" s="9" t="n">
        <v>2</v>
      </c>
      <c r="J49" s="9" t="n">
        <v>0</v>
      </c>
      <c r="K49" s="9" t="n">
        <v>2</v>
      </c>
      <c r="L49" s="9" t="n">
        <v>1</v>
      </c>
      <c r="M49" s="9" t="n">
        <v>0</v>
      </c>
      <c r="N49" s="9" t="n">
        <v>3</v>
      </c>
      <c r="O49" s="9" t="n">
        <v>4</v>
      </c>
      <c r="P49" s="9" t="n">
        <v>6</v>
      </c>
      <c r="Q49" s="9" t="n">
        <v>401</v>
      </c>
      <c r="R49" s="9" t="n">
        <v>0</v>
      </c>
      <c r="S49" s="9" t="n">
        <v>4</v>
      </c>
      <c r="T49" s="9" t="n">
        <v>405</v>
      </c>
      <c r="U49" s="10" t="n">
        <v>1251</v>
      </c>
      <c r="V49" s="10" t="n">
        <v>0</v>
      </c>
      <c r="W49" s="10" t="n">
        <v>0</v>
      </c>
      <c r="X49" s="10" t="n">
        <v>1251</v>
      </c>
      <c r="Y49" s="10" t="n">
        <v>0</v>
      </c>
    </row>
    <row r="50">
      <c r="A50" s="7" t="n">
        <v>45</v>
      </c>
      <c r="B50" s="8" t="inlineStr">
        <is>
          <t>Polling Station 45</t>
        </is>
      </c>
      <c r="C50" s="9" t="n">
        <v>45</v>
      </c>
      <c r="D50" s="9" t="n">
        <v>37</v>
      </c>
      <c r="E50" s="9" t="n">
        <v>0</v>
      </c>
      <c r="F50" s="9" t="n">
        <v>5</v>
      </c>
      <c r="G50" s="9" t="n">
        <v>265</v>
      </c>
      <c r="H50" s="9" t="n">
        <v>4</v>
      </c>
      <c r="I50" s="9" t="n">
        <v>3</v>
      </c>
      <c r="J50" s="9" t="n">
        <v>1</v>
      </c>
      <c r="K50" s="9" t="n">
        <v>1</v>
      </c>
      <c r="L50" s="9" t="n">
        <v>0</v>
      </c>
      <c r="M50" s="9" t="n">
        <v>0</v>
      </c>
      <c r="N50" s="9" t="n">
        <v>5</v>
      </c>
      <c r="O50" s="9" t="n">
        <v>3</v>
      </c>
      <c r="P50" s="9" t="n">
        <v>4</v>
      </c>
      <c r="Q50" s="9" t="n">
        <v>478</v>
      </c>
      <c r="R50" s="9" t="n">
        <v>0</v>
      </c>
      <c r="S50" s="9" t="n">
        <v>8</v>
      </c>
      <c r="T50" s="9" t="n">
        <v>486</v>
      </c>
      <c r="U50" s="10" t="n">
        <v>1345</v>
      </c>
      <c r="V50" s="10" t="n">
        <v>0</v>
      </c>
      <c r="W50" s="10" t="n">
        <v>0</v>
      </c>
      <c r="X50" s="10" t="n">
        <v>1345</v>
      </c>
      <c r="Y50" s="10" t="n">
        <v>0</v>
      </c>
    </row>
    <row r="51">
      <c r="A51" s="7" t="n">
        <v>46</v>
      </c>
      <c r="B51" s="8" t="inlineStr">
        <is>
          <t>Polling Station 46</t>
        </is>
      </c>
      <c r="C51" s="9" t="n">
        <v>46</v>
      </c>
      <c r="D51" s="9" t="n">
        <v>25</v>
      </c>
      <c r="E51" s="9" t="n">
        <v>0</v>
      </c>
      <c r="F51" s="9" t="n">
        <v>151</v>
      </c>
      <c r="G51" s="9" t="n">
        <v>242</v>
      </c>
      <c r="H51" s="9" t="n">
        <v>1</v>
      </c>
      <c r="I51" s="9" t="n">
        <v>0</v>
      </c>
      <c r="J51" s="9" t="n">
        <v>0</v>
      </c>
      <c r="K51" s="9" t="n">
        <v>0</v>
      </c>
      <c r="L51" s="9" t="n">
        <v>1</v>
      </c>
      <c r="M51" s="9" t="n">
        <v>1</v>
      </c>
      <c r="N51" s="9" t="n">
        <v>2</v>
      </c>
      <c r="O51" s="9" t="n">
        <v>3</v>
      </c>
      <c r="P51" s="9" t="n">
        <v>5</v>
      </c>
      <c r="Q51" s="9" t="n">
        <v>433</v>
      </c>
      <c r="R51" s="9" t="n">
        <v>0</v>
      </c>
      <c r="S51" s="9" t="n">
        <v>2</v>
      </c>
      <c r="T51" s="9" t="n">
        <v>445</v>
      </c>
      <c r="U51" s="10" t="n">
        <v>1357</v>
      </c>
      <c r="V51" s="10" t="n">
        <v>0</v>
      </c>
      <c r="W51" s="10" t="n">
        <v>0</v>
      </c>
      <c r="X51" s="10" t="n">
        <v>1357</v>
      </c>
      <c r="Y51" s="10" t="n">
        <v>0</v>
      </c>
    </row>
    <row r="52">
      <c r="A52" s="7" t="n">
        <v>47</v>
      </c>
      <c r="B52" s="8" t="inlineStr">
        <is>
          <t>Polling Station 47</t>
        </is>
      </c>
      <c r="C52" s="9" t="n">
        <v>47</v>
      </c>
      <c r="D52" s="9" t="n">
        <v>11</v>
      </c>
      <c r="E52" s="9" t="n">
        <v>0</v>
      </c>
      <c r="F52" s="9" t="n">
        <v>123</v>
      </c>
      <c r="G52" s="9" t="n">
        <v>277</v>
      </c>
      <c r="H52" s="9" t="n">
        <v>3</v>
      </c>
      <c r="I52" s="9" t="n">
        <v>3</v>
      </c>
      <c r="J52" s="9" t="n">
        <v>0</v>
      </c>
      <c r="K52" s="9" t="n">
        <v>0</v>
      </c>
      <c r="L52" s="9" t="n">
        <v>1</v>
      </c>
      <c r="M52" s="9" t="n">
        <v>1</v>
      </c>
      <c r="N52" s="9" t="n">
        <v>6</v>
      </c>
      <c r="O52" s="9" t="n">
        <v>6</v>
      </c>
      <c r="P52" s="9" t="n">
        <v>10</v>
      </c>
      <c r="Q52" s="9" t="n">
        <v>543</v>
      </c>
      <c r="R52" s="9" t="n">
        <v>0</v>
      </c>
      <c r="S52" s="9" t="n">
        <v>7</v>
      </c>
      <c r="T52" s="9" t="n">
        <v>550</v>
      </c>
      <c r="U52" s="10" t="n">
        <v>1588</v>
      </c>
      <c r="V52" s="10" t="n">
        <v>0</v>
      </c>
      <c r="W52" s="10" t="n">
        <v>0</v>
      </c>
      <c r="X52" s="10" t="n">
        <v>1588</v>
      </c>
      <c r="Y52" s="10" t="n">
        <v>0</v>
      </c>
    </row>
    <row r="53">
      <c r="A53" s="7" t="n">
        <v>48</v>
      </c>
      <c r="B53" s="8" t="inlineStr">
        <is>
          <t>Polling Station 48</t>
        </is>
      </c>
      <c r="C53" s="9" t="n">
        <v>48</v>
      </c>
      <c r="D53" s="9" t="n">
        <v>17</v>
      </c>
      <c r="E53" s="9" t="n">
        <v>0</v>
      </c>
      <c r="F53" s="9" t="n">
        <v>234</v>
      </c>
      <c r="G53" s="9" t="n">
        <v>320</v>
      </c>
      <c r="H53" s="9" t="n">
        <v>3</v>
      </c>
      <c r="I53" s="9" t="n">
        <v>5</v>
      </c>
      <c r="J53" s="9" t="n">
        <v>2</v>
      </c>
      <c r="K53" s="9" t="n">
        <v>0</v>
      </c>
      <c r="L53" s="9" t="n">
        <v>0</v>
      </c>
      <c r="M53" s="9" t="n">
        <v>0</v>
      </c>
      <c r="N53" s="9" t="n">
        <v>8</v>
      </c>
      <c r="O53" s="9" t="n">
        <v>10</v>
      </c>
      <c r="P53" s="9" t="n">
        <v>9</v>
      </c>
      <c r="Q53" s="9" t="n">
        <v>715</v>
      </c>
      <c r="R53" s="9" t="n">
        <v>0</v>
      </c>
      <c r="S53" s="9" t="n">
        <v>13</v>
      </c>
      <c r="T53" s="9" t="n">
        <v>72</v>
      </c>
      <c r="U53" s="10" t="n">
        <v>1456</v>
      </c>
      <c r="V53" s="10" t="n">
        <v>0</v>
      </c>
      <c r="W53" s="10" t="n">
        <v>0</v>
      </c>
      <c r="X53" s="10" t="n">
        <v>1456</v>
      </c>
      <c r="Y53" s="10" t="n">
        <v>0</v>
      </c>
    </row>
    <row r="54">
      <c r="A54" s="7" t="n">
        <v>49</v>
      </c>
      <c r="B54" s="8" t="inlineStr">
        <is>
          <t>| 49</t>
        </is>
      </c>
      <c r="C54" s="9" t="n">
        <v>49</v>
      </c>
      <c r="D54" s="9" t="n">
        <v>25</v>
      </c>
      <c r="E54" s="9" t="n">
        <v>0</v>
      </c>
      <c r="F54" s="9" t="n">
        <v>214</v>
      </c>
      <c r="G54" s="9" t="n">
        <v>433</v>
      </c>
      <c r="H54" s="9" t="n">
        <v>4</v>
      </c>
      <c r="I54" s="9" t="n">
        <v>3</v>
      </c>
      <c r="J54" s="9" t="n">
        <v>0</v>
      </c>
      <c r="K54" s="9" t="n">
        <v>2</v>
      </c>
      <c r="L54" s="9" t="n">
        <v>2</v>
      </c>
      <c r="M54" s="9" t="n">
        <v>2</v>
      </c>
      <c r="N54" s="9" t="n">
        <v>4</v>
      </c>
      <c r="O54" s="9" t="n">
        <v>4</v>
      </c>
      <c r="P54" s="9" t="n">
        <v>5</v>
      </c>
      <c r="Q54" s="9" t="n">
        <v>699</v>
      </c>
      <c r="R54" s="9" t="n">
        <v>0</v>
      </c>
      <c r="S54" s="9" t="n">
        <v>10</v>
      </c>
      <c r="T54" s="9" t="n">
        <v>709</v>
      </c>
      <c r="U54" s="10" t="n">
        <v>2165</v>
      </c>
      <c r="V54" s="10" t="n">
        <v>0</v>
      </c>
      <c r="W54" s="10" t="n">
        <v>0</v>
      </c>
      <c r="X54" s="10" t="n">
        <v>2165</v>
      </c>
      <c r="Y54" s="10" t="n">
        <v>0</v>
      </c>
    </row>
    <row r="55">
      <c r="A55" s="7" t="n">
        <v>50</v>
      </c>
      <c r="B55" s="8" t="inlineStr">
        <is>
          <t>Polling Station 50</t>
        </is>
      </c>
      <c r="C55" s="9" t="n">
        <v>50</v>
      </c>
      <c r="D55" s="9" t="n">
        <v>21</v>
      </c>
      <c r="E55" s="9" t="n">
        <v>0</v>
      </c>
      <c r="F55" s="9" t="n">
        <v>110</v>
      </c>
      <c r="G55" s="9" t="n">
        <v>244</v>
      </c>
      <c r="H55" s="9" t="n">
        <v>3</v>
      </c>
      <c r="I55" s="9" t="n">
        <v>3</v>
      </c>
      <c r="J55" s="9" t="n">
        <v>0</v>
      </c>
      <c r="K55" s="9" t="n">
        <v>0</v>
      </c>
      <c r="L55" s="9" t="n">
        <v>1</v>
      </c>
      <c r="M55" s="9" t="n">
        <v>2</v>
      </c>
      <c r="N55" s="9" t="n">
        <v>5</v>
      </c>
      <c r="O55" s="9" t="n">
        <v>2</v>
      </c>
      <c r="P55" s="9" t="n">
        <v>1</v>
      </c>
      <c r="Q55" s="9" t="n">
        <v>395</v>
      </c>
      <c r="R55" s="9" t="n">
        <v>0</v>
      </c>
      <c r="S55" s="9" t="n">
        <v>2</v>
      </c>
      <c r="T55" s="9" t="n">
        <v>307</v>
      </c>
      <c r="U55" s="10" t="n">
        <v>1146</v>
      </c>
      <c r="V55" s="10" t="n">
        <v>0</v>
      </c>
      <c r="W55" s="10" t="n">
        <v>0</v>
      </c>
      <c r="X55" s="10" t="n">
        <v>1146</v>
      </c>
      <c r="Y55" s="10" t="n">
        <v>0</v>
      </c>
    </row>
    <row r="56">
      <c r="A56" s="7" t="n">
        <v>51</v>
      </c>
      <c r="B56" s="8" t="inlineStr">
        <is>
          <t>Polling Station 51</t>
        </is>
      </c>
      <c r="C56" s="9" t="n">
        <v>51</v>
      </c>
      <c r="D56" s="9" t="n">
        <v>76</v>
      </c>
      <c r="E56" s="9" t="n">
        <v>3</v>
      </c>
      <c r="F56" s="9" t="n">
        <v>258</v>
      </c>
      <c r="G56" s="9" t="n">
        <v>205</v>
      </c>
      <c r="H56" s="9" t="n">
        <v>0</v>
      </c>
      <c r="I56" s="9" t="n">
        <v>0</v>
      </c>
      <c r="J56" s="9" t="n">
        <v>1</v>
      </c>
      <c r="K56" s="9" t="n">
        <v>0</v>
      </c>
      <c r="L56" s="9" t="n">
        <v>1</v>
      </c>
      <c r="M56" s="9" t="n">
        <v>1</v>
      </c>
      <c r="N56" s="9" t="n">
        <v>5</v>
      </c>
      <c r="O56" s="9" t="n">
        <v>2</v>
      </c>
      <c r="P56" s="9" t="n">
        <v>2</v>
      </c>
      <c r="Q56" s="9" t="n">
        <v>553</v>
      </c>
      <c r="R56" s="9" t="n">
        <v>0</v>
      </c>
      <c r="S56" s="9" t="n">
        <v>2</v>
      </c>
      <c r="T56" s="9" t="n">
        <v>555</v>
      </c>
      <c r="U56" s="10" t="n">
        <v>1715</v>
      </c>
      <c r="V56" s="10" t="n">
        <v>0</v>
      </c>
      <c r="W56" s="10" t="n">
        <v>0</v>
      </c>
      <c r="X56" s="10" t="n">
        <v>1715</v>
      </c>
      <c r="Y56" s="10" t="n">
        <v>0</v>
      </c>
    </row>
    <row r="57">
      <c r="A57" s="7" t="n">
        <v>52</v>
      </c>
      <c r="B57" s="8" t="inlineStr">
        <is>
          <t>Polling Station 52</t>
        </is>
      </c>
      <c r="C57" s="9" t="n">
        <v>52</v>
      </c>
      <c r="D57" s="9" t="n">
        <v>41</v>
      </c>
      <c r="E57" s="9" t="n">
        <v>0</v>
      </c>
      <c r="F57" s="9" t="n">
        <v>224</v>
      </c>
      <c r="G57" s="9" t="n">
        <v>252</v>
      </c>
      <c r="H57" s="9" t="n">
        <v>5</v>
      </c>
      <c r="I57" s="9" t="n">
        <v>2</v>
      </c>
      <c r="J57" s="9" t="n">
        <v>0</v>
      </c>
      <c r="K57" s="9" t="n">
        <v>1</v>
      </c>
      <c r="L57" s="9" t="n">
        <v>1</v>
      </c>
      <c r="M57" s="9" t="n">
        <v>3</v>
      </c>
      <c r="N57" s="9" t="n">
        <v>4</v>
      </c>
      <c r="O57" s="9" t="n">
        <v>2</v>
      </c>
      <c r="P57" s="9" t="n">
        <v>11</v>
      </c>
      <c r="Q57" s="9" t="n">
        <v>549</v>
      </c>
      <c r="R57" s="9" t="n">
        <v>0</v>
      </c>
      <c r="S57" s="9" t="n">
        <v>10</v>
      </c>
      <c r="T57" s="9" t="n">
        <v>559</v>
      </c>
      <c r="U57" s="10" t="n">
        <v>1716</v>
      </c>
      <c r="V57" s="10" t="n">
        <v>0</v>
      </c>
      <c r="W57" s="10" t="n">
        <v>0</v>
      </c>
      <c r="X57" s="10" t="n">
        <v>1716</v>
      </c>
      <c r="Y57" s="10" t="n">
        <v>0</v>
      </c>
    </row>
    <row r="58">
      <c r="A58" s="7" t="n">
        <v>53</v>
      </c>
      <c r="B58" s="8" t="inlineStr">
        <is>
          <t>Polling Station 53</t>
        </is>
      </c>
      <c r="C58" s="9" t="n">
        <v>53</v>
      </c>
      <c r="D58" s="9" t="n">
        <v>53</v>
      </c>
      <c r="E58" s="9" t="n">
        <v>0</v>
      </c>
      <c r="F58" s="9" t="n">
        <v>240</v>
      </c>
      <c r="G58" s="9" t="n">
        <v>315</v>
      </c>
      <c r="H58" s="9" t="n">
        <v>0</v>
      </c>
      <c r="I58" s="9" t="n">
        <v>3</v>
      </c>
      <c r="J58" s="9" t="n">
        <v>0</v>
      </c>
      <c r="K58" s="9" t="n">
        <v>1</v>
      </c>
      <c r="L58" s="9" t="n">
        <v>3</v>
      </c>
      <c r="M58" s="9" t="n">
        <v>3</v>
      </c>
      <c r="N58" s="9" t="n">
        <v>7</v>
      </c>
      <c r="O58" s="9" t="n">
        <v>8</v>
      </c>
      <c r="P58" s="9" t="n">
        <v>4</v>
      </c>
      <c r="Q58" s="9" t="n">
        <v>640</v>
      </c>
      <c r="R58" s="9" t="n">
        <v>0</v>
      </c>
      <c r="S58" s="9" t="n">
        <v>12</v>
      </c>
      <c r="T58" s="9" t="n">
        <v>652</v>
      </c>
      <c r="U58" s="10" t="n">
        <v>1994</v>
      </c>
      <c r="V58" s="10" t="n">
        <v>0</v>
      </c>
      <c r="W58" s="10" t="n">
        <v>0</v>
      </c>
      <c r="X58" s="10" t="n">
        <v>1994</v>
      </c>
      <c r="Y58" s="10" t="n">
        <v>0</v>
      </c>
    </row>
    <row r="59">
      <c r="A59" s="7" t="n">
        <v>54</v>
      </c>
      <c r="B59" s="8" t="inlineStr">
        <is>
          <t>Polling Station 54</t>
        </is>
      </c>
      <c r="C59" s="9" t="n">
        <v>54</v>
      </c>
      <c r="D59" s="9" t="n">
        <v>7</v>
      </c>
      <c r="E59" s="9" t="n">
        <v>0</v>
      </c>
      <c r="F59" s="9" t="n">
        <v>292</v>
      </c>
      <c r="G59" s="9" t="n">
        <v>214</v>
      </c>
      <c r="H59" s="9" t="n">
        <v>3</v>
      </c>
      <c r="I59" s="9" t="n">
        <v>3</v>
      </c>
      <c r="J59" s="9" t="n">
        <v>0</v>
      </c>
      <c r="K59" s="9" t="n">
        <v>1</v>
      </c>
      <c r="L59" s="9" t="n">
        <v>0</v>
      </c>
      <c r="M59" s="9" t="n">
        <v>0</v>
      </c>
      <c r="N59" s="9" t="n">
        <v>11</v>
      </c>
      <c r="O59" s="9" t="n">
        <v>3</v>
      </c>
      <c r="P59" s="9" t="n">
        <v>4</v>
      </c>
      <c r="Q59" s="9" t="n">
        <v>613</v>
      </c>
      <c r="R59" s="9" t="n">
        <v>0</v>
      </c>
      <c r="S59" s="9" t="n">
        <v>10</v>
      </c>
      <c r="T59" s="9" t="n">
        <v>623</v>
      </c>
      <c r="U59" s="10" t="n">
        <v>1838</v>
      </c>
      <c r="V59" s="10" t="n">
        <v>0</v>
      </c>
      <c r="W59" s="10" t="n">
        <v>0</v>
      </c>
      <c r="X59" s="10" t="n">
        <v>1838</v>
      </c>
      <c r="Y59" s="10" t="n">
        <v>0</v>
      </c>
    </row>
    <row r="60">
      <c r="A60" s="7" t="n">
        <v>55</v>
      </c>
      <c r="B60" s="8" t="inlineStr">
        <is>
          <t>Polling Station 55</t>
        </is>
      </c>
      <c r="C60" s="9" t="n">
        <v>55</v>
      </c>
      <c r="D60" s="9" t="n">
        <v>25</v>
      </c>
      <c r="E60" s="9" t="n">
        <v>0</v>
      </c>
      <c r="F60" s="9" t="n">
        <v>195</v>
      </c>
      <c r="G60" s="9" t="n">
        <v>447</v>
      </c>
      <c r="H60" s="9" t="n">
        <v>6</v>
      </c>
      <c r="I60" s="9" t="n">
        <v>2</v>
      </c>
      <c r="J60" s="9" t="n">
        <v>0</v>
      </c>
      <c r="K60" s="9" t="n">
        <v>4</v>
      </c>
      <c r="L60" s="9" t="n">
        <v>2</v>
      </c>
      <c r="M60" s="9" t="n">
        <v>3</v>
      </c>
      <c r="N60" s="9" t="n">
        <v>13</v>
      </c>
      <c r="O60" s="9" t="n">
        <v>6</v>
      </c>
      <c r="P60" s="9" t="n">
        <v>4</v>
      </c>
      <c r="Q60" s="9" t="n">
        <v>710</v>
      </c>
      <c r="R60" s="9" t="n">
        <v>0</v>
      </c>
      <c r="S60" s="9" t="n">
        <v>2</v>
      </c>
      <c r="T60" s="9" t="n">
        <v>2</v>
      </c>
      <c r="U60" s="10" t="n">
        <v>1476</v>
      </c>
      <c r="V60" s="10" t="n">
        <v>0</v>
      </c>
      <c r="W60" s="10" t="n">
        <v>0</v>
      </c>
      <c r="X60" s="10" t="n">
        <v>1476</v>
      </c>
      <c r="Y60" s="10" t="n">
        <v>0</v>
      </c>
    </row>
    <row r="61">
      <c r="A61" s="7" t="n">
        <v>56</v>
      </c>
      <c r="B61" s="8" t="inlineStr">
        <is>
          <t>Polling Station 56</t>
        </is>
      </c>
      <c r="C61" s="9" t="n">
        <v>56</v>
      </c>
      <c r="D61" s="9" t="n">
        <v>63</v>
      </c>
      <c r="E61" s="9" t="n">
        <v>0</v>
      </c>
      <c r="F61" s="9" t="n">
        <v>153</v>
      </c>
      <c r="G61" s="9" t="n">
        <v>438</v>
      </c>
      <c r="H61" s="9" t="n">
        <v>1</v>
      </c>
      <c r="I61" s="9" t="n">
        <v>2</v>
      </c>
      <c r="J61" s="9" t="n">
        <v>0</v>
      </c>
      <c r="K61" s="9" t="n">
        <v>2</v>
      </c>
      <c r="L61" s="9" t="n">
        <v>5</v>
      </c>
      <c r="M61" s="9" t="n">
        <v>0</v>
      </c>
      <c r="N61" s="9" t="n">
        <v>16</v>
      </c>
      <c r="O61" s="9" t="n">
        <v>13</v>
      </c>
      <c r="P61" s="9" t="n">
        <v>6</v>
      </c>
      <c r="Q61" s="9" t="n">
        <v>709</v>
      </c>
      <c r="R61" s="9" t="n">
        <v>0</v>
      </c>
      <c r="S61" s="9" t="n">
        <v>10</v>
      </c>
      <c r="T61" s="9" t="n">
        <v>0</v>
      </c>
      <c r="U61" s="10" t="n">
        <v>1474</v>
      </c>
      <c r="V61" s="10" t="n">
        <v>0</v>
      </c>
      <c r="W61" s="10" t="n">
        <v>0</v>
      </c>
      <c r="X61" s="10" t="n">
        <v>1474</v>
      </c>
      <c r="Y61" s="10" t="n">
        <v>0</v>
      </c>
    </row>
    <row r="62">
      <c r="A62" s="7" t="n">
        <v>57</v>
      </c>
      <c r="B62" s="8" t="inlineStr">
        <is>
          <t>Polling Station 57</t>
        </is>
      </c>
      <c r="C62" s="9" t="n">
        <v>57</v>
      </c>
      <c r="D62" s="9" t="n">
        <v>56</v>
      </c>
      <c r="E62" s="9" t="n">
        <v>0</v>
      </c>
      <c r="F62" s="9" t="n">
        <v>239</v>
      </c>
      <c r="G62" s="9" t="n">
        <v>322</v>
      </c>
      <c r="H62" s="9" t="n">
        <v>0</v>
      </c>
      <c r="I62" s="9" t="n">
        <v>4</v>
      </c>
      <c r="J62" s="9" t="n">
        <v>1</v>
      </c>
      <c r="K62" s="9" t="n">
        <v>1</v>
      </c>
      <c r="L62" s="9" t="n">
        <v>1</v>
      </c>
      <c r="M62" s="9" t="n">
        <v>3</v>
      </c>
      <c r="N62" s="9" t="n">
        <v>11</v>
      </c>
      <c r="O62" s="9" t="n">
        <v>8</v>
      </c>
      <c r="P62" s="9" t="n">
        <v>9</v>
      </c>
      <c r="Q62" s="9" t="n">
        <v>662</v>
      </c>
      <c r="R62" s="9" t="n">
        <v>0</v>
      </c>
      <c r="S62" s="9" t="n">
        <v>5</v>
      </c>
      <c r="T62" s="9" t="n">
        <v>667</v>
      </c>
      <c r="U62" s="10" t="n">
        <v>2046</v>
      </c>
      <c r="V62" s="10" t="n">
        <v>0</v>
      </c>
      <c r="W62" s="10" t="n">
        <v>0</v>
      </c>
      <c r="X62" s="10" t="n">
        <v>2046</v>
      </c>
      <c r="Y62" s="10" t="n">
        <v>0</v>
      </c>
    </row>
    <row r="63">
      <c r="A63" s="7" t="n">
        <v>58</v>
      </c>
      <c r="B63" s="8" t="inlineStr">
        <is>
          <t>Polling Station 58</t>
        </is>
      </c>
      <c r="C63" s="9" t="n">
        <v>58</v>
      </c>
      <c r="D63" s="9" t="n">
        <v>7</v>
      </c>
      <c r="E63" s="9" t="n">
        <v>3</v>
      </c>
      <c r="F63" s="9" t="n">
        <v>183</v>
      </c>
      <c r="G63" s="9" t="n">
        <v>231</v>
      </c>
      <c r="H63" s="9" t="n">
        <v>3</v>
      </c>
      <c r="I63" s="9" t="n">
        <v>4</v>
      </c>
      <c r="J63" s="9" t="n">
        <v>0</v>
      </c>
      <c r="K63" s="9" t="n">
        <v>1</v>
      </c>
      <c r="L63" s="9" t="n">
        <v>0</v>
      </c>
      <c r="M63" s="9" t="n">
        <v>3</v>
      </c>
      <c r="N63" s="9" t="n">
        <v>6</v>
      </c>
      <c r="O63" s="9" t="n">
        <v>6</v>
      </c>
      <c r="P63" s="9" t="n">
        <v>2</v>
      </c>
      <c r="Q63" s="9" t="n">
        <v>459</v>
      </c>
      <c r="R63" s="9" t="n">
        <v>0</v>
      </c>
      <c r="S63" s="9" t="n">
        <v>4</v>
      </c>
      <c r="T63" s="9" t="n">
        <v>463</v>
      </c>
      <c r="U63" s="10" t="n">
        <v>1433</v>
      </c>
      <c r="V63" s="10" t="n">
        <v>0</v>
      </c>
      <c r="W63" s="10" t="n">
        <v>0</v>
      </c>
      <c r="X63" s="10" t="n">
        <v>1433</v>
      </c>
      <c r="Y63" s="10" t="n">
        <v>0</v>
      </c>
    </row>
    <row r="64">
      <c r="A64" s="7" t="n">
        <v>59</v>
      </c>
      <c r="B64" s="8" t="inlineStr">
        <is>
          <t>Polling Station 59</t>
        </is>
      </c>
      <c r="C64" s="9" t="n">
        <v>59</v>
      </c>
      <c r="D64" s="9" t="n">
        <v>75</v>
      </c>
      <c r="E64" s="9" t="n">
        <v>8</v>
      </c>
      <c r="F64" s="9" t="n">
        <v>175</v>
      </c>
      <c r="G64" s="9" t="n">
        <v>263</v>
      </c>
      <c r="H64" s="9" t="n">
        <v>2</v>
      </c>
      <c r="I64" s="9" t="n">
        <v>3</v>
      </c>
      <c r="J64" s="9" t="n">
        <v>0</v>
      </c>
      <c r="K64" s="9" t="n">
        <v>0</v>
      </c>
      <c r="L64" s="9" t="n">
        <v>4</v>
      </c>
      <c r="M64" s="9" t="n">
        <v>3</v>
      </c>
      <c r="N64" s="9" t="n">
        <v>5</v>
      </c>
      <c r="O64" s="9" t="n">
        <v>8</v>
      </c>
      <c r="P64" s="9" t="n">
        <v>8</v>
      </c>
      <c r="Q64" s="9" t="n">
        <v>554</v>
      </c>
      <c r="R64" s="9" t="n">
        <v>0</v>
      </c>
      <c r="S64" s="9" t="n">
        <v>0</v>
      </c>
      <c r="T64" s="9" t="n">
        <v>559</v>
      </c>
      <c r="U64" s="10" t="n">
        <v>1726</v>
      </c>
      <c r="V64" s="10" t="n">
        <v>0</v>
      </c>
      <c r="W64" s="10" t="n">
        <v>0</v>
      </c>
      <c r="X64" s="10" t="n">
        <v>1726</v>
      </c>
      <c r="Y64" s="10" t="n">
        <v>0</v>
      </c>
    </row>
    <row r="65">
      <c r="A65" s="7" t="n">
        <v>60</v>
      </c>
      <c r="B65" s="8" t="inlineStr">
        <is>
          <t>Polling Station 60</t>
        </is>
      </c>
      <c r="C65" s="9" t="n">
        <v>60</v>
      </c>
      <c r="D65" s="9" t="n">
        <v>37</v>
      </c>
      <c r="E65" s="9" t="n">
        <v>2</v>
      </c>
      <c r="F65" s="9" t="n">
        <v>207</v>
      </c>
      <c r="G65" s="9" t="n">
        <v>254</v>
      </c>
      <c r="H65" s="9" t="n">
        <v>4</v>
      </c>
      <c r="I65" s="9" t="n">
        <v>18</v>
      </c>
      <c r="J65" s="9" t="n">
        <v>1</v>
      </c>
      <c r="K65" s="9" t="n">
        <v>7</v>
      </c>
      <c r="L65" s="9" t="n">
        <v>2</v>
      </c>
      <c r="M65" s="9" t="n">
        <v>0</v>
      </c>
      <c r="N65" s="9" t="n">
        <v>3</v>
      </c>
      <c r="O65" s="9" t="n">
        <v>7</v>
      </c>
      <c r="P65" s="9" t="n">
        <v>7</v>
      </c>
      <c r="Q65" s="9" t="n">
        <v>549</v>
      </c>
      <c r="R65" s="9" t="n">
        <v>0</v>
      </c>
      <c r="S65" s="9" t="n">
        <v>12</v>
      </c>
      <c r="T65" s="9" t="n">
        <v>561</v>
      </c>
      <c r="U65" s="10" t="n">
        <v>1731</v>
      </c>
      <c r="V65" s="10" t="n">
        <v>0</v>
      </c>
      <c r="W65" s="10" t="n">
        <v>0</v>
      </c>
      <c r="X65" s="10" t="n">
        <v>1731</v>
      </c>
      <c r="Y65" s="10" t="n">
        <v>0</v>
      </c>
    </row>
    <row r="66">
      <c r="A66" s="7" t="n">
        <v>61</v>
      </c>
      <c r="B66" s="8" t="inlineStr">
        <is>
          <t>Polling Station 61</t>
        </is>
      </c>
      <c r="C66" s="9" t="n">
        <v>61</v>
      </c>
      <c r="D66" s="9" t="n">
        <v>25</v>
      </c>
      <c r="E66" s="9" t="n">
        <v>3</v>
      </c>
      <c r="F66" s="9" t="n">
        <v>216</v>
      </c>
      <c r="G66" s="9" t="n">
        <v>190</v>
      </c>
      <c r="H66" s="9" t="n">
        <v>2</v>
      </c>
      <c r="I66" s="9" t="n">
        <v>34</v>
      </c>
      <c r="J66" s="9" t="n">
        <v>0</v>
      </c>
      <c r="K66" s="9" t="n">
        <v>1</v>
      </c>
      <c r="L66" s="9" t="n">
        <v>0</v>
      </c>
      <c r="M66" s="9" t="n">
        <v>0</v>
      </c>
      <c r="N66" s="9" t="n">
        <v>4</v>
      </c>
      <c r="O66" s="9" t="n">
        <v>7</v>
      </c>
      <c r="P66" s="9" t="n">
        <v>2</v>
      </c>
      <c r="Q66" s="9" t="n">
        <v>484</v>
      </c>
      <c r="R66" s="9" t="n">
        <v>0</v>
      </c>
      <c r="S66" s="9" t="n">
        <v>5</v>
      </c>
      <c r="T66" s="9" t="n">
        <v>489</v>
      </c>
      <c r="U66" s="10" t="n">
        <v>1523</v>
      </c>
      <c r="V66" s="10" t="n">
        <v>0</v>
      </c>
      <c r="W66" s="10" t="n">
        <v>0</v>
      </c>
      <c r="X66" s="10" t="n">
        <v>1523</v>
      </c>
      <c r="Y66" s="10" t="n">
        <v>0</v>
      </c>
    </row>
    <row r="67">
      <c r="A67" s="7" t="n">
        <v>62</v>
      </c>
      <c r="B67" s="8" t="inlineStr">
        <is>
          <t>Polling Station 62</t>
        </is>
      </c>
      <c r="C67" s="9" t="n">
        <v>62</v>
      </c>
      <c r="D67" s="9" t="n">
        <v>67</v>
      </c>
      <c r="E67" s="9" t="n">
        <v>6</v>
      </c>
      <c r="F67" s="9" t="n">
        <v>219</v>
      </c>
      <c r="G67" s="9" t="n">
        <v>501</v>
      </c>
      <c r="H67" s="9" t="n">
        <v>8</v>
      </c>
      <c r="I67" s="9" t="n">
        <v>2</v>
      </c>
      <c r="J67" s="9" t="n">
        <v>3</v>
      </c>
      <c r="K67" s="9" t="n">
        <v>0</v>
      </c>
      <c r="L67" s="9" t="n">
        <v>0</v>
      </c>
      <c r="M67" s="9" t="n">
        <v>1</v>
      </c>
      <c r="N67" s="9" t="n">
        <v>6</v>
      </c>
      <c r="O67" s="9" t="n">
        <v>3</v>
      </c>
      <c r="P67" s="9" t="n">
        <v>10</v>
      </c>
      <c r="Q67" s="9" t="n">
        <v>826</v>
      </c>
      <c r="R67" s="9" t="n">
        <v>0</v>
      </c>
      <c r="S67" s="9" t="n">
        <v>6</v>
      </c>
      <c r="T67" s="9" t="n">
        <v>832</v>
      </c>
      <c r="U67" s="10" t="n">
        <v>2552</v>
      </c>
      <c r="V67" s="10" t="n">
        <v>0</v>
      </c>
      <c r="W67" s="10" t="n">
        <v>0</v>
      </c>
      <c r="X67" s="10" t="n">
        <v>2552</v>
      </c>
      <c r="Y67" s="10" t="n">
        <v>0</v>
      </c>
    </row>
    <row r="68">
      <c r="A68" s="7" t="n">
        <v>63</v>
      </c>
      <c r="B68" s="8" t="inlineStr">
        <is>
          <t>Polling Station 63</t>
        </is>
      </c>
      <c r="C68" s="9" t="n">
        <v>63</v>
      </c>
      <c r="D68" s="9" t="n">
        <v>27</v>
      </c>
      <c r="E68" s="9" t="n">
        <v>3</v>
      </c>
      <c r="F68" s="9" t="n">
        <v>123</v>
      </c>
      <c r="G68" s="9" t="n">
        <v>168</v>
      </c>
      <c r="H68" s="9" t="n">
        <v>2</v>
      </c>
      <c r="I68" s="9" t="n">
        <v>0</v>
      </c>
      <c r="J68" s="9" t="n">
        <v>1</v>
      </c>
      <c r="K68" s="9" t="n">
        <v>2</v>
      </c>
      <c r="L68" s="9" t="n">
        <v>1</v>
      </c>
      <c r="M68" s="9" t="n">
        <v>1</v>
      </c>
      <c r="N68" s="9" t="n">
        <v>6</v>
      </c>
      <c r="O68" s="9" t="n">
        <v>6</v>
      </c>
      <c r="P68" s="9" t="n">
        <v>4</v>
      </c>
      <c r="Q68" s="9" t="n">
        <v>344</v>
      </c>
      <c r="R68" s="9" t="n">
        <v>0</v>
      </c>
      <c r="S68" s="9" t="n">
        <v>2</v>
      </c>
      <c r="T68" s="9" t="n">
        <v>346</v>
      </c>
      <c r="U68" s="10" t="n">
        <v>1099</v>
      </c>
      <c r="V68" s="10" t="n">
        <v>0</v>
      </c>
      <c r="W68" s="10" t="n">
        <v>0</v>
      </c>
      <c r="X68" s="10" t="n">
        <v>1099</v>
      </c>
      <c r="Y68" s="10" t="n">
        <v>0</v>
      </c>
    </row>
    <row r="69">
      <c r="A69" s="7" t="n">
        <v>64</v>
      </c>
      <c r="B69" s="8" t="inlineStr">
        <is>
          <t>Polling Station 64</t>
        </is>
      </c>
      <c r="C69" s="9" t="n">
        <v>64</v>
      </c>
      <c r="D69" s="9" t="n">
        <v>104</v>
      </c>
      <c r="E69" s="9" t="n">
        <v>7</v>
      </c>
      <c r="F69" s="9" t="n">
        <v>271</v>
      </c>
      <c r="G69" s="9" t="n">
        <v>350</v>
      </c>
      <c r="H69" s="9" t="n">
        <v>3</v>
      </c>
      <c r="I69" s="9" t="n">
        <v>3</v>
      </c>
      <c r="J69" s="9" t="n">
        <v>2</v>
      </c>
      <c r="K69" s="9" t="n">
        <v>0</v>
      </c>
      <c r="L69" s="9" t="n">
        <v>0</v>
      </c>
      <c r="M69" s="9" t="n">
        <v>3</v>
      </c>
      <c r="N69" s="9" t="n">
        <v>10</v>
      </c>
      <c r="O69" s="9" t="n">
        <v>1</v>
      </c>
      <c r="P69" s="9" t="n">
        <v>10</v>
      </c>
      <c r="Q69" s="9" t="n">
        <v>774</v>
      </c>
      <c r="R69" s="9" t="n">
        <v>0</v>
      </c>
      <c r="S69" s="9" t="n">
        <v>8</v>
      </c>
      <c r="T69" s="9" t="n">
        <v>782</v>
      </c>
      <c r="U69" s="10" t="n">
        <v>2392</v>
      </c>
      <c r="V69" s="10" t="n">
        <v>0</v>
      </c>
      <c r="W69" s="10" t="n">
        <v>0</v>
      </c>
      <c r="X69" s="10" t="n">
        <v>2392</v>
      </c>
      <c r="Y69" s="10" t="n">
        <v>0</v>
      </c>
    </row>
    <row r="70">
      <c r="A70" s="7" t="n">
        <v>65</v>
      </c>
      <c r="B70" s="8" t="inlineStr">
        <is>
          <t>Polling Station 65</t>
        </is>
      </c>
      <c r="C70" s="9" t="n">
        <v>65</v>
      </c>
      <c r="D70" s="9" t="n">
        <v>55</v>
      </c>
      <c r="E70" s="9" t="n">
        <v>1</v>
      </c>
      <c r="F70" s="9" t="n">
        <v>127</v>
      </c>
      <c r="G70" s="9" t="n">
        <v>335</v>
      </c>
      <c r="H70" s="9" t="n">
        <v>2</v>
      </c>
      <c r="I70" s="9" t="n">
        <v>1</v>
      </c>
      <c r="J70" s="9" t="n">
        <v>0</v>
      </c>
      <c r="K70" s="9" t="n">
        <v>1</v>
      </c>
      <c r="L70" s="9" t="n">
        <v>0</v>
      </c>
      <c r="M70" s="9" t="n">
        <v>2</v>
      </c>
      <c r="N70" s="9" t="n">
        <v>5</v>
      </c>
      <c r="O70" s="9" t="n">
        <v>4</v>
      </c>
      <c r="P70" s="9" t="n">
        <v>4</v>
      </c>
      <c r="Q70" s="9" t="n">
        <v>537</v>
      </c>
      <c r="R70" s="9" t="n">
        <v>0</v>
      </c>
      <c r="S70" s="9" t="n">
        <v>7</v>
      </c>
      <c r="T70" s="9" t="n">
        <v>544</v>
      </c>
      <c r="U70" s="10" t="n">
        <v>1690</v>
      </c>
      <c r="V70" s="10" t="n">
        <v>0</v>
      </c>
      <c r="W70" s="10" t="n">
        <v>0</v>
      </c>
      <c r="X70" s="10" t="n">
        <v>1690</v>
      </c>
      <c r="Y70" s="10" t="n">
        <v>0</v>
      </c>
    </row>
    <row r="71">
      <c r="A71" s="7" t="n">
        <v>66</v>
      </c>
      <c r="B71" s="8" t="inlineStr">
        <is>
          <t>Polling Station 66</t>
        </is>
      </c>
      <c r="C71" s="9" t="n">
        <v>66</v>
      </c>
      <c r="D71" s="9" t="n">
        <v>34</v>
      </c>
      <c r="E71" s="9" t="n">
        <v>2</v>
      </c>
      <c r="F71" s="9" t="n">
        <v>148</v>
      </c>
      <c r="G71" s="9" t="n">
        <v>254</v>
      </c>
      <c r="H71" s="9" t="n">
        <v>0</v>
      </c>
      <c r="I71" s="9" t="n">
        <v>4</v>
      </c>
      <c r="J71" s="9" t="n">
        <v>1</v>
      </c>
      <c r="K71" s="9" t="n">
        <v>0</v>
      </c>
      <c r="L71" s="9" t="n">
        <v>0</v>
      </c>
      <c r="M71" s="9" t="n">
        <v>3</v>
      </c>
      <c r="N71" s="9" t="n">
        <v>0</v>
      </c>
      <c r="O71" s="9" t="n">
        <v>0</v>
      </c>
      <c r="P71" s="9" t="n">
        <v>0</v>
      </c>
      <c r="Q71" s="9" t="n">
        <v>455</v>
      </c>
      <c r="R71" s="9" t="n">
        <v>0</v>
      </c>
      <c r="S71" s="9" t="n">
        <v>4</v>
      </c>
      <c r="T71" s="9" t="n">
        <v>459</v>
      </c>
      <c r="U71" s="10" t="n">
        <v>1430</v>
      </c>
      <c r="V71" s="10" t="n">
        <v>0</v>
      </c>
      <c r="W71" s="10" t="n">
        <v>0</v>
      </c>
      <c r="X71" s="10" t="n">
        <v>1430</v>
      </c>
      <c r="Y71" s="10" t="n">
        <v>0</v>
      </c>
    </row>
    <row r="72">
      <c r="A72" s="7" t="n">
        <v>67</v>
      </c>
      <c r="B72" s="8" t="inlineStr">
        <is>
          <t>Polling Station 67</t>
        </is>
      </c>
      <c r="C72" s="9" t="n">
        <v>67</v>
      </c>
      <c r="D72" s="9" t="n">
        <v>43</v>
      </c>
      <c r="E72" s="9" t="n">
        <v>12</v>
      </c>
      <c r="F72" s="9" t="n">
        <v>127</v>
      </c>
      <c r="G72" s="9" t="n">
        <v>489</v>
      </c>
      <c r="H72" s="9" t="n">
        <v>0</v>
      </c>
      <c r="I72" s="9" t="n">
        <v>8</v>
      </c>
      <c r="J72" s="9" t="n">
        <v>4</v>
      </c>
      <c r="K72" s="9" t="n">
        <v>7</v>
      </c>
      <c r="L72" s="9" t="n">
        <v>3</v>
      </c>
      <c r="M72" s="9" t="n">
        <v>1</v>
      </c>
      <c r="N72" s="9" t="n">
        <v>14</v>
      </c>
      <c r="O72" s="9" t="n">
        <v>10</v>
      </c>
      <c r="P72" s="9" t="n">
        <v>2</v>
      </c>
      <c r="Q72" s="9" t="n">
        <v>740</v>
      </c>
      <c r="R72" s="9" t="n">
        <v>0</v>
      </c>
      <c r="S72" s="9" t="n">
        <v>7</v>
      </c>
      <c r="T72" s="9" t="n">
        <v>747</v>
      </c>
      <c r="U72" s="10" t="n">
        <v>2281</v>
      </c>
      <c r="V72" s="10" t="n">
        <v>0</v>
      </c>
      <c r="W72" s="10" t="n">
        <v>0</v>
      </c>
      <c r="X72" s="10" t="n">
        <v>2281</v>
      </c>
      <c r="Y72" s="10" t="n">
        <v>0</v>
      </c>
    </row>
    <row r="73">
      <c r="A73" s="7" t="n">
        <v>68</v>
      </c>
      <c r="B73" s="8" t="inlineStr">
        <is>
          <t>Polling Station 68</t>
        </is>
      </c>
      <c r="C73" s="9" t="n">
        <v>68</v>
      </c>
      <c r="D73" s="9" t="n">
        <v>40</v>
      </c>
      <c r="E73" s="9" t="n">
        <v>0</v>
      </c>
      <c r="F73" s="9" t="n">
        <v>168</v>
      </c>
      <c r="G73" s="9" t="n">
        <v>489</v>
      </c>
      <c r="H73" s="9" t="n">
        <v>8</v>
      </c>
      <c r="I73" s="9" t="n">
        <v>0</v>
      </c>
      <c r="J73" s="9" t="n">
        <v>0</v>
      </c>
      <c r="K73" s="9" t="n">
        <v>6</v>
      </c>
      <c r="L73" s="9" t="n">
        <v>1</v>
      </c>
      <c r="M73" s="9" t="n">
        <v>1</v>
      </c>
      <c r="N73" s="9" t="n">
        <v>6</v>
      </c>
      <c r="O73" s="9" t="n">
        <v>0</v>
      </c>
      <c r="P73" s="9" t="n">
        <v>0</v>
      </c>
      <c r="Q73" s="9" t="n">
        <v>749</v>
      </c>
      <c r="R73" s="9" t="n">
        <v>0</v>
      </c>
      <c r="S73" s="9" t="n">
        <v>16</v>
      </c>
      <c r="T73" s="9" t="n">
        <v>765</v>
      </c>
      <c r="U73" s="10" t="n">
        <v>2317</v>
      </c>
      <c r="V73" s="10" t="n">
        <v>0</v>
      </c>
      <c r="W73" s="10" t="n">
        <v>0</v>
      </c>
      <c r="X73" s="10" t="n">
        <v>2317</v>
      </c>
      <c r="Y73" s="10" t="n">
        <v>0</v>
      </c>
    </row>
    <row r="74">
      <c r="A74" s="7" t="n">
        <v>69</v>
      </c>
      <c r="B74" s="8" t="inlineStr">
        <is>
          <t>Polling Station 69</t>
        </is>
      </c>
      <c r="C74" s="9" t="n">
        <v>69</v>
      </c>
      <c r="D74" s="9" t="n">
        <v>60</v>
      </c>
      <c r="E74" s="9" t="n">
        <v>0</v>
      </c>
      <c r="F74" s="9" t="n">
        <v>229</v>
      </c>
      <c r="G74" s="9" t="n">
        <v>114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5</v>
      </c>
      <c r="N74" s="9" t="n">
        <v>2</v>
      </c>
      <c r="O74" s="9" t="n">
        <v>7</v>
      </c>
      <c r="P74" s="9" t="n">
        <v>0</v>
      </c>
      <c r="Q74" s="9" t="n">
        <v>429</v>
      </c>
      <c r="R74" s="9" t="n">
        <v>0</v>
      </c>
      <c r="S74" s="9" t="n">
        <v>8</v>
      </c>
      <c r="T74" s="9" t="n">
        <v>437</v>
      </c>
      <c r="U74" s="10" t="n">
        <v>1360</v>
      </c>
      <c r="V74" s="10" t="n">
        <v>0</v>
      </c>
      <c r="W74" s="10" t="n">
        <v>0</v>
      </c>
      <c r="X74" s="10" t="n">
        <v>1360</v>
      </c>
      <c r="Y74" s="10" t="n">
        <v>0</v>
      </c>
    </row>
    <row r="75">
      <c r="A75" s="7" t="n">
        <v>70</v>
      </c>
      <c r="B75" s="8" t="inlineStr">
        <is>
          <t>Polling Station 70</t>
        </is>
      </c>
      <c r="C75" s="9" t="n">
        <v>7</v>
      </c>
      <c r="D75" s="9" t="n">
        <v>136</v>
      </c>
      <c r="E75" s="9" t="n">
        <v>0</v>
      </c>
      <c r="F75" s="9" t="n">
        <v>192</v>
      </c>
      <c r="G75" s="9" t="n">
        <v>453</v>
      </c>
      <c r="H75" s="9" t="n">
        <v>0</v>
      </c>
      <c r="I75" s="9" t="n">
        <v>0</v>
      </c>
      <c r="J75" s="9" t="n">
        <v>0</v>
      </c>
      <c r="K75" s="9" t="n">
        <v>3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850</v>
      </c>
      <c r="R75" s="9" t="n">
        <v>0</v>
      </c>
      <c r="S75" s="9" t="n">
        <v>10</v>
      </c>
      <c r="T75" s="9" t="n">
        <v>860</v>
      </c>
      <c r="U75" s="10" t="n">
        <v>2511</v>
      </c>
      <c r="V75" s="10" t="n">
        <v>0</v>
      </c>
      <c r="W75" s="10" t="n">
        <v>0</v>
      </c>
      <c r="X75" s="10" t="n">
        <v>2511</v>
      </c>
      <c r="Y75" s="10" t="n">
        <v>0</v>
      </c>
    </row>
    <row r="76">
      <c r="A76" s="7" t="n">
        <v>71</v>
      </c>
      <c r="B76" s="8" t="inlineStr">
        <is>
          <t>Polling Station 71</t>
        </is>
      </c>
      <c r="C76" s="9" t="n">
        <v>0</v>
      </c>
      <c r="D76" s="9" t="n">
        <v>47</v>
      </c>
      <c r="E76" s="9" t="n">
        <v>0</v>
      </c>
      <c r="F76" s="9" t="n">
        <v>22</v>
      </c>
      <c r="G76" s="9" t="n">
        <v>290</v>
      </c>
      <c r="H76" s="9" t="n">
        <v>0</v>
      </c>
      <c r="I76" s="9" t="n">
        <v>1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8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23</v>
      </c>
      <c r="T76" s="9" t="n">
        <v>546</v>
      </c>
      <c r="U76" s="10" t="n">
        <v>937</v>
      </c>
      <c r="V76" s="10" t="n">
        <v>0</v>
      </c>
      <c r="W76" s="10" t="n">
        <v>0</v>
      </c>
      <c r="X76" s="10" t="n">
        <v>937</v>
      </c>
      <c r="Y76" s="10" t="n">
        <v>0</v>
      </c>
    </row>
    <row r="77">
      <c r="A77" s="7" t="n">
        <v>72</v>
      </c>
      <c r="B77" s="8" t="inlineStr">
        <is>
          <t>Polling Station 72</t>
        </is>
      </c>
      <c r="C77" s="9" t="n">
        <v>0</v>
      </c>
      <c r="D77" s="9" t="n">
        <v>0</v>
      </c>
      <c r="E77" s="9" t="n">
        <v>0</v>
      </c>
      <c r="F77" s="9" t="n">
        <v>440</v>
      </c>
      <c r="G77" s="9" t="n">
        <v>32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818</v>
      </c>
      <c r="R77" s="9" t="n">
        <v>0</v>
      </c>
      <c r="S77" s="9" t="n">
        <v>2</v>
      </c>
      <c r="T77" s="9" t="n">
        <v>820</v>
      </c>
      <c r="U77" s="10" t="n">
        <v>2112</v>
      </c>
      <c r="V77" s="10" t="n">
        <v>0</v>
      </c>
      <c r="W77" s="10" t="n">
        <v>0</v>
      </c>
      <c r="X77" s="10" t="n">
        <v>2112</v>
      </c>
      <c r="Y77" s="10" t="n">
        <v>0</v>
      </c>
    </row>
    <row r="78">
      <c r="A78" s="7" t="n">
        <v>73</v>
      </c>
      <c r="B78" s="8" t="inlineStr">
        <is>
          <t>Polling Station 73</t>
        </is>
      </c>
      <c r="C78" s="9" t="n">
        <v>0</v>
      </c>
      <c r="D78" s="9" t="n">
        <v>0</v>
      </c>
      <c r="E78" s="9" t="n">
        <v>0</v>
      </c>
      <c r="F78" s="9" t="n">
        <v>184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10</v>
      </c>
      <c r="Q78" s="9" t="n">
        <v>652</v>
      </c>
      <c r="R78" s="9" t="n">
        <v>0</v>
      </c>
      <c r="S78" s="9" t="n">
        <v>19</v>
      </c>
      <c r="T78" s="9" t="n">
        <v>671</v>
      </c>
      <c r="U78" s="10" t="n">
        <v>1536</v>
      </c>
      <c r="V78" s="10" t="n">
        <v>0</v>
      </c>
      <c r="W78" s="10" t="n">
        <v>0</v>
      </c>
      <c r="X78" s="10" t="n">
        <v>1536</v>
      </c>
      <c r="Y78" s="10" t="n">
        <v>0</v>
      </c>
    </row>
    <row r="79">
      <c r="A79" s="7" t="n">
        <v>74</v>
      </c>
      <c r="B79" s="8" t="inlineStr">
        <is>
          <t>Polling Station 74</t>
        </is>
      </c>
      <c r="C79" s="9" t="n">
        <v>7</v>
      </c>
      <c r="D79" s="9" t="n">
        <v>4</v>
      </c>
      <c r="E79" s="9" t="n">
        <v>0</v>
      </c>
      <c r="F79" s="9" t="n">
        <v>254</v>
      </c>
      <c r="G79" s="9" t="n">
        <v>436</v>
      </c>
      <c r="H79" s="9" t="n">
        <v>0</v>
      </c>
      <c r="I79" s="9" t="n">
        <v>1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782</v>
      </c>
      <c r="R79" s="9" t="n">
        <v>0</v>
      </c>
      <c r="S79" s="9" t="n">
        <v>23</v>
      </c>
      <c r="T79" s="9" t="n">
        <v>795</v>
      </c>
      <c r="U79" s="10" t="n">
        <v>2302</v>
      </c>
      <c r="V79" s="10" t="n">
        <v>0</v>
      </c>
      <c r="W79" s="10" t="n">
        <v>0</v>
      </c>
      <c r="X79" s="10" t="n">
        <v>2302</v>
      </c>
      <c r="Y79" s="10" t="n">
        <v>0</v>
      </c>
    </row>
    <row r="80">
      <c r="A80" s="7" t="n">
        <v>75</v>
      </c>
      <c r="B80" s="8" t="inlineStr">
        <is>
          <t>Polling Station 75</t>
        </is>
      </c>
      <c r="C80" s="9" t="n">
        <v>7</v>
      </c>
      <c r="D80" s="9" t="n">
        <v>0</v>
      </c>
      <c r="E80" s="9" t="n">
        <v>0</v>
      </c>
      <c r="F80" s="9" t="n">
        <v>0</v>
      </c>
      <c r="G80" s="9" t="n">
        <v>22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2</v>
      </c>
      <c r="M80" s="9" t="n">
        <v>0</v>
      </c>
      <c r="N80" s="9" t="n">
        <v>0</v>
      </c>
      <c r="O80" s="9" t="n">
        <v>7</v>
      </c>
      <c r="P80" s="9" t="n">
        <v>0</v>
      </c>
      <c r="Q80" s="9" t="n">
        <v>384</v>
      </c>
      <c r="R80" s="9" t="n">
        <v>0</v>
      </c>
      <c r="S80" s="9" t="n">
        <v>4</v>
      </c>
      <c r="T80" s="9" t="n">
        <v>388</v>
      </c>
      <c r="U80" s="10" t="n">
        <v>814</v>
      </c>
      <c r="V80" s="10" t="n">
        <v>0</v>
      </c>
      <c r="W80" s="10" t="n">
        <v>0</v>
      </c>
      <c r="X80" s="10" t="n">
        <v>814</v>
      </c>
      <c r="Y80" s="10" t="n">
        <v>0</v>
      </c>
    </row>
    <row r="81">
      <c r="A81" s="7" t="n">
        <v>76</v>
      </c>
      <c r="B81" s="8" t="inlineStr">
        <is>
          <t>Polling Station 76</t>
        </is>
      </c>
      <c r="C81" s="9" t="n">
        <v>76</v>
      </c>
      <c r="D81" s="9" t="n">
        <v>0</v>
      </c>
      <c r="E81" s="9" t="n">
        <v>0</v>
      </c>
      <c r="F81" s="9" t="n">
        <v>194</v>
      </c>
      <c r="G81" s="9" t="n">
        <v>157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7</v>
      </c>
      <c r="O81" s="9" t="n">
        <v>7</v>
      </c>
      <c r="P81" s="9" t="n">
        <v>0</v>
      </c>
      <c r="Q81" s="9" t="n">
        <v>348</v>
      </c>
      <c r="R81" s="9" t="n">
        <v>0</v>
      </c>
      <c r="S81" s="9" t="n">
        <v>4</v>
      </c>
      <c r="T81" s="9" t="n">
        <v>352</v>
      </c>
      <c r="U81" s="10" t="n">
        <v>1145</v>
      </c>
      <c r="V81" s="10" t="n">
        <v>0</v>
      </c>
      <c r="W81" s="10" t="n">
        <v>0</v>
      </c>
      <c r="X81" s="10" t="n">
        <v>1145</v>
      </c>
      <c r="Y81" s="10" t="n">
        <v>0</v>
      </c>
    </row>
    <row r="82">
      <c r="A82" s="7" t="n">
        <v>77</v>
      </c>
      <c r="B82" s="8" t="inlineStr">
        <is>
          <t>Polling Station 77</t>
        </is>
      </c>
      <c r="C82" s="9" t="n">
        <v>0</v>
      </c>
      <c r="D82" s="9" t="n">
        <v>7</v>
      </c>
      <c r="E82" s="9" t="n">
        <v>0</v>
      </c>
      <c r="F82" s="9" t="n">
        <v>47</v>
      </c>
      <c r="G82" s="9" t="n">
        <v>367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19</v>
      </c>
      <c r="O82" s="9" t="n">
        <v>0</v>
      </c>
      <c r="P82" s="9" t="n">
        <v>0</v>
      </c>
      <c r="Q82" s="9" t="n">
        <v>680</v>
      </c>
      <c r="R82" s="9" t="n">
        <v>0</v>
      </c>
      <c r="S82" s="9" t="n">
        <v>14</v>
      </c>
      <c r="T82" s="9" t="n">
        <v>694</v>
      </c>
      <c r="U82" s="10" t="n">
        <v>1828</v>
      </c>
      <c r="V82" s="10" t="n">
        <v>0</v>
      </c>
      <c r="W82" s="10" t="n">
        <v>0</v>
      </c>
      <c r="X82" s="10" t="n">
        <v>1828</v>
      </c>
      <c r="Y82" s="10" t="n">
        <v>0</v>
      </c>
    </row>
    <row r="83">
      <c r="A83" s="7" t="n">
        <v>78</v>
      </c>
      <c r="B83" s="8" t="inlineStr">
        <is>
          <t>Polling Station 78</t>
        </is>
      </c>
      <c r="C83" s="9" t="n">
        <v>0</v>
      </c>
      <c r="D83" s="9" t="n">
        <v>44</v>
      </c>
      <c r="E83" s="9" t="n">
        <v>0</v>
      </c>
      <c r="F83" s="9" t="n">
        <v>15</v>
      </c>
      <c r="G83" s="9" t="n">
        <v>355</v>
      </c>
      <c r="H83" s="9" t="n">
        <v>0</v>
      </c>
      <c r="I83" s="9" t="n">
        <v>3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7</v>
      </c>
      <c r="Q83" s="9" t="n">
        <v>0</v>
      </c>
      <c r="R83" s="9" t="n">
        <v>5</v>
      </c>
      <c r="S83" s="9" t="n">
        <v>8</v>
      </c>
      <c r="T83" s="9" t="n">
        <v>592</v>
      </c>
      <c r="U83" s="10" t="n">
        <v>1029</v>
      </c>
      <c r="V83" s="10" t="n">
        <v>0</v>
      </c>
      <c r="W83" s="10" t="n">
        <v>0</v>
      </c>
      <c r="X83" s="10" t="n">
        <v>1029</v>
      </c>
      <c r="Y83" s="10" t="n">
        <v>0</v>
      </c>
    </row>
    <row r="84">
      <c r="A84" s="7" t="n">
        <v>79</v>
      </c>
      <c r="B84" s="8" t="inlineStr">
        <is>
          <t>Polling Station 79</t>
        </is>
      </c>
      <c r="C84" s="9" t="n">
        <v>2</v>
      </c>
      <c r="D84" s="9" t="n">
        <v>0</v>
      </c>
      <c r="E84" s="9" t="n">
        <v>0</v>
      </c>
      <c r="F84" s="9" t="n">
        <v>8</v>
      </c>
      <c r="G84" s="9" t="n">
        <v>268</v>
      </c>
      <c r="H84" s="9" t="n">
        <v>5</v>
      </c>
      <c r="I84" s="9" t="n">
        <v>7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1</v>
      </c>
      <c r="O84" s="9" t="n">
        <v>4</v>
      </c>
      <c r="P84" s="9" t="n">
        <v>0</v>
      </c>
      <c r="Q84" s="9" t="n">
        <v>42</v>
      </c>
      <c r="R84" s="9" t="n">
        <v>0</v>
      </c>
      <c r="S84" s="9" t="n">
        <v>2</v>
      </c>
      <c r="T84" s="9" t="n">
        <v>4</v>
      </c>
      <c r="U84" s="10" t="n">
        <v>343</v>
      </c>
      <c r="V84" s="10" t="n">
        <v>0</v>
      </c>
      <c r="W84" s="10" t="n">
        <v>0</v>
      </c>
      <c r="X84" s="10" t="n">
        <v>343</v>
      </c>
      <c r="Y84" s="10" t="n">
        <v>0</v>
      </c>
    </row>
    <row r="85">
      <c r="A85" s="7" t="n">
        <v>80</v>
      </c>
      <c r="B85" s="8" t="inlineStr">
        <is>
          <t>Polling Station 80</t>
        </is>
      </c>
      <c r="C85" s="9" t="n">
        <v>80</v>
      </c>
      <c r="D85" s="9" t="n">
        <v>64</v>
      </c>
      <c r="E85" s="9" t="n">
        <v>4</v>
      </c>
      <c r="F85" s="9" t="n">
        <v>190</v>
      </c>
      <c r="G85" s="9" t="n">
        <v>543</v>
      </c>
      <c r="H85" s="9" t="n">
        <v>7</v>
      </c>
      <c r="I85" s="9" t="n">
        <v>3</v>
      </c>
      <c r="J85" s="9" t="n">
        <v>1</v>
      </c>
      <c r="K85" s="9" t="n">
        <v>1</v>
      </c>
      <c r="L85" s="9" t="n">
        <v>1</v>
      </c>
      <c r="M85" s="9" t="n">
        <v>4</v>
      </c>
      <c r="N85" s="9" t="n">
        <v>15</v>
      </c>
      <c r="O85" s="9" t="n">
        <v>7</v>
      </c>
      <c r="P85" s="9" t="n">
        <v>8</v>
      </c>
      <c r="Q85" s="9" t="n">
        <v>848</v>
      </c>
      <c r="R85" s="9" t="n">
        <v>0</v>
      </c>
      <c r="S85" s="9" t="n">
        <v>10</v>
      </c>
      <c r="T85" s="9" t="n">
        <v>858</v>
      </c>
      <c r="U85" s="10" t="n">
        <v>2644</v>
      </c>
      <c r="V85" s="10" t="n">
        <v>0</v>
      </c>
      <c r="W85" s="10" t="n">
        <v>0</v>
      </c>
      <c r="X85" s="10" t="n">
        <v>2644</v>
      </c>
      <c r="Y85" s="10" t="n">
        <v>0</v>
      </c>
    </row>
    <row r="86">
      <c r="A86" s="7" t="n">
        <v>81</v>
      </c>
      <c r="B86" s="8" t="inlineStr">
        <is>
          <t>Polling Station 81</t>
        </is>
      </c>
      <c r="C86" s="9" t="n">
        <v>81</v>
      </c>
      <c r="D86" s="9" t="n">
        <v>72</v>
      </c>
      <c r="E86" s="9" t="n">
        <v>4</v>
      </c>
      <c r="F86" s="9" t="n">
        <v>297</v>
      </c>
      <c r="G86" s="9" t="n">
        <v>405</v>
      </c>
      <c r="H86" s="9" t="n">
        <v>5</v>
      </c>
      <c r="I86" s="9" t="n">
        <v>2</v>
      </c>
      <c r="J86" s="9" t="n">
        <v>2</v>
      </c>
      <c r="K86" s="9" t="n">
        <v>0</v>
      </c>
      <c r="L86" s="9" t="n">
        <v>0</v>
      </c>
      <c r="M86" s="9" t="n">
        <v>4</v>
      </c>
      <c r="N86" s="9" t="n">
        <v>9</v>
      </c>
      <c r="O86" s="9" t="n">
        <v>6</v>
      </c>
      <c r="P86" s="9" t="n">
        <v>7</v>
      </c>
      <c r="Q86" s="9" t="n">
        <v>813</v>
      </c>
      <c r="R86" s="9" t="n">
        <v>0</v>
      </c>
      <c r="S86" s="9" t="n">
        <v>5</v>
      </c>
      <c r="T86" s="9" t="n">
        <v>818</v>
      </c>
      <c r="U86" s="10" t="n">
        <v>2530</v>
      </c>
      <c r="V86" s="10" t="n">
        <v>0</v>
      </c>
      <c r="W86" s="10" t="n">
        <v>0</v>
      </c>
      <c r="X86" s="10" t="n">
        <v>2530</v>
      </c>
      <c r="Y86" s="10" t="n">
        <v>0</v>
      </c>
    </row>
    <row r="87">
      <c r="A87" s="7" t="n">
        <v>82</v>
      </c>
      <c r="B87" s="8" t="inlineStr">
        <is>
          <t>Polling Station 82</t>
        </is>
      </c>
      <c r="C87" s="9" t="n">
        <v>82</v>
      </c>
      <c r="D87" s="9" t="n">
        <v>16</v>
      </c>
      <c r="E87" s="9" t="n">
        <v>3</v>
      </c>
      <c r="F87" s="9" t="n">
        <v>179</v>
      </c>
      <c r="G87" s="9" t="n">
        <v>208</v>
      </c>
      <c r="H87" s="9" t="n">
        <v>2</v>
      </c>
      <c r="I87" s="9" t="n">
        <v>2</v>
      </c>
      <c r="J87" s="9" t="n">
        <v>2</v>
      </c>
      <c r="K87" s="9" t="n">
        <v>1</v>
      </c>
      <c r="L87" s="9" t="n">
        <v>1</v>
      </c>
      <c r="M87" s="9" t="n">
        <v>0</v>
      </c>
      <c r="N87" s="9" t="n">
        <v>6</v>
      </c>
      <c r="O87" s="9" t="n">
        <v>5</v>
      </c>
      <c r="P87" s="9" t="n">
        <v>3</v>
      </c>
      <c r="Q87" s="9" t="n">
        <v>428</v>
      </c>
      <c r="R87" s="9" t="n">
        <v>0</v>
      </c>
      <c r="S87" s="9" t="n">
        <v>7</v>
      </c>
      <c r="T87" s="9" t="n">
        <v>435</v>
      </c>
      <c r="U87" s="10" t="n">
        <v>1380</v>
      </c>
      <c r="V87" s="10" t="n">
        <v>0</v>
      </c>
      <c r="W87" s="10" t="n">
        <v>0</v>
      </c>
      <c r="X87" s="10" t="n">
        <v>1380</v>
      </c>
      <c r="Y87" s="10" t="n">
        <v>0</v>
      </c>
    </row>
    <row r="88">
      <c r="A88" s="7" t="n">
        <v>83</v>
      </c>
      <c r="B88" s="8" t="inlineStr">
        <is>
          <t>Polling Station 83</t>
        </is>
      </c>
      <c r="C88" s="9" t="n">
        <v>83</v>
      </c>
      <c r="D88" s="9" t="n">
        <v>38</v>
      </c>
      <c r="E88" s="9" t="n">
        <v>8</v>
      </c>
      <c r="F88" s="9" t="n">
        <v>341</v>
      </c>
      <c r="G88" s="9" t="n">
        <v>286</v>
      </c>
      <c r="H88" s="9" t="n">
        <v>3</v>
      </c>
      <c r="I88" s="9" t="n">
        <v>0</v>
      </c>
      <c r="J88" s="9" t="n">
        <v>0</v>
      </c>
      <c r="K88" s="9" t="n">
        <v>2</v>
      </c>
      <c r="L88" s="9" t="n">
        <v>2</v>
      </c>
      <c r="M88" s="9" t="n">
        <v>1</v>
      </c>
      <c r="N88" s="9" t="n">
        <v>5</v>
      </c>
      <c r="O88" s="9" t="n">
        <v>7</v>
      </c>
      <c r="P88" s="9" t="n">
        <v>6</v>
      </c>
      <c r="Q88" s="9" t="n">
        <v>699</v>
      </c>
      <c r="R88" s="9" t="n">
        <v>0</v>
      </c>
      <c r="S88" s="9" t="n">
        <v>5</v>
      </c>
      <c r="T88" s="9" t="n">
        <v>704</v>
      </c>
      <c r="U88" s="10" t="n">
        <v>2190</v>
      </c>
      <c r="V88" s="10" t="n">
        <v>0</v>
      </c>
      <c r="W88" s="10" t="n">
        <v>0</v>
      </c>
      <c r="X88" s="10" t="n">
        <v>2190</v>
      </c>
      <c r="Y88" s="10" t="n">
        <v>0</v>
      </c>
    </row>
    <row r="89">
      <c r="A89" s="7" t="n">
        <v>84</v>
      </c>
      <c r="B89" s="8" t="inlineStr">
        <is>
          <t>Polling Station 84</t>
        </is>
      </c>
      <c r="C89" s="9" t="n">
        <v>84</v>
      </c>
      <c r="D89" s="9" t="n">
        <v>41</v>
      </c>
      <c r="E89" s="9" t="n">
        <v>4</v>
      </c>
      <c r="F89" s="9" t="n">
        <v>171</v>
      </c>
      <c r="G89" s="9" t="n">
        <v>452</v>
      </c>
      <c r="H89" s="9" t="n">
        <v>4</v>
      </c>
      <c r="I89" s="9" t="n">
        <v>0</v>
      </c>
      <c r="J89" s="9" t="n">
        <v>2</v>
      </c>
      <c r="K89" s="9" t="n">
        <v>2</v>
      </c>
      <c r="L89" s="9" t="n">
        <v>1</v>
      </c>
      <c r="M89" s="9" t="n">
        <v>2</v>
      </c>
      <c r="N89" s="9" t="n">
        <v>5</v>
      </c>
      <c r="O89" s="9" t="n">
        <v>9</v>
      </c>
      <c r="P89" s="9" t="n">
        <v>2</v>
      </c>
      <c r="Q89" s="9" t="n">
        <v>696</v>
      </c>
      <c r="R89" s="9" t="n">
        <v>0</v>
      </c>
      <c r="S89" s="9" t="n">
        <v>8</v>
      </c>
      <c r="T89" s="9" t="n">
        <v>704</v>
      </c>
      <c r="U89" s="10" t="n">
        <v>2187</v>
      </c>
      <c r="V89" s="10" t="n">
        <v>0</v>
      </c>
      <c r="W89" s="10" t="n">
        <v>0</v>
      </c>
      <c r="X89" s="10" t="n">
        <v>2187</v>
      </c>
      <c r="Y89" s="10" t="n">
        <v>0</v>
      </c>
    </row>
    <row r="90">
      <c r="A90" s="7" t="n">
        <v>85</v>
      </c>
      <c r="B90" s="8" t="inlineStr">
        <is>
          <t>Polling Station 85</t>
        </is>
      </c>
      <c r="C90" s="9" t="n">
        <v>85</v>
      </c>
      <c r="D90" s="9" t="n">
        <v>38</v>
      </c>
      <c r="E90" s="9" t="n">
        <v>2</v>
      </c>
      <c r="F90" s="9" t="n">
        <v>89</v>
      </c>
      <c r="G90" s="9" t="n">
        <v>196</v>
      </c>
      <c r="H90" s="9" t="n">
        <v>3</v>
      </c>
      <c r="I90" s="9" t="n">
        <v>0</v>
      </c>
      <c r="J90" s="9" t="n">
        <v>1</v>
      </c>
      <c r="K90" s="9" t="n">
        <v>0</v>
      </c>
      <c r="L90" s="9" t="n">
        <v>1</v>
      </c>
      <c r="M90" s="9" t="n">
        <v>1</v>
      </c>
      <c r="N90" s="9" t="n">
        <v>3</v>
      </c>
      <c r="O90" s="9" t="n">
        <v>3</v>
      </c>
      <c r="P90" s="9" t="n">
        <v>2</v>
      </c>
      <c r="Q90" s="9" t="n">
        <v>339</v>
      </c>
      <c r="R90" s="9" t="n">
        <v>0</v>
      </c>
      <c r="S90" s="9" t="n">
        <v>3</v>
      </c>
      <c r="T90" s="9" t="n">
        <v>342</v>
      </c>
      <c r="U90" s="10" t="n">
        <v>1108</v>
      </c>
      <c r="V90" s="10" t="n">
        <v>0</v>
      </c>
      <c r="W90" s="10" t="n">
        <v>0</v>
      </c>
      <c r="X90" s="10" t="n">
        <v>1108</v>
      </c>
      <c r="Y90" s="10" t="n">
        <v>0</v>
      </c>
    </row>
    <row r="91">
      <c r="A91" s="7" t="n">
        <v>86</v>
      </c>
      <c r="B91" s="8" t="inlineStr">
        <is>
          <t>Polling Station 86</t>
        </is>
      </c>
      <c r="C91" s="9" t="n">
        <v>86</v>
      </c>
      <c r="D91" s="9" t="n">
        <v>28</v>
      </c>
      <c r="E91" s="9" t="n">
        <v>5</v>
      </c>
      <c r="F91" s="9" t="n">
        <v>118</v>
      </c>
      <c r="G91" s="9" t="n">
        <v>187</v>
      </c>
      <c r="H91" s="9" t="n">
        <v>2</v>
      </c>
      <c r="I91" s="9" t="n">
        <v>2</v>
      </c>
      <c r="J91" s="9" t="n">
        <v>3</v>
      </c>
      <c r="K91" s="9" t="n">
        <v>4</v>
      </c>
      <c r="L91" s="9" t="n">
        <v>2</v>
      </c>
      <c r="M91" s="9" t="n">
        <v>4</v>
      </c>
      <c r="N91" s="9" t="n">
        <v>4</v>
      </c>
      <c r="O91" s="9" t="n">
        <v>5</v>
      </c>
      <c r="P91" s="9" t="n">
        <v>5</v>
      </c>
      <c r="Q91" s="9" t="n">
        <v>369</v>
      </c>
      <c r="R91" s="9" t="n">
        <v>0</v>
      </c>
      <c r="S91" s="9" t="n">
        <v>6</v>
      </c>
      <c r="T91" s="9" t="n">
        <v>375</v>
      </c>
      <c r="U91" s="10" t="n">
        <v>1205</v>
      </c>
      <c r="V91" s="10" t="n">
        <v>0</v>
      </c>
      <c r="W91" s="10" t="n">
        <v>0</v>
      </c>
      <c r="X91" s="10" t="n">
        <v>1205</v>
      </c>
      <c r="Y91" s="10" t="n">
        <v>0</v>
      </c>
    </row>
    <row r="92">
      <c r="A92" s="7" t="n">
        <v>87</v>
      </c>
      <c r="B92" s="8" t="inlineStr">
        <is>
          <t>Polling Station 87</t>
        </is>
      </c>
      <c r="C92" s="9" t="n">
        <v>87</v>
      </c>
      <c r="D92" s="9" t="n">
        <v>1107</v>
      </c>
      <c r="E92" s="9" t="n">
        <v>4</v>
      </c>
      <c r="F92" s="9" t="n">
        <v>151</v>
      </c>
      <c r="G92" s="9" t="n">
        <v>572</v>
      </c>
      <c r="H92" s="9" t="n">
        <v>4</v>
      </c>
      <c r="I92" s="9" t="n">
        <v>2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8</v>
      </c>
      <c r="O92" s="9" t="n">
        <v>1</v>
      </c>
      <c r="P92" s="9" t="n">
        <v>7</v>
      </c>
      <c r="Q92" s="9" t="n">
        <v>871</v>
      </c>
      <c r="R92" s="9" t="n">
        <v>0</v>
      </c>
      <c r="S92" s="9" t="n">
        <v>12</v>
      </c>
      <c r="T92" s="9" t="n">
        <v>883</v>
      </c>
      <c r="U92" s="10" t="n">
        <v>3709</v>
      </c>
      <c r="V92" s="10" t="n">
        <v>0</v>
      </c>
      <c r="W92" s="10" t="n">
        <v>0</v>
      </c>
      <c r="X92" s="10" t="n">
        <v>3709</v>
      </c>
      <c r="Y92" s="10" t="n">
        <v>0</v>
      </c>
    </row>
    <row r="93">
      <c r="A93" s="7" t="n">
        <v>88</v>
      </c>
      <c r="B93" s="8" t="inlineStr">
        <is>
          <t>Polling Station 88</t>
        </is>
      </c>
      <c r="C93" s="9" t="n">
        <v>88</v>
      </c>
      <c r="D93" s="9" t="n">
        <v>9</v>
      </c>
      <c r="E93" s="9" t="n">
        <v>10</v>
      </c>
      <c r="F93" s="9" t="n">
        <v>321</v>
      </c>
      <c r="G93" s="9" t="n">
        <v>383</v>
      </c>
      <c r="H93" s="9" t="n">
        <v>1</v>
      </c>
      <c r="I93" s="9" t="n">
        <v>1</v>
      </c>
      <c r="J93" s="9" t="n">
        <v>0</v>
      </c>
      <c r="K93" s="9" t="n">
        <v>0</v>
      </c>
      <c r="L93" s="9" t="n">
        <v>1</v>
      </c>
      <c r="M93" s="9" t="n">
        <v>0</v>
      </c>
      <c r="N93" s="9" t="n">
        <v>9</v>
      </c>
      <c r="O93" s="9" t="n">
        <v>11</v>
      </c>
      <c r="P93" s="9" t="n">
        <v>8</v>
      </c>
      <c r="Q93" s="9" t="n">
        <v>865</v>
      </c>
      <c r="R93" s="9" t="n">
        <v>0</v>
      </c>
      <c r="S93" s="9" t="n">
        <v>0</v>
      </c>
      <c r="T93" s="9" t="n">
        <v>872</v>
      </c>
      <c r="U93" s="10" t="n">
        <v>2579</v>
      </c>
      <c r="V93" s="10" t="n">
        <v>0</v>
      </c>
      <c r="W93" s="10" t="n">
        <v>0</v>
      </c>
      <c r="X93" s="10" t="n">
        <v>2579</v>
      </c>
      <c r="Y93" s="10" t="n">
        <v>0</v>
      </c>
    </row>
    <row r="94">
      <c r="A94" s="7" t="n">
        <v>91</v>
      </c>
      <c r="B94" s="8" t="inlineStr">
        <is>
          <t>Polling Station 91</t>
        </is>
      </c>
      <c r="C94" s="9" t="n">
        <v>91</v>
      </c>
      <c r="D94" s="9" t="n">
        <v>54</v>
      </c>
      <c r="E94" s="9" t="n">
        <v>0</v>
      </c>
      <c r="F94" s="9" t="n">
        <v>220</v>
      </c>
      <c r="G94" s="9" t="n">
        <v>438</v>
      </c>
      <c r="H94" s="9" t="n">
        <v>4</v>
      </c>
      <c r="I94" s="9" t="n">
        <v>6</v>
      </c>
      <c r="J94" s="9" t="n">
        <v>2</v>
      </c>
      <c r="K94" s="9" t="n">
        <v>0</v>
      </c>
      <c r="L94" s="9" t="n">
        <v>0</v>
      </c>
      <c r="M94" s="9" t="n">
        <v>0</v>
      </c>
      <c r="N94" s="9" t="n">
        <v>3</v>
      </c>
      <c r="O94" s="9" t="n">
        <v>0</v>
      </c>
      <c r="P94" s="9" t="n">
        <v>2</v>
      </c>
      <c r="Q94" s="9" t="n">
        <v>741</v>
      </c>
      <c r="R94" s="9" t="n">
        <v>0</v>
      </c>
      <c r="S94" s="9" t="n">
        <v>3</v>
      </c>
      <c r="T94" s="9" t="n">
        <v>744</v>
      </c>
      <c r="U94" s="10" t="n">
        <v>2308</v>
      </c>
      <c r="V94" s="10" t="n">
        <v>0</v>
      </c>
      <c r="W94" s="10" t="n">
        <v>0</v>
      </c>
      <c r="X94" s="10" t="n">
        <v>2308</v>
      </c>
      <c r="Y94" s="10" t="n">
        <v>0</v>
      </c>
    </row>
    <row r="95">
      <c r="A95" s="7" t="n">
        <v>92</v>
      </c>
      <c r="B95" s="8" t="inlineStr">
        <is>
          <t>Polling Station 92</t>
        </is>
      </c>
      <c r="C95" s="9" t="n">
        <v>92</v>
      </c>
      <c r="D95" s="9" t="n">
        <v>0</v>
      </c>
      <c r="E95" s="9" t="n">
        <v>2</v>
      </c>
      <c r="F95" s="9" t="n">
        <v>138</v>
      </c>
      <c r="G95" s="9" t="n">
        <v>289</v>
      </c>
      <c r="H95" s="9" t="n">
        <v>3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6</v>
      </c>
      <c r="O95" s="9" t="n">
        <v>0</v>
      </c>
      <c r="P95" s="9" t="n">
        <v>2</v>
      </c>
      <c r="Q95" s="9" t="n">
        <v>492</v>
      </c>
      <c r="R95" s="9" t="n">
        <v>0</v>
      </c>
      <c r="S95" s="9" t="n">
        <v>4</v>
      </c>
      <c r="T95" s="9" t="n">
        <v>496</v>
      </c>
      <c r="U95" s="10" t="n">
        <v>1524</v>
      </c>
      <c r="V95" s="10" t="n">
        <v>0</v>
      </c>
      <c r="W95" s="10" t="n">
        <v>0</v>
      </c>
      <c r="X95" s="10" t="n">
        <v>1524</v>
      </c>
      <c r="Y95" s="10" t="n">
        <v>0</v>
      </c>
    </row>
    <row r="96">
      <c r="A96" s="7" t="n">
        <v>93</v>
      </c>
      <c r="B96" s="8" t="inlineStr">
        <is>
          <t>Polling Station 93</t>
        </is>
      </c>
      <c r="C96" s="9" t="n">
        <v>93</v>
      </c>
      <c r="D96" s="9" t="n">
        <v>4</v>
      </c>
      <c r="E96" s="9" t="n">
        <v>0</v>
      </c>
      <c r="F96" s="9" t="n">
        <v>0</v>
      </c>
      <c r="G96" s="9" t="n">
        <v>4</v>
      </c>
      <c r="H96" s="9" t="n">
        <v>8</v>
      </c>
      <c r="I96" s="9" t="n">
        <v>0</v>
      </c>
      <c r="J96" s="9" t="n">
        <v>1</v>
      </c>
      <c r="K96" s="9" t="n">
        <v>0</v>
      </c>
      <c r="L96" s="9" t="n">
        <v>0</v>
      </c>
      <c r="M96" s="9" t="n">
        <v>0</v>
      </c>
      <c r="N96" s="9" t="n">
        <v>23</v>
      </c>
      <c r="O96" s="9" t="n">
        <v>0</v>
      </c>
      <c r="P96" s="9" t="n">
        <v>12</v>
      </c>
      <c r="Q96" s="9" t="n">
        <v>939</v>
      </c>
      <c r="R96" s="9" t="n">
        <v>0</v>
      </c>
      <c r="S96" s="9" t="n">
        <v>14</v>
      </c>
      <c r="T96" s="9" t="n">
        <v>953</v>
      </c>
      <c r="U96" s="10" t="n">
        <v>2051</v>
      </c>
      <c r="V96" s="10" t="n">
        <v>0</v>
      </c>
      <c r="W96" s="10" t="n">
        <v>0</v>
      </c>
      <c r="X96" s="10" t="n">
        <v>2051</v>
      </c>
      <c r="Y96" s="10" t="n">
        <v>0</v>
      </c>
    </row>
    <row r="97">
      <c r="A97" s="7" t="n">
        <v>94</v>
      </c>
      <c r="B97" s="8" t="inlineStr">
        <is>
          <t>Polling Station 94</t>
        </is>
      </c>
      <c r="C97" s="9" t="n">
        <v>194</v>
      </c>
      <c r="D97" s="9" t="n">
        <v>92</v>
      </c>
      <c r="E97" s="9" t="n">
        <v>0</v>
      </c>
      <c r="F97" s="9" t="n">
        <v>156</v>
      </c>
      <c r="G97" s="9" t="n">
        <v>45</v>
      </c>
      <c r="H97" s="9" t="n">
        <v>4</v>
      </c>
      <c r="I97" s="9" t="n">
        <v>4</v>
      </c>
      <c r="J97" s="9" t="n">
        <v>1</v>
      </c>
      <c r="K97" s="9" t="n">
        <v>0</v>
      </c>
      <c r="L97" s="9" t="n">
        <v>0</v>
      </c>
      <c r="M97" s="9" t="n">
        <v>0</v>
      </c>
      <c r="N97" s="9" t="n">
        <v>15</v>
      </c>
      <c r="O97" s="9" t="n">
        <v>7</v>
      </c>
      <c r="P97" s="9" t="n">
        <v>22</v>
      </c>
      <c r="Q97" s="9" t="n">
        <v>784</v>
      </c>
      <c r="R97" s="9" t="n">
        <v>0</v>
      </c>
      <c r="S97" s="9" t="n">
        <v>28</v>
      </c>
      <c r="T97" s="9" t="n">
        <v>809</v>
      </c>
      <c r="U97" s="10" t="n">
        <v>2161</v>
      </c>
      <c r="V97" s="10" t="n">
        <v>0</v>
      </c>
      <c r="W97" s="10" t="n">
        <v>0</v>
      </c>
      <c r="X97" s="10" t="n">
        <v>2161</v>
      </c>
      <c r="Y97" s="10" t="n">
        <v>0</v>
      </c>
    </row>
    <row r="98">
      <c r="A98" s="7" t="n">
        <v>95</v>
      </c>
      <c r="B98" s="8" t="inlineStr">
        <is>
          <t>Polling Station 95</t>
        </is>
      </c>
      <c r="C98" s="9" t="n">
        <v>95</v>
      </c>
      <c r="D98" s="9" t="n">
        <v>96</v>
      </c>
      <c r="E98" s="9" t="n">
        <v>8</v>
      </c>
      <c r="F98" s="9" t="n">
        <v>110</v>
      </c>
      <c r="G98" s="9" t="n">
        <v>48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10</v>
      </c>
      <c r="O98" s="9" t="n">
        <v>0</v>
      </c>
      <c r="P98" s="9" t="n">
        <v>11</v>
      </c>
      <c r="Q98" s="9" t="n">
        <v>743</v>
      </c>
      <c r="R98" s="9" t="n">
        <v>0</v>
      </c>
      <c r="S98" s="9" t="n">
        <v>0</v>
      </c>
      <c r="T98" s="9" t="n">
        <v>750</v>
      </c>
      <c r="U98" s="10" t="n">
        <v>1871</v>
      </c>
      <c r="V98" s="10" t="n">
        <v>0</v>
      </c>
      <c r="W98" s="10" t="n">
        <v>0</v>
      </c>
      <c r="X98" s="10" t="n">
        <v>1871</v>
      </c>
      <c r="Y98" s="10" t="n">
        <v>0</v>
      </c>
    </row>
    <row r="99">
      <c r="A99" s="7" t="n">
        <v>96</v>
      </c>
      <c r="B99" s="8" t="inlineStr">
        <is>
          <t>“96</t>
        </is>
      </c>
      <c r="C99" s="9" t="n">
        <v>96</v>
      </c>
      <c r="D99" s="9" t="n">
        <v>26</v>
      </c>
      <c r="E99" s="9" t="n">
        <v>45</v>
      </c>
      <c r="F99" s="9" t="n">
        <v>292</v>
      </c>
      <c r="G99" s="9" t="n">
        <v>337</v>
      </c>
      <c r="H99" s="9" t="n">
        <v>0</v>
      </c>
      <c r="I99" s="9" t="n">
        <v>7</v>
      </c>
      <c r="J99" s="9" t="n">
        <v>0</v>
      </c>
      <c r="K99" s="9" t="n">
        <v>0</v>
      </c>
      <c r="L99" s="9" t="n">
        <v>4</v>
      </c>
      <c r="M99" s="9" t="n">
        <v>0</v>
      </c>
      <c r="N99" s="9" t="n">
        <v>4</v>
      </c>
      <c r="O99" s="9" t="n">
        <v>8</v>
      </c>
      <c r="P99" s="9" t="n">
        <v>12</v>
      </c>
      <c r="Q99" s="9" t="n">
        <v>809</v>
      </c>
      <c r="R99" s="9" t="n">
        <v>0</v>
      </c>
      <c r="S99" s="9" t="n">
        <v>13</v>
      </c>
      <c r="T99" s="9" t="n">
        <v>822</v>
      </c>
      <c r="U99" s="10" t="n">
        <v>2475</v>
      </c>
      <c r="V99" s="10" t="n">
        <v>0</v>
      </c>
      <c r="W99" s="10" t="n">
        <v>0</v>
      </c>
      <c r="X99" s="10" t="n">
        <v>2475</v>
      </c>
      <c r="Y99" s="10" t="n">
        <v>0</v>
      </c>
    </row>
    <row r="100">
      <c r="A100" s="7" t="n">
        <v>97</v>
      </c>
      <c r="B100" s="8" t="inlineStr">
        <is>
          <t>Polling Station 97</t>
        </is>
      </c>
      <c r="C100" s="9" t="n">
        <v>99</v>
      </c>
      <c r="D100" s="9" t="n">
        <v>261</v>
      </c>
      <c r="E100" s="9" t="n">
        <v>0</v>
      </c>
      <c r="F100" s="9" t="n">
        <v>186</v>
      </c>
      <c r="G100" s="9" t="n">
        <v>293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3</v>
      </c>
      <c r="N100" s="9" t="n">
        <v>4</v>
      </c>
      <c r="O100" s="9" t="n">
        <v>0</v>
      </c>
      <c r="P100" s="9" t="n">
        <v>4</v>
      </c>
      <c r="Q100" s="9" t="n">
        <v>765</v>
      </c>
      <c r="R100" s="9" t="n">
        <v>0</v>
      </c>
      <c r="S100" s="9" t="n">
        <v>9</v>
      </c>
      <c r="T100" s="9" t="n">
        <v>774</v>
      </c>
      <c r="U100" s="10" t="n">
        <v>2398</v>
      </c>
      <c r="V100" s="10" t="n">
        <v>0</v>
      </c>
      <c r="W100" s="10" t="n">
        <v>0</v>
      </c>
      <c r="X100" s="10" t="n">
        <v>2398</v>
      </c>
      <c r="Y100" s="10" t="n">
        <v>0</v>
      </c>
    </row>
    <row r="101">
      <c r="A101" s="7" t="n">
        <v>98</v>
      </c>
      <c r="B101" s="8" t="inlineStr">
        <is>
          <t>Polling Station 98</t>
        </is>
      </c>
      <c r="C101" s="9" t="n">
        <v>98</v>
      </c>
      <c r="D101" s="9" t="n">
        <v>0</v>
      </c>
      <c r="E101" s="9" t="n">
        <v>8</v>
      </c>
      <c r="F101" s="9" t="n">
        <v>110</v>
      </c>
      <c r="G101" s="9" t="n">
        <v>324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10</v>
      </c>
      <c r="O101" s="9" t="n">
        <v>0</v>
      </c>
      <c r="P101" s="9" t="n">
        <v>7</v>
      </c>
      <c r="Q101" s="9" t="n">
        <v>605</v>
      </c>
      <c r="R101" s="9" t="n">
        <v>0</v>
      </c>
      <c r="S101" s="9" t="n">
        <v>9</v>
      </c>
      <c r="T101" s="9" t="n">
        <v>614</v>
      </c>
      <c r="U101" s="10" t="n">
        <v>1785</v>
      </c>
      <c r="V101" s="10" t="n">
        <v>0</v>
      </c>
      <c r="W101" s="10" t="n">
        <v>0</v>
      </c>
      <c r="X101" s="10" t="n">
        <v>1785</v>
      </c>
      <c r="Y101" s="10" t="n">
        <v>0</v>
      </c>
    </row>
    <row r="102">
      <c r="A102" s="7" t="n">
        <v>99</v>
      </c>
      <c r="B102" s="8" t="inlineStr">
        <is>
          <t>Polling Station 99</t>
        </is>
      </c>
      <c r="C102" s="9" t="n">
        <v>98</v>
      </c>
      <c r="D102" s="9" t="n">
        <v>124</v>
      </c>
      <c r="E102" s="9" t="n">
        <v>0</v>
      </c>
      <c r="F102" s="9" t="n">
        <v>118</v>
      </c>
      <c r="G102" s="9" t="n">
        <v>47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9</v>
      </c>
      <c r="O102" s="9" t="n">
        <v>0</v>
      </c>
      <c r="P102" s="9" t="n">
        <v>12</v>
      </c>
      <c r="Q102" s="9" t="n">
        <v>742</v>
      </c>
      <c r="R102" s="9" t="n">
        <v>0</v>
      </c>
      <c r="S102" s="9" t="n">
        <v>9</v>
      </c>
      <c r="T102" s="9" t="n">
        <v>751</v>
      </c>
      <c r="U102" s="10" t="n">
        <v>1910</v>
      </c>
      <c r="V102" s="10" t="n">
        <v>0</v>
      </c>
      <c r="W102" s="10" t="n">
        <v>0</v>
      </c>
      <c r="X102" s="10" t="n">
        <v>1910</v>
      </c>
      <c r="Y102" s="10" t="n">
        <v>0</v>
      </c>
    </row>
    <row r="103">
      <c r="A103" s="7" t="n">
        <v>100</v>
      </c>
      <c r="B103" s="8" t="inlineStr">
        <is>
          <t>Polling Station 100</t>
        </is>
      </c>
      <c r="C103" s="9" t="n">
        <v>106</v>
      </c>
      <c r="D103" s="9" t="n">
        <v>0</v>
      </c>
      <c r="E103" s="9" t="n">
        <v>0</v>
      </c>
      <c r="F103" s="9" t="n">
        <v>191</v>
      </c>
      <c r="G103" s="9" t="n">
        <v>374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4</v>
      </c>
      <c r="O103" s="9" t="n">
        <v>0</v>
      </c>
      <c r="P103" s="9" t="n">
        <v>4</v>
      </c>
      <c r="Q103" s="9" t="n">
        <v>714</v>
      </c>
      <c r="R103" s="9" t="n">
        <v>0</v>
      </c>
      <c r="S103" s="9" t="n">
        <v>4</v>
      </c>
      <c r="T103" s="9" t="n">
        <v>721</v>
      </c>
      <c r="U103" s="10" t="n">
        <v>2118</v>
      </c>
      <c r="V103" s="10" t="n">
        <v>0</v>
      </c>
      <c r="W103" s="10" t="n">
        <v>0</v>
      </c>
      <c r="X103" s="10" t="n">
        <v>2118</v>
      </c>
      <c r="Y103" s="10" t="n">
        <v>0</v>
      </c>
    </row>
    <row r="104">
      <c r="A104" s="7" t="n">
        <v>101</v>
      </c>
      <c r="B104" s="8" t="inlineStr">
        <is>
          <t>Polling Station 101</t>
        </is>
      </c>
      <c r="C104" s="9" t="n">
        <v>101</v>
      </c>
      <c r="D104" s="9" t="n">
        <v>107</v>
      </c>
      <c r="E104" s="9" t="n">
        <v>0</v>
      </c>
      <c r="F104" s="9" t="n">
        <v>1</v>
      </c>
      <c r="G104" s="9" t="n">
        <v>35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8</v>
      </c>
      <c r="O104" s="9" t="n">
        <v>0</v>
      </c>
      <c r="P104" s="9" t="n">
        <v>4</v>
      </c>
      <c r="Q104" s="9" t="n">
        <v>643</v>
      </c>
      <c r="R104" s="9" t="n">
        <v>0</v>
      </c>
      <c r="S104" s="9" t="n">
        <v>4</v>
      </c>
      <c r="T104" s="9" t="n">
        <v>647</v>
      </c>
      <c r="U104" s="10" t="n">
        <v>1550</v>
      </c>
      <c r="V104" s="10" t="n">
        <v>0</v>
      </c>
      <c r="W104" s="10" t="n">
        <v>0</v>
      </c>
      <c r="X104" s="10" t="n">
        <v>1550</v>
      </c>
      <c r="Y104" s="10" t="n">
        <v>0</v>
      </c>
    </row>
    <row r="105">
      <c r="A105" s="7" t="n">
        <v>102</v>
      </c>
      <c r="B105" s="8" t="inlineStr">
        <is>
          <t>| 102</t>
        </is>
      </c>
      <c r="C105" s="9" t="n">
        <v>102</v>
      </c>
      <c r="D105" s="9" t="n">
        <v>43</v>
      </c>
      <c r="E105" s="9" t="n">
        <v>4</v>
      </c>
      <c r="F105" s="9" t="n">
        <v>407</v>
      </c>
      <c r="G105" s="9" t="n">
        <v>313</v>
      </c>
      <c r="H105" s="9" t="n">
        <v>6</v>
      </c>
      <c r="I105" s="9" t="n">
        <v>2</v>
      </c>
      <c r="J105" s="9" t="n">
        <v>1</v>
      </c>
      <c r="K105" s="9" t="n">
        <v>1</v>
      </c>
      <c r="L105" s="9" t="n">
        <v>3</v>
      </c>
      <c r="M105" s="9" t="n">
        <v>1</v>
      </c>
      <c r="N105" s="9" t="n">
        <v>5</v>
      </c>
      <c r="O105" s="9" t="n">
        <v>8</v>
      </c>
      <c r="P105" s="9" t="n">
        <v>8</v>
      </c>
      <c r="Q105" s="9" t="n">
        <v>2</v>
      </c>
      <c r="R105" s="9" t="n">
        <v>0</v>
      </c>
      <c r="S105" s="9" t="n">
        <v>14</v>
      </c>
      <c r="T105" s="9" t="n">
        <v>816</v>
      </c>
      <c r="U105" s="10" t="n">
        <v>1736</v>
      </c>
      <c r="V105" s="10" t="n">
        <v>0</v>
      </c>
      <c r="W105" s="10" t="n">
        <v>0</v>
      </c>
      <c r="X105" s="10" t="n">
        <v>1736</v>
      </c>
      <c r="Y105" s="10" t="n">
        <v>0</v>
      </c>
    </row>
    <row r="106">
      <c r="A106" s="7" t="n">
        <v>103</v>
      </c>
      <c r="B106" s="8" t="inlineStr">
        <is>
          <t>Polling Station 103</t>
        </is>
      </c>
      <c r="C106" s="9" t="n">
        <v>103</v>
      </c>
      <c r="D106" s="9" t="n">
        <v>29</v>
      </c>
      <c r="E106" s="9" t="n">
        <v>4</v>
      </c>
      <c r="F106" s="9" t="n">
        <v>218</v>
      </c>
      <c r="G106" s="9" t="n">
        <v>236</v>
      </c>
      <c r="H106" s="9" t="n">
        <v>0</v>
      </c>
      <c r="I106" s="9" t="n">
        <v>3</v>
      </c>
      <c r="J106" s="9" t="n">
        <v>1</v>
      </c>
      <c r="K106" s="9" t="n">
        <v>0</v>
      </c>
      <c r="L106" s="9" t="n">
        <v>0</v>
      </c>
      <c r="M106" s="9" t="n">
        <v>1</v>
      </c>
      <c r="N106" s="9" t="n">
        <v>3</v>
      </c>
      <c r="O106" s="9" t="n">
        <v>2</v>
      </c>
      <c r="P106" s="9" t="n">
        <v>0</v>
      </c>
      <c r="Q106" s="9" t="n">
        <v>504</v>
      </c>
      <c r="R106" s="9" t="n">
        <v>0</v>
      </c>
      <c r="S106" s="9" t="n">
        <v>1</v>
      </c>
      <c r="T106" s="9" t="n">
        <v>515</v>
      </c>
      <c r="U106" s="10" t="n">
        <v>1620</v>
      </c>
      <c r="V106" s="10" t="n">
        <v>0</v>
      </c>
      <c r="W106" s="10" t="n">
        <v>0</v>
      </c>
      <c r="X106" s="10" t="n">
        <v>1620</v>
      </c>
      <c r="Y106" s="10" t="n">
        <v>0</v>
      </c>
    </row>
    <row r="107">
      <c r="A107" s="7" t="n">
        <v>104</v>
      </c>
      <c r="B107" s="8" t="inlineStr">
        <is>
          <t>Polling Station 104</t>
        </is>
      </c>
      <c r="C107" s="9" t="n">
        <v>104</v>
      </c>
      <c r="D107" s="9" t="n">
        <v>75</v>
      </c>
      <c r="E107" s="9" t="n">
        <v>123</v>
      </c>
      <c r="F107" s="9" t="n">
        <v>449</v>
      </c>
      <c r="G107" s="9" t="n">
        <v>378</v>
      </c>
      <c r="H107" s="9" t="n">
        <v>5</v>
      </c>
      <c r="I107" s="9" t="n">
        <v>2</v>
      </c>
      <c r="J107" s="9" t="n">
        <v>2</v>
      </c>
      <c r="K107" s="9" t="n">
        <v>3</v>
      </c>
      <c r="L107" s="9" t="n">
        <v>2</v>
      </c>
      <c r="M107" s="9" t="n">
        <v>1</v>
      </c>
      <c r="N107" s="9" t="n">
        <v>8</v>
      </c>
      <c r="O107" s="9" t="n">
        <v>6</v>
      </c>
      <c r="P107" s="9" t="n">
        <v>0</v>
      </c>
      <c r="Q107" s="9" t="n">
        <v>952</v>
      </c>
      <c r="R107" s="9" t="n">
        <v>0</v>
      </c>
      <c r="S107" s="9" t="n">
        <v>14</v>
      </c>
      <c r="T107" s="9" t="n">
        <v>965</v>
      </c>
      <c r="U107" s="10" t="n">
        <v>3089</v>
      </c>
      <c r="V107" s="10" t="n">
        <v>0</v>
      </c>
      <c r="W107" s="10" t="n">
        <v>0</v>
      </c>
      <c r="X107" s="10" t="n">
        <v>3089</v>
      </c>
      <c r="Y107" s="10" t="n">
        <v>0</v>
      </c>
    </row>
    <row r="108">
      <c r="A108" s="7" t="n">
        <v>105</v>
      </c>
      <c r="B108" s="8" t="inlineStr">
        <is>
          <t>Polling Station 105</t>
        </is>
      </c>
      <c r="C108" s="9" t="n">
        <v>105</v>
      </c>
      <c r="D108" s="9" t="n">
        <v>68</v>
      </c>
      <c r="E108" s="9" t="n">
        <v>23</v>
      </c>
      <c r="F108" s="9" t="n">
        <v>428</v>
      </c>
      <c r="G108" s="9" t="n">
        <v>337</v>
      </c>
      <c r="H108" s="9" t="n">
        <v>8</v>
      </c>
      <c r="I108" s="9" t="n">
        <v>5</v>
      </c>
      <c r="J108" s="9" t="n">
        <v>6</v>
      </c>
      <c r="K108" s="9" t="n">
        <v>0</v>
      </c>
      <c r="L108" s="9" t="n">
        <v>1</v>
      </c>
      <c r="M108" s="9" t="n">
        <v>1</v>
      </c>
      <c r="N108" s="9" t="n">
        <v>8</v>
      </c>
      <c r="O108" s="9" t="n">
        <v>13</v>
      </c>
      <c r="P108" s="9" t="n">
        <v>0</v>
      </c>
      <c r="Q108" s="9" t="n">
        <v>897</v>
      </c>
      <c r="R108" s="9" t="n">
        <v>0</v>
      </c>
      <c r="S108" s="9" t="n">
        <v>28</v>
      </c>
      <c r="T108" s="9" t="n">
        <v>925</v>
      </c>
      <c r="U108" s="10" t="n">
        <v>2853</v>
      </c>
      <c r="V108" s="10" t="n">
        <v>0</v>
      </c>
      <c r="W108" s="10" t="n">
        <v>0</v>
      </c>
      <c r="X108" s="10" t="n">
        <v>2853</v>
      </c>
      <c r="Y108" s="10" t="n">
        <v>0</v>
      </c>
    </row>
    <row r="109">
      <c r="A109" s="7" t="n">
        <v>106</v>
      </c>
      <c r="B109" s="8" t="inlineStr">
        <is>
          <t>Polling Station 106</t>
        </is>
      </c>
      <c r="C109" s="9" t="n">
        <v>106</v>
      </c>
      <c r="D109" s="9" t="n">
        <v>7</v>
      </c>
      <c r="E109" s="9" t="n">
        <v>5</v>
      </c>
      <c r="F109" s="9" t="n">
        <v>192</v>
      </c>
      <c r="G109" s="9" t="n">
        <v>236</v>
      </c>
      <c r="H109" s="9" t="n">
        <v>4</v>
      </c>
      <c r="I109" s="9" t="n">
        <v>1</v>
      </c>
      <c r="J109" s="9" t="n">
        <v>0</v>
      </c>
      <c r="K109" s="9" t="n">
        <v>2</v>
      </c>
      <c r="L109" s="9" t="n">
        <v>0</v>
      </c>
      <c r="M109" s="9" t="n">
        <v>1</v>
      </c>
      <c r="N109" s="9" t="n">
        <v>4</v>
      </c>
      <c r="O109" s="9" t="n">
        <v>4</v>
      </c>
      <c r="P109" s="9" t="n">
        <v>0</v>
      </c>
      <c r="Q109" s="9" t="n">
        <v>470</v>
      </c>
      <c r="R109" s="9" t="n">
        <v>0</v>
      </c>
      <c r="S109" s="9" t="n">
        <v>4</v>
      </c>
      <c r="T109" s="9" t="n">
        <v>474</v>
      </c>
      <c r="U109" s="10" t="n">
        <v>1510</v>
      </c>
      <c r="V109" s="10" t="n">
        <v>0</v>
      </c>
      <c r="W109" s="10" t="n">
        <v>0</v>
      </c>
      <c r="X109" s="10" t="n">
        <v>1510</v>
      </c>
      <c r="Y109" s="10" t="n">
        <v>0</v>
      </c>
    </row>
    <row r="110">
      <c r="A110" s="7" t="n">
        <v>107</v>
      </c>
      <c r="B110" s="8" t="inlineStr">
        <is>
          <t>Polling Station 107</t>
        </is>
      </c>
      <c r="C110" s="9" t="n">
        <v>107</v>
      </c>
      <c r="D110" s="9" t="n">
        <v>0</v>
      </c>
      <c r="E110" s="9" t="n">
        <v>0</v>
      </c>
      <c r="F110" s="9" t="n">
        <v>394</v>
      </c>
      <c r="G110" s="9" t="n">
        <v>363</v>
      </c>
      <c r="H110" s="9" t="n">
        <v>3</v>
      </c>
      <c r="I110" s="9" t="n">
        <v>0</v>
      </c>
      <c r="J110" s="9" t="n">
        <v>1</v>
      </c>
      <c r="K110" s="9" t="n">
        <v>8</v>
      </c>
      <c r="L110" s="9" t="n">
        <v>5</v>
      </c>
      <c r="M110" s="9" t="n">
        <v>2</v>
      </c>
      <c r="N110" s="9" t="n">
        <v>10</v>
      </c>
      <c r="O110" s="9" t="n">
        <v>19</v>
      </c>
      <c r="P110" s="9" t="n">
        <v>22</v>
      </c>
      <c r="Q110" s="9" t="n">
        <v>922</v>
      </c>
      <c r="R110" s="9" t="n">
        <v>0</v>
      </c>
      <c r="S110" s="9" t="n">
        <v>19</v>
      </c>
      <c r="T110" s="9" t="n">
        <v>941</v>
      </c>
      <c r="U110" s="10" t="n">
        <v>2816</v>
      </c>
      <c r="V110" s="10" t="n">
        <v>0</v>
      </c>
      <c r="W110" s="10" t="n">
        <v>0</v>
      </c>
      <c r="X110" s="10" t="n">
        <v>2816</v>
      </c>
      <c r="Y110" s="10" t="n">
        <v>0</v>
      </c>
    </row>
    <row r="111">
      <c r="A111" s="7" t="n">
        <v>108</v>
      </c>
      <c r="B111" s="8" t="inlineStr">
        <is>
          <t>| 108</t>
        </is>
      </c>
      <c r="C111" s="9" t="n">
        <v>108</v>
      </c>
      <c r="D111" s="9" t="n">
        <v>0</v>
      </c>
      <c r="E111" s="9" t="n">
        <v>5</v>
      </c>
      <c r="F111" s="9" t="n">
        <v>269</v>
      </c>
      <c r="G111" s="9" t="n">
        <v>382</v>
      </c>
      <c r="H111" s="9" t="n">
        <v>5</v>
      </c>
      <c r="I111" s="9" t="n">
        <v>0</v>
      </c>
      <c r="J111" s="9" t="n">
        <v>0</v>
      </c>
      <c r="K111" s="9" t="n">
        <v>3</v>
      </c>
      <c r="L111" s="9" t="n">
        <v>1</v>
      </c>
      <c r="M111" s="9" t="n">
        <v>3</v>
      </c>
      <c r="N111" s="9" t="n">
        <v>8</v>
      </c>
      <c r="O111" s="9" t="n">
        <v>1</v>
      </c>
      <c r="P111" s="9" t="n">
        <v>0</v>
      </c>
      <c r="Q111" s="9" t="n">
        <v>727</v>
      </c>
      <c r="R111" s="9" t="n">
        <v>0</v>
      </c>
      <c r="S111" s="9" t="n">
        <v>13</v>
      </c>
      <c r="T111" s="9" t="n">
        <v>740</v>
      </c>
      <c r="U111" s="10" t="n">
        <v>2265</v>
      </c>
      <c r="V111" s="10" t="n">
        <v>0</v>
      </c>
      <c r="W111" s="10" t="n">
        <v>0</v>
      </c>
      <c r="X111" s="10" t="n">
        <v>2265</v>
      </c>
      <c r="Y111" s="10" t="n">
        <v>0</v>
      </c>
    </row>
    <row r="112">
      <c r="A112" s="7" t="n">
        <v>109</v>
      </c>
      <c r="B112" s="8" t="inlineStr">
        <is>
          <t>| 109</t>
        </is>
      </c>
      <c r="C112" s="9" t="n">
        <v>109</v>
      </c>
      <c r="D112" s="9" t="n">
        <v>0</v>
      </c>
      <c r="E112" s="9" t="n">
        <v>2</v>
      </c>
      <c r="F112" s="9" t="n">
        <v>306</v>
      </c>
      <c r="G112" s="9" t="n">
        <v>486</v>
      </c>
      <c r="H112" s="9" t="n">
        <v>0</v>
      </c>
      <c r="I112" s="9" t="n">
        <v>0</v>
      </c>
      <c r="J112" s="9" t="n">
        <v>2</v>
      </c>
      <c r="K112" s="9" t="n">
        <v>1</v>
      </c>
      <c r="L112" s="9" t="n">
        <v>0</v>
      </c>
      <c r="M112" s="9" t="n">
        <v>2</v>
      </c>
      <c r="N112" s="9" t="n">
        <v>6</v>
      </c>
      <c r="O112" s="9" t="n">
        <v>5</v>
      </c>
      <c r="P112" s="9" t="n">
        <v>2</v>
      </c>
      <c r="Q112" s="9" t="n">
        <v>845</v>
      </c>
      <c r="R112" s="9" t="n">
        <v>0</v>
      </c>
      <c r="S112" s="9" t="n">
        <v>5</v>
      </c>
      <c r="T112" s="9" t="n">
        <v>850</v>
      </c>
      <c r="U112" s="10" t="n">
        <v>2621</v>
      </c>
      <c r="V112" s="10" t="n">
        <v>0</v>
      </c>
      <c r="W112" s="10" t="n">
        <v>0</v>
      </c>
      <c r="X112" s="10" t="n">
        <v>2621</v>
      </c>
      <c r="Y112" s="10" t="n">
        <v>0</v>
      </c>
    </row>
    <row r="113">
      <c r="A113" s="7" t="n">
        <v>110</v>
      </c>
      <c r="B113" s="8" t="inlineStr">
        <is>
          <t>| 110</t>
        </is>
      </c>
      <c r="C113" s="9" t="n">
        <v>110</v>
      </c>
      <c r="D113" s="9" t="n">
        <v>0</v>
      </c>
      <c r="E113" s="9" t="n">
        <v>4</v>
      </c>
      <c r="F113" s="9" t="n">
        <v>198</v>
      </c>
      <c r="G113" s="9" t="n">
        <v>463</v>
      </c>
      <c r="H113" s="9" t="n">
        <v>0</v>
      </c>
      <c r="I113" s="9" t="n">
        <v>0</v>
      </c>
      <c r="J113" s="9" t="n">
        <v>2</v>
      </c>
      <c r="K113" s="9" t="n">
        <v>0</v>
      </c>
      <c r="L113" s="9" t="n">
        <v>1</v>
      </c>
      <c r="M113" s="9" t="n">
        <v>1</v>
      </c>
      <c r="N113" s="9" t="n">
        <v>9</v>
      </c>
      <c r="O113" s="9" t="n">
        <v>7</v>
      </c>
      <c r="P113" s="9" t="n">
        <v>3</v>
      </c>
      <c r="Q113" s="9" t="n">
        <v>754</v>
      </c>
      <c r="R113" s="9" t="n">
        <v>0</v>
      </c>
      <c r="S113" s="9" t="n">
        <v>15</v>
      </c>
      <c r="T113" s="9" t="n">
        <v>769</v>
      </c>
      <c r="U113" s="10" t="n">
        <v>2336</v>
      </c>
      <c r="V113" s="10" t="n">
        <v>0</v>
      </c>
      <c r="W113" s="10" t="n">
        <v>0</v>
      </c>
      <c r="X113" s="10" t="n">
        <v>2336</v>
      </c>
      <c r="Y113" s="10" t="n">
        <v>0</v>
      </c>
    </row>
    <row r="114">
      <c r="A114" s="7" t="n">
        <v>111</v>
      </c>
      <c r="B114" s="8" t="inlineStr">
        <is>
          <t>Polling Station 111</t>
        </is>
      </c>
      <c r="C114" s="9" t="n">
        <v>111</v>
      </c>
      <c r="D114" s="9" t="n">
        <v>80</v>
      </c>
      <c r="E114" s="9" t="n">
        <v>2</v>
      </c>
      <c r="F114" s="9" t="n">
        <v>270</v>
      </c>
      <c r="G114" s="9" t="n">
        <v>556</v>
      </c>
      <c r="H114" s="9" t="n">
        <v>0</v>
      </c>
      <c r="I114" s="9" t="n">
        <v>0</v>
      </c>
      <c r="J114" s="9" t="n">
        <v>0</v>
      </c>
      <c r="K114" s="9" t="n">
        <v>3</v>
      </c>
      <c r="L114" s="9" t="n">
        <v>4</v>
      </c>
      <c r="M114" s="9" t="n">
        <v>1</v>
      </c>
      <c r="N114" s="9" t="n">
        <v>8</v>
      </c>
      <c r="O114" s="9" t="n">
        <v>7</v>
      </c>
      <c r="P114" s="9" t="n">
        <v>4</v>
      </c>
      <c r="Q114" s="9" t="n">
        <v>941</v>
      </c>
      <c r="R114" s="9" t="n">
        <v>0</v>
      </c>
      <c r="S114" s="9" t="n">
        <v>10</v>
      </c>
      <c r="T114" s="9" t="n">
        <v>951</v>
      </c>
      <c r="U114" s="10" t="n">
        <v>2948</v>
      </c>
      <c r="V114" s="10" t="n">
        <v>0</v>
      </c>
      <c r="W114" s="10" t="n">
        <v>0</v>
      </c>
      <c r="X114" s="10" t="n">
        <v>2948</v>
      </c>
      <c r="Y114" s="10" t="n">
        <v>0</v>
      </c>
    </row>
    <row r="115">
      <c r="A115" s="7" t="n">
        <v>112</v>
      </c>
      <c r="B115" s="8" t="inlineStr">
        <is>
          <t>Polling Station 112</t>
        </is>
      </c>
      <c r="C115" s="9" t="n">
        <v>112</v>
      </c>
      <c r="D115" s="9" t="n">
        <v>0</v>
      </c>
      <c r="E115" s="9" t="n">
        <v>3</v>
      </c>
      <c r="F115" s="9" t="n">
        <v>277</v>
      </c>
      <c r="G115" s="9" t="n">
        <v>451</v>
      </c>
      <c r="H115" s="9" t="n">
        <v>0</v>
      </c>
      <c r="I115" s="9" t="n">
        <v>20</v>
      </c>
      <c r="J115" s="9" t="n">
        <v>0</v>
      </c>
      <c r="K115" s="9" t="n">
        <v>1</v>
      </c>
      <c r="L115" s="9" t="n">
        <v>1</v>
      </c>
      <c r="M115" s="9" t="n">
        <v>0</v>
      </c>
      <c r="N115" s="9" t="n">
        <v>4</v>
      </c>
      <c r="O115" s="9" t="n">
        <v>3</v>
      </c>
      <c r="P115" s="9" t="n">
        <v>0</v>
      </c>
      <c r="Q115" s="9" t="n">
        <v>806</v>
      </c>
      <c r="R115" s="9" t="n">
        <v>0</v>
      </c>
      <c r="S115" s="9" t="n">
        <v>10</v>
      </c>
      <c r="T115" s="9" t="n">
        <v>816</v>
      </c>
      <c r="U115" s="10" t="n">
        <v>2504</v>
      </c>
      <c r="V115" s="10" t="n">
        <v>0</v>
      </c>
      <c r="W115" s="10" t="n">
        <v>0</v>
      </c>
      <c r="X115" s="10" t="n">
        <v>2504</v>
      </c>
      <c r="Y115" s="10" t="n">
        <v>0</v>
      </c>
    </row>
    <row r="116">
      <c r="A116" s="7" t="n">
        <v>113</v>
      </c>
      <c r="B116" s="8" t="inlineStr">
        <is>
          <t>Polling Station 113</t>
        </is>
      </c>
      <c r="C116" s="9" t="n">
        <v>113</v>
      </c>
      <c r="D116" s="9" t="n">
        <v>56</v>
      </c>
      <c r="E116" s="9" t="n">
        <v>0</v>
      </c>
      <c r="F116" s="9" t="n">
        <v>204</v>
      </c>
      <c r="G116" s="9" t="n">
        <v>397</v>
      </c>
      <c r="H116" s="9" t="n">
        <v>0</v>
      </c>
      <c r="I116" s="9" t="n">
        <v>0</v>
      </c>
      <c r="J116" s="9" t="n">
        <v>0</v>
      </c>
      <c r="K116" s="9" t="n">
        <v>9</v>
      </c>
      <c r="L116" s="9" t="n">
        <v>0</v>
      </c>
      <c r="M116" s="9" t="n">
        <v>5</v>
      </c>
      <c r="N116" s="9" t="n">
        <v>10</v>
      </c>
      <c r="O116" s="9" t="n">
        <v>8</v>
      </c>
      <c r="P116" s="9" t="n">
        <v>0</v>
      </c>
      <c r="Q116" s="9" t="n">
        <v>712</v>
      </c>
      <c r="R116" s="9" t="n">
        <v>0</v>
      </c>
      <c r="S116" s="9" t="n">
        <v>7</v>
      </c>
      <c r="T116" s="9" t="n">
        <v>79</v>
      </c>
      <c r="U116" s="10" t="n">
        <v>1600</v>
      </c>
      <c r="V116" s="10" t="n">
        <v>0</v>
      </c>
      <c r="W116" s="10" t="n">
        <v>0</v>
      </c>
      <c r="X116" s="10" t="n">
        <v>1600</v>
      </c>
      <c r="Y116" s="10" t="n">
        <v>0</v>
      </c>
    </row>
    <row r="117">
      <c r="A117" s="7" t="n">
        <v>114</v>
      </c>
      <c r="B117" s="8" t="inlineStr">
        <is>
          <t>Polling Station 114</t>
        </is>
      </c>
      <c r="C117" s="9" t="n">
        <v>114</v>
      </c>
      <c r="D117" s="9" t="n">
        <v>0</v>
      </c>
      <c r="E117" s="9" t="n">
        <v>0</v>
      </c>
      <c r="F117" s="9" t="n">
        <v>163</v>
      </c>
      <c r="G117" s="9" t="n">
        <v>307</v>
      </c>
      <c r="H117" s="9" t="n">
        <v>0</v>
      </c>
      <c r="I117" s="9" t="n">
        <v>0</v>
      </c>
      <c r="J117" s="9" t="n">
        <v>0</v>
      </c>
      <c r="K117" s="9" t="n">
        <v>9</v>
      </c>
      <c r="L117" s="9" t="n">
        <v>0</v>
      </c>
      <c r="M117" s="9" t="n">
        <v>1</v>
      </c>
      <c r="N117" s="9" t="n">
        <v>5</v>
      </c>
      <c r="O117" s="9" t="n">
        <v>6</v>
      </c>
      <c r="P117" s="9" t="n">
        <v>6</v>
      </c>
      <c r="Q117" s="9" t="n">
        <v>512</v>
      </c>
      <c r="R117" s="9" t="n">
        <v>0</v>
      </c>
      <c r="S117" s="9" t="n">
        <v>10</v>
      </c>
      <c r="T117" s="9" t="n">
        <v>522</v>
      </c>
      <c r="U117" s="10" t="n">
        <v>1655</v>
      </c>
      <c r="V117" s="10" t="n">
        <v>0</v>
      </c>
      <c r="W117" s="10" t="n">
        <v>0</v>
      </c>
      <c r="X117" s="10" t="n">
        <v>1655</v>
      </c>
      <c r="Y117" s="10" t="n">
        <v>0</v>
      </c>
    </row>
    <row r="118">
      <c r="A118" s="7" t="n">
        <v>115</v>
      </c>
      <c r="B118" s="8" t="inlineStr">
        <is>
          <t>Polling Station 115</t>
        </is>
      </c>
      <c r="C118" s="9" t="n">
        <v>11</v>
      </c>
      <c r="D118" s="9" t="n">
        <v>8</v>
      </c>
      <c r="E118" s="9" t="n">
        <v>5</v>
      </c>
      <c r="F118" s="9" t="n">
        <v>117</v>
      </c>
      <c r="G118" s="9" t="n">
        <v>376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1</v>
      </c>
      <c r="M118" s="9" t="n">
        <v>4</v>
      </c>
      <c r="N118" s="9" t="n">
        <v>6</v>
      </c>
      <c r="O118" s="9" t="n">
        <v>10</v>
      </c>
      <c r="P118" s="9" t="n">
        <v>5</v>
      </c>
      <c r="Q118" s="9" t="n">
        <v>554</v>
      </c>
      <c r="R118" s="9" t="n">
        <v>0</v>
      </c>
      <c r="S118" s="9" t="n">
        <v>15</v>
      </c>
      <c r="T118" s="9" t="n">
        <v>569</v>
      </c>
      <c r="U118" s="10" t="n">
        <v>1681</v>
      </c>
      <c r="V118" s="10" t="n">
        <v>0</v>
      </c>
      <c r="W118" s="10" t="n">
        <v>0</v>
      </c>
      <c r="X118" s="10" t="n">
        <v>1681</v>
      </c>
      <c r="Y118" s="10" t="n">
        <v>0</v>
      </c>
    </row>
    <row r="119">
      <c r="A119" s="7" t="n">
        <v>116</v>
      </c>
      <c r="B119" s="8" t="inlineStr">
        <is>
          <t>| 116</t>
        </is>
      </c>
      <c r="C119" s="9" t="n">
        <v>116</v>
      </c>
      <c r="D119" s="9" t="n">
        <v>0</v>
      </c>
      <c r="E119" s="9" t="n">
        <v>3</v>
      </c>
      <c r="F119" s="9" t="n">
        <v>74</v>
      </c>
      <c r="G119" s="9" t="n">
        <v>169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3</v>
      </c>
      <c r="O119" s="9" t="n">
        <v>2</v>
      </c>
      <c r="P119" s="9" t="n">
        <v>8</v>
      </c>
      <c r="Q119" s="9" t="n">
        <v>290</v>
      </c>
      <c r="R119" s="9" t="n">
        <v>0</v>
      </c>
      <c r="S119" s="9" t="n">
        <v>5</v>
      </c>
      <c r="T119" s="9" t="n">
        <v>295</v>
      </c>
      <c r="U119" s="10" t="n">
        <v>965</v>
      </c>
      <c r="V119" s="10" t="n">
        <v>0</v>
      </c>
      <c r="W119" s="10" t="n">
        <v>0</v>
      </c>
      <c r="X119" s="10" t="n">
        <v>965</v>
      </c>
      <c r="Y119" s="10" t="n">
        <v>0</v>
      </c>
    </row>
    <row r="120">
      <c r="A120" s="7" t="n">
        <v>117</v>
      </c>
      <c r="B120" s="8" t="inlineStr">
        <is>
          <t>| 117</t>
        </is>
      </c>
      <c r="C120" s="9" t="n">
        <v>7</v>
      </c>
      <c r="D120" s="9" t="n">
        <v>90</v>
      </c>
      <c r="E120" s="9" t="n">
        <v>6</v>
      </c>
      <c r="F120" s="9" t="n">
        <v>208</v>
      </c>
      <c r="G120" s="9" t="n">
        <v>393</v>
      </c>
      <c r="H120" s="9" t="n">
        <v>3</v>
      </c>
      <c r="I120" s="9" t="n">
        <v>1</v>
      </c>
      <c r="J120" s="9" t="n">
        <v>1</v>
      </c>
      <c r="K120" s="9" t="n">
        <v>0</v>
      </c>
      <c r="L120" s="9" t="n">
        <v>0</v>
      </c>
      <c r="M120" s="9" t="n">
        <v>1</v>
      </c>
      <c r="N120" s="9" t="n">
        <v>3</v>
      </c>
      <c r="O120" s="9" t="n">
        <v>2</v>
      </c>
      <c r="P120" s="9" t="n">
        <v>6</v>
      </c>
      <c r="Q120" s="9" t="n">
        <v>715</v>
      </c>
      <c r="R120" s="9" t="n">
        <v>0</v>
      </c>
      <c r="S120" s="9" t="n">
        <v>7</v>
      </c>
      <c r="T120" s="9" t="n">
        <v>722</v>
      </c>
      <c r="U120" s="10" t="n">
        <v>2165</v>
      </c>
      <c r="V120" s="10" t="n">
        <v>0</v>
      </c>
      <c r="W120" s="10" t="n">
        <v>0</v>
      </c>
      <c r="X120" s="10" t="n">
        <v>2165</v>
      </c>
      <c r="Y120" s="10" t="n">
        <v>0</v>
      </c>
    </row>
    <row r="121">
      <c r="A121" s="7" t="n">
        <v>118</v>
      </c>
      <c r="B121" s="8" t="inlineStr">
        <is>
          <t>Polling Station 118</t>
        </is>
      </c>
      <c r="C121" s="9" t="n">
        <v>18</v>
      </c>
      <c r="D121" s="9" t="n">
        <v>3</v>
      </c>
      <c r="E121" s="9" t="n">
        <v>2</v>
      </c>
      <c r="F121" s="9" t="n">
        <v>149</v>
      </c>
      <c r="G121" s="9" t="n">
        <v>293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1</v>
      </c>
      <c r="M121" s="9" t="n">
        <v>2</v>
      </c>
      <c r="N121" s="9" t="n">
        <v>6</v>
      </c>
      <c r="O121" s="9" t="n">
        <v>4</v>
      </c>
      <c r="P121" s="9" t="n">
        <v>2</v>
      </c>
      <c r="Q121" s="9" t="n">
        <v>488</v>
      </c>
      <c r="R121" s="9" t="n">
        <v>0</v>
      </c>
      <c r="S121" s="9" t="n">
        <v>5</v>
      </c>
      <c r="T121" s="9" t="n">
        <v>493</v>
      </c>
      <c r="U121" s="10" t="n">
        <v>1466</v>
      </c>
      <c r="V121" s="10" t="n">
        <v>0</v>
      </c>
      <c r="W121" s="10" t="n">
        <v>0</v>
      </c>
      <c r="X121" s="10" t="n">
        <v>1466</v>
      </c>
      <c r="Y121" s="10" t="n">
        <v>0</v>
      </c>
    </row>
    <row r="122">
      <c r="A122" s="7" t="n">
        <v>119</v>
      </c>
      <c r="B122" s="8" t="inlineStr">
        <is>
          <t>Polling Station 119</t>
        </is>
      </c>
      <c r="C122" s="9" t="n">
        <v>119</v>
      </c>
      <c r="D122" s="9" t="n">
        <v>0</v>
      </c>
      <c r="E122" s="9" t="n">
        <v>0</v>
      </c>
      <c r="F122" s="9" t="n">
        <v>288</v>
      </c>
      <c r="G122" s="9" t="n">
        <v>7</v>
      </c>
      <c r="H122" s="9" t="n">
        <v>0</v>
      </c>
      <c r="I122" s="9" t="n">
        <v>0</v>
      </c>
      <c r="J122" s="9" t="n">
        <v>1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3</v>
      </c>
      <c r="Q122" s="9" t="n">
        <v>439</v>
      </c>
      <c r="R122" s="9" t="n">
        <v>0</v>
      </c>
      <c r="S122" s="9" t="n">
        <v>0</v>
      </c>
      <c r="T122" s="9" t="n">
        <v>450</v>
      </c>
      <c r="U122" s="10" t="n">
        <v>1307</v>
      </c>
      <c r="V122" s="10" t="n">
        <v>0</v>
      </c>
      <c r="W122" s="10" t="n">
        <v>0</v>
      </c>
      <c r="X122" s="10" t="n">
        <v>1307</v>
      </c>
      <c r="Y122" s="10" t="n">
        <v>0</v>
      </c>
    </row>
    <row r="123">
      <c r="A123" s="7" t="n">
        <v>120</v>
      </c>
      <c r="B123" s="8" t="inlineStr">
        <is>
          <t>Polling Station 120</t>
        </is>
      </c>
      <c r="C123" s="9" t="n">
        <v>120</v>
      </c>
      <c r="D123" s="9" t="n">
        <v>0</v>
      </c>
      <c r="E123" s="9" t="n">
        <v>0</v>
      </c>
      <c r="F123" s="9" t="n">
        <v>375</v>
      </c>
      <c r="G123" s="9" t="n">
        <v>203</v>
      </c>
      <c r="H123" s="9" t="n">
        <v>0</v>
      </c>
      <c r="I123" s="9" t="n">
        <v>0</v>
      </c>
      <c r="J123" s="9" t="n">
        <v>2</v>
      </c>
      <c r="K123" s="9" t="n">
        <v>0</v>
      </c>
      <c r="L123" s="9" t="n">
        <v>1</v>
      </c>
      <c r="M123" s="9" t="n">
        <v>1</v>
      </c>
      <c r="N123" s="9" t="n">
        <v>6</v>
      </c>
      <c r="O123" s="9" t="n">
        <v>4</v>
      </c>
      <c r="P123" s="9" t="n">
        <v>2</v>
      </c>
      <c r="Q123" s="9" t="n">
        <v>652</v>
      </c>
      <c r="R123" s="9" t="n">
        <v>0</v>
      </c>
      <c r="S123" s="9" t="n">
        <v>14</v>
      </c>
      <c r="T123" s="9" t="n">
        <v>666</v>
      </c>
      <c r="U123" s="10" t="n">
        <v>2046</v>
      </c>
      <c r="V123" s="10" t="n">
        <v>0</v>
      </c>
      <c r="W123" s="10" t="n">
        <v>0</v>
      </c>
      <c r="X123" s="10" t="n">
        <v>2046</v>
      </c>
      <c r="Y123" s="10" t="n">
        <v>0</v>
      </c>
    </row>
    <row r="124">
      <c r="A124" s="7" t="n">
        <v>121</v>
      </c>
      <c r="B124" s="8" t="inlineStr">
        <is>
          <t>Polling Station 121</t>
        </is>
      </c>
      <c r="C124" s="9" t="n">
        <v>124</v>
      </c>
      <c r="D124" s="9" t="n">
        <v>2</v>
      </c>
      <c r="E124" s="9" t="n">
        <v>1</v>
      </c>
      <c r="F124" s="9" t="n">
        <v>186</v>
      </c>
      <c r="G124" s="9" t="n">
        <v>348</v>
      </c>
      <c r="H124" s="9" t="n">
        <v>0</v>
      </c>
      <c r="I124" s="9" t="n">
        <v>0</v>
      </c>
      <c r="J124" s="9" t="n">
        <v>1</v>
      </c>
      <c r="K124" s="9" t="n">
        <v>0</v>
      </c>
      <c r="L124" s="9" t="n">
        <v>1</v>
      </c>
      <c r="M124" s="9" t="n">
        <v>2</v>
      </c>
      <c r="N124" s="9" t="n">
        <v>4</v>
      </c>
      <c r="O124" s="9" t="n">
        <v>5</v>
      </c>
      <c r="P124" s="9" t="n">
        <v>4</v>
      </c>
      <c r="Q124" s="9" t="n">
        <v>617</v>
      </c>
      <c r="R124" s="9" t="n">
        <v>0</v>
      </c>
      <c r="S124" s="9" t="n">
        <v>3</v>
      </c>
      <c r="T124" s="9" t="n">
        <v>620</v>
      </c>
      <c r="U124" s="10" t="n">
        <v>1918</v>
      </c>
      <c r="V124" s="10" t="n">
        <v>0</v>
      </c>
      <c r="W124" s="10" t="n">
        <v>0</v>
      </c>
      <c r="X124" s="10" t="n">
        <v>1918</v>
      </c>
      <c r="Y124" s="10" t="n">
        <v>0</v>
      </c>
    </row>
    <row r="125">
      <c r="A125" s="7" t="n">
        <v>122</v>
      </c>
      <c r="B125" s="8" t="inlineStr">
        <is>
          <t>Polling Station 122</t>
        </is>
      </c>
      <c r="C125" s="9" t="n">
        <v>122</v>
      </c>
      <c r="D125" s="9" t="n">
        <v>0</v>
      </c>
      <c r="E125" s="9" t="n">
        <v>8</v>
      </c>
      <c r="F125" s="9" t="n">
        <v>534</v>
      </c>
      <c r="G125" s="9" t="n">
        <v>356</v>
      </c>
      <c r="H125" s="9" t="n">
        <v>1</v>
      </c>
      <c r="I125" s="9" t="n">
        <v>1</v>
      </c>
      <c r="J125" s="9" t="n">
        <v>1</v>
      </c>
      <c r="K125" s="9" t="n">
        <v>0</v>
      </c>
      <c r="L125" s="9" t="n">
        <v>0</v>
      </c>
      <c r="M125" s="9" t="n">
        <v>0</v>
      </c>
      <c r="N125" s="9" t="n">
        <v>2</v>
      </c>
      <c r="O125" s="9" t="n">
        <v>6</v>
      </c>
      <c r="P125" s="9" t="n">
        <v>3</v>
      </c>
      <c r="Q125" s="9" t="n">
        <v>982</v>
      </c>
      <c r="R125" s="9" t="n">
        <v>0</v>
      </c>
      <c r="S125" s="9" t="n">
        <v>8</v>
      </c>
      <c r="T125" s="9" t="n">
        <v>990</v>
      </c>
      <c r="U125" s="10" t="n">
        <v>3014</v>
      </c>
      <c r="V125" s="10" t="n">
        <v>0</v>
      </c>
      <c r="W125" s="10" t="n">
        <v>0</v>
      </c>
      <c r="X125" s="10" t="n">
        <v>3014</v>
      </c>
      <c r="Y125" s="10" t="n">
        <v>0</v>
      </c>
    </row>
    <row r="126">
      <c r="A126" s="7" t="n">
        <v>123</v>
      </c>
      <c r="B126" s="8" t="inlineStr">
        <is>
          <t>Polling Station 123</t>
        </is>
      </c>
      <c r="C126" s="9" t="n">
        <v>123</v>
      </c>
      <c r="D126" s="9" t="n">
        <v>197</v>
      </c>
      <c r="E126" s="9" t="n">
        <v>7</v>
      </c>
      <c r="F126" s="9" t="n">
        <v>234</v>
      </c>
      <c r="G126" s="9" t="n">
        <v>378</v>
      </c>
      <c r="H126" s="9" t="n">
        <v>7</v>
      </c>
      <c r="I126" s="9" t="n">
        <v>2</v>
      </c>
      <c r="J126" s="9" t="n">
        <v>0</v>
      </c>
      <c r="K126" s="9" t="n">
        <v>0</v>
      </c>
      <c r="L126" s="9" t="n">
        <v>1</v>
      </c>
      <c r="M126" s="9" t="n">
        <v>2</v>
      </c>
      <c r="N126" s="9" t="n">
        <v>9</v>
      </c>
      <c r="O126" s="9" t="n">
        <v>5</v>
      </c>
      <c r="P126" s="9" t="n">
        <v>8</v>
      </c>
      <c r="Q126" s="9" t="n">
        <v>753</v>
      </c>
      <c r="R126" s="9" t="n">
        <v>0</v>
      </c>
      <c r="S126" s="9" t="n">
        <v>6</v>
      </c>
      <c r="T126" s="9" t="n">
        <v>759</v>
      </c>
      <c r="U126" s="10" t="n">
        <v>2491</v>
      </c>
      <c r="V126" s="10" t="n">
        <v>0</v>
      </c>
      <c r="W126" s="10" t="n">
        <v>0</v>
      </c>
      <c r="X126" s="10" t="n">
        <v>2491</v>
      </c>
      <c r="Y126" s="10" t="n">
        <v>0</v>
      </c>
    </row>
    <row r="127">
      <c r="A127" s="7" t="n">
        <v>124</v>
      </c>
      <c r="B127" s="8" t="inlineStr">
        <is>
          <t>Polling Station 124</t>
        </is>
      </c>
      <c r="C127" s="9" t="n">
        <v>124</v>
      </c>
      <c r="D127" s="9" t="n">
        <v>64</v>
      </c>
      <c r="E127" s="9" t="n">
        <v>5</v>
      </c>
      <c r="F127" s="9" t="n">
        <v>92</v>
      </c>
      <c r="G127" s="9" t="n">
        <v>424</v>
      </c>
      <c r="H127" s="9" t="n">
        <v>6</v>
      </c>
      <c r="I127" s="9" t="n">
        <v>3</v>
      </c>
      <c r="J127" s="9" t="n">
        <v>4</v>
      </c>
      <c r="K127" s="9" t="n">
        <v>0</v>
      </c>
      <c r="L127" s="9" t="n">
        <v>2</v>
      </c>
      <c r="M127" s="9" t="n">
        <v>1</v>
      </c>
      <c r="N127" s="9" t="n">
        <v>10</v>
      </c>
      <c r="O127" s="9" t="n">
        <v>4</v>
      </c>
      <c r="P127" s="9" t="n">
        <v>8</v>
      </c>
      <c r="Q127" s="9" t="n">
        <v>623</v>
      </c>
      <c r="R127" s="9" t="n">
        <v>0</v>
      </c>
      <c r="S127" s="9" t="n">
        <v>8</v>
      </c>
      <c r="T127" s="9" t="n">
        <v>631</v>
      </c>
      <c r="U127" s="10" t="n">
        <v>2009</v>
      </c>
      <c r="V127" s="10" t="n">
        <v>0</v>
      </c>
      <c r="W127" s="10" t="n">
        <v>0</v>
      </c>
      <c r="X127" s="10" t="n">
        <v>2009</v>
      </c>
      <c r="Y127" s="10" t="n">
        <v>0</v>
      </c>
    </row>
    <row r="128">
      <c r="A128" s="7" t="n">
        <v>125</v>
      </c>
      <c r="B128" s="8" t="inlineStr">
        <is>
          <t>Polling Station 125</t>
        </is>
      </c>
      <c r="C128" s="9" t="n">
        <v>125</v>
      </c>
      <c r="D128" s="9" t="n">
        <v>35</v>
      </c>
      <c r="E128" s="9" t="n">
        <v>2</v>
      </c>
      <c r="F128" s="9" t="n">
        <v>52</v>
      </c>
      <c r="G128" s="9" t="n">
        <v>344</v>
      </c>
      <c r="H128" s="9" t="n">
        <v>2</v>
      </c>
      <c r="I128" s="9" t="n">
        <v>1</v>
      </c>
      <c r="J128" s="9" t="n">
        <v>1</v>
      </c>
      <c r="K128" s="9" t="n">
        <v>3</v>
      </c>
      <c r="L128" s="9" t="n">
        <v>0</v>
      </c>
      <c r="M128" s="9" t="n">
        <v>0</v>
      </c>
      <c r="N128" s="9" t="n">
        <v>12</v>
      </c>
      <c r="O128" s="9" t="n">
        <v>4</v>
      </c>
      <c r="P128" s="9" t="n">
        <v>2</v>
      </c>
      <c r="Q128" s="9" t="n">
        <v>458</v>
      </c>
      <c r="R128" s="9" t="n">
        <v>0</v>
      </c>
      <c r="S128" s="9" t="n">
        <v>5</v>
      </c>
      <c r="T128" s="9" t="n">
        <v>463</v>
      </c>
      <c r="U128" s="10" t="n">
        <v>1509</v>
      </c>
      <c r="V128" s="10" t="n">
        <v>0</v>
      </c>
      <c r="W128" s="10" t="n">
        <v>0</v>
      </c>
      <c r="X128" s="10" t="n">
        <v>1509</v>
      </c>
      <c r="Y128" s="10" t="n">
        <v>0</v>
      </c>
    </row>
    <row r="129">
      <c r="A129" s="7" t="n">
        <v>126</v>
      </c>
      <c r="B129" s="8" t="inlineStr">
        <is>
          <t>Polling Station 126</t>
        </is>
      </c>
      <c r="C129" s="9" t="n">
        <v>126</v>
      </c>
      <c r="D129" s="9" t="n">
        <v>62</v>
      </c>
      <c r="E129" s="9" t="n">
        <v>5</v>
      </c>
      <c r="F129" s="9" t="n">
        <v>222</v>
      </c>
      <c r="G129" s="9" t="n">
        <v>177</v>
      </c>
      <c r="H129" s="9" t="n">
        <v>4</v>
      </c>
      <c r="I129" s="9" t="n">
        <v>1</v>
      </c>
      <c r="J129" s="9" t="n">
        <v>1</v>
      </c>
      <c r="K129" s="9" t="n">
        <v>2</v>
      </c>
      <c r="L129" s="9" t="n">
        <v>3</v>
      </c>
      <c r="M129" s="9" t="n">
        <v>0</v>
      </c>
      <c r="N129" s="9" t="n">
        <v>3</v>
      </c>
      <c r="O129" s="9" t="n">
        <v>4</v>
      </c>
      <c r="P129" s="9" t="n">
        <v>3</v>
      </c>
      <c r="Q129" s="9" t="n">
        <v>489</v>
      </c>
      <c r="R129" s="9" t="n">
        <v>0</v>
      </c>
      <c r="S129" s="9" t="n">
        <v>8</v>
      </c>
      <c r="T129" s="9" t="n">
        <v>497</v>
      </c>
      <c r="U129" s="10" t="n">
        <v>1607</v>
      </c>
      <c r="V129" s="10" t="n">
        <v>0</v>
      </c>
      <c r="W129" s="10" t="n">
        <v>0</v>
      </c>
      <c r="X129" s="10" t="n">
        <v>1607</v>
      </c>
      <c r="Y129" s="10" t="n">
        <v>0</v>
      </c>
    </row>
    <row r="130">
      <c r="A130" s="7" t="n">
        <v>127</v>
      </c>
      <c r="B130" s="8" t="inlineStr">
        <is>
          <t>Polling Station 127</t>
        </is>
      </c>
      <c r="C130" s="9" t="n">
        <v>127</v>
      </c>
      <c r="D130" s="9" t="n">
        <v>55</v>
      </c>
      <c r="E130" s="9" t="n">
        <v>3</v>
      </c>
      <c r="F130" s="9" t="n">
        <v>197</v>
      </c>
      <c r="G130" s="9" t="n">
        <v>250</v>
      </c>
      <c r="H130" s="9" t="n">
        <v>1</v>
      </c>
      <c r="I130" s="9" t="n">
        <v>4</v>
      </c>
      <c r="J130" s="9" t="n">
        <v>3</v>
      </c>
      <c r="K130" s="9" t="n">
        <v>1</v>
      </c>
      <c r="L130" s="9" t="n">
        <v>1</v>
      </c>
      <c r="M130" s="9" t="n">
        <v>1</v>
      </c>
      <c r="N130" s="9" t="n">
        <v>6</v>
      </c>
      <c r="O130" s="9" t="n">
        <v>9</v>
      </c>
      <c r="P130" s="9" t="n">
        <v>3</v>
      </c>
      <c r="Q130" s="9" t="n">
        <v>534</v>
      </c>
      <c r="R130" s="9" t="n">
        <v>0</v>
      </c>
      <c r="S130" s="9" t="n">
        <v>2</v>
      </c>
      <c r="T130" s="9" t="n">
        <v>536</v>
      </c>
      <c r="U130" s="10" t="n">
        <v>1733</v>
      </c>
      <c r="V130" s="10" t="n">
        <v>0</v>
      </c>
      <c r="W130" s="10" t="n">
        <v>0</v>
      </c>
      <c r="X130" s="10" t="n">
        <v>1733</v>
      </c>
      <c r="Y130" s="10" t="n">
        <v>0</v>
      </c>
    </row>
    <row r="131">
      <c r="A131" s="7" t="n">
        <v>128</v>
      </c>
      <c r="B131" s="8" t="inlineStr">
        <is>
          <t>Polling Station 128</t>
        </is>
      </c>
      <c r="C131" s="9" t="n">
        <v>128</v>
      </c>
      <c r="D131" s="9" t="n">
        <v>55</v>
      </c>
      <c r="E131" s="9" t="n">
        <v>3</v>
      </c>
      <c r="F131" s="9" t="n">
        <v>216</v>
      </c>
      <c r="G131" s="9" t="n">
        <v>212</v>
      </c>
      <c r="H131" s="9" t="n">
        <v>1</v>
      </c>
      <c r="I131" s="9" t="n">
        <v>3</v>
      </c>
      <c r="J131" s="9" t="n">
        <v>0</v>
      </c>
      <c r="K131" s="9" t="n">
        <v>1</v>
      </c>
      <c r="L131" s="9" t="n">
        <v>2</v>
      </c>
      <c r="M131" s="9" t="n">
        <v>1</v>
      </c>
      <c r="N131" s="9" t="n">
        <v>1</v>
      </c>
      <c r="O131" s="9" t="n">
        <v>6</v>
      </c>
      <c r="P131" s="9" t="n">
        <v>4</v>
      </c>
      <c r="Q131" s="9" t="n">
        <v>505</v>
      </c>
      <c r="R131" s="9" t="n">
        <v>0</v>
      </c>
      <c r="S131" s="9" t="n">
        <v>1</v>
      </c>
      <c r="T131" s="9" t="n">
        <v>506</v>
      </c>
      <c r="U131" s="10" t="n">
        <v>1645</v>
      </c>
      <c r="V131" s="10" t="n">
        <v>0</v>
      </c>
      <c r="W131" s="10" t="n">
        <v>0</v>
      </c>
      <c r="X131" s="10" t="n">
        <v>1645</v>
      </c>
      <c r="Y131" s="10" t="n">
        <v>0</v>
      </c>
    </row>
    <row r="132">
      <c r="A132" s="7" t="n">
        <v>129</v>
      </c>
      <c r="B132" s="8" t="inlineStr">
        <is>
          <t>Polling Station 129</t>
        </is>
      </c>
      <c r="C132" s="9" t="n">
        <v>129</v>
      </c>
      <c r="D132" s="9" t="n">
        <v>104</v>
      </c>
      <c r="E132" s="9" t="n">
        <v>10</v>
      </c>
      <c r="F132" s="9" t="n">
        <v>328</v>
      </c>
      <c r="G132" s="9" t="n">
        <v>359</v>
      </c>
      <c r="H132" s="9" t="n">
        <v>3</v>
      </c>
      <c r="I132" s="9" t="n">
        <v>1</v>
      </c>
      <c r="J132" s="9" t="n">
        <v>1</v>
      </c>
      <c r="K132" s="9" t="n">
        <v>3</v>
      </c>
      <c r="L132" s="9" t="n">
        <v>5</v>
      </c>
      <c r="M132" s="9" t="n">
        <v>1</v>
      </c>
      <c r="N132" s="9" t="n">
        <v>8</v>
      </c>
      <c r="O132" s="9" t="n">
        <v>4</v>
      </c>
      <c r="P132" s="9" t="n">
        <v>2</v>
      </c>
      <c r="Q132" s="9" t="n">
        <v>829</v>
      </c>
      <c r="R132" s="9" t="n">
        <v>0</v>
      </c>
      <c r="S132" s="9" t="n">
        <v>5</v>
      </c>
      <c r="T132" s="9" t="n">
        <v>834</v>
      </c>
      <c r="U132" s="10" t="n">
        <v>2626</v>
      </c>
      <c r="V132" s="10" t="n">
        <v>0</v>
      </c>
      <c r="W132" s="10" t="n">
        <v>0</v>
      </c>
      <c r="X132" s="10" t="n">
        <v>2626</v>
      </c>
      <c r="Y132" s="10" t="n">
        <v>0</v>
      </c>
    </row>
    <row r="133">
      <c r="A133" s="7" t="n">
        <v>130</v>
      </c>
      <c r="B133" s="8" t="inlineStr">
        <is>
          <t>Polling Station 130</t>
        </is>
      </c>
      <c r="C133" s="9" t="n">
        <v>130</v>
      </c>
      <c r="D133" s="9" t="n">
        <v>28</v>
      </c>
      <c r="E133" s="9" t="n">
        <v>2</v>
      </c>
      <c r="F133" s="9" t="n">
        <v>121</v>
      </c>
      <c r="G133" s="9" t="n">
        <v>92</v>
      </c>
      <c r="H133" s="9" t="n">
        <v>1</v>
      </c>
      <c r="I133" s="9" t="n">
        <v>1</v>
      </c>
      <c r="J133" s="9" t="n">
        <v>0</v>
      </c>
      <c r="K133" s="9" t="n">
        <v>0</v>
      </c>
      <c r="L133" s="9" t="n">
        <v>0</v>
      </c>
      <c r="M133" s="9" t="n">
        <v>1</v>
      </c>
      <c r="N133" s="9" t="n">
        <v>4</v>
      </c>
      <c r="O133" s="9" t="n">
        <v>3</v>
      </c>
      <c r="P133" s="9" t="n">
        <v>0</v>
      </c>
      <c r="Q133" s="9" t="n">
        <v>254</v>
      </c>
      <c r="R133" s="9" t="n">
        <v>0</v>
      </c>
      <c r="S133" s="9" t="n">
        <v>2</v>
      </c>
      <c r="T133" s="9" t="n">
        <v>256</v>
      </c>
      <c r="U133" s="10" t="n">
        <v>895</v>
      </c>
      <c r="V133" s="10" t="n">
        <v>0</v>
      </c>
      <c r="W133" s="10" t="n">
        <v>0</v>
      </c>
      <c r="X133" s="10" t="n">
        <v>895</v>
      </c>
      <c r="Y133" s="10" t="n">
        <v>0</v>
      </c>
    </row>
    <row r="134">
      <c r="A134" s="7" t="n">
        <v>131</v>
      </c>
      <c r="B134" s="8" t="inlineStr">
        <is>
          <t>Polling Station 131</t>
        </is>
      </c>
      <c r="C134" s="9" t="n">
        <v>131</v>
      </c>
      <c r="D134" s="9" t="n">
        <v>151</v>
      </c>
      <c r="E134" s="9" t="n">
        <v>5</v>
      </c>
      <c r="F134" s="9" t="n">
        <v>197</v>
      </c>
      <c r="G134" s="9" t="n">
        <v>246</v>
      </c>
      <c r="H134" s="9" t="n">
        <v>3</v>
      </c>
      <c r="I134" s="9" t="n">
        <v>2</v>
      </c>
      <c r="J134" s="9" t="n">
        <v>2</v>
      </c>
      <c r="K134" s="9" t="n">
        <v>8</v>
      </c>
      <c r="L134" s="9" t="n">
        <v>3</v>
      </c>
      <c r="M134" s="9" t="n">
        <v>2</v>
      </c>
      <c r="N134" s="9" t="n">
        <v>10</v>
      </c>
      <c r="O134" s="9" t="n">
        <v>10</v>
      </c>
      <c r="P134" s="9" t="n">
        <v>5</v>
      </c>
      <c r="Q134" s="9" t="n">
        <v>644</v>
      </c>
      <c r="R134" s="9" t="n">
        <v>0</v>
      </c>
      <c r="S134" s="9" t="n">
        <v>6</v>
      </c>
      <c r="T134" s="9" t="n">
        <v>650</v>
      </c>
      <c r="U134" s="10" t="n">
        <v>2075</v>
      </c>
      <c r="V134" s="10" t="n">
        <v>0</v>
      </c>
      <c r="W134" s="10" t="n">
        <v>0</v>
      </c>
      <c r="X134" s="10" t="n">
        <v>2075</v>
      </c>
      <c r="Y134" s="10" t="n">
        <v>0</v>
      </c>
    </row>
    <row r="135">
      <c r="A135" s="7" t="n">
        <v>132</v>
      </c>
      <c r="B135" s="8" t="inlineStr">
        <is>
          <t>Polling Station 132</t>
        </is>
      </c>
      <c r="C135" s="9" t="n">
        <v>132</v>
      </c>
      <c r="D135" s="9" t="n">
        <v>49</v>
      </c>
      <c r="E135" s="9" t="n">
        <v>8</v>
      </c>
      <c r="F135" s="9" t="n">
        <v>164</v>
      </c>
      <c r="G135" s="9" t="n">
        <v>199</v>
      </c>
      <c r="H135" s="9" t="n">
        <v>0</v>
      </c>
      <c r="I135" s="9" t="n">
        <v>3</v>
      </c>
      <c r="J135" s="9" t="n">
        <v>2</v>
      </c>
      <c r="K135" s="9" t="n">
        <v>0</v>
      </c>
      <c r="L135" s="9" t="n">
        <v>1</v>
      </c>
      <c r="M135" s="9" t="n">
        <v>0</v>
      </c>
      <c r="N135" s="9" t="n">
        <v>3</v>
      </c>
      <c r="O135" s="9" t="n">
        <v>2</v>
      </c>
      <c r="P135" s="9" t="n">
        <v>2</v>
      </c>
      <c r="Q135" s="9" t="n">
        <v>434</v>
      </c>
      <c r="R135" s="9" t="n">
        <v>0</v>
      </c>
      <c r="S135" s="9" t="n">
        <v>3</v>
      </c>
      <c r="T135" s="9" t="n">
        <v>437</v>
      </c>
      <c r="U135" s="10" t="n">
        <v>1439</v>
      </c>
      <c r="V135" s="10" t="n">
        <v>0</v>
      </c>
      <c r="W135" s="10" t="n">
        <v>0</v>
      </c>
      <c r="X135" s="10" t="n">
        <v>1439</v>
      </c>
      <c r="Y135" s="10" t="n">
        <v>0</v>
      </c>
    </row>
    <row r="136">
      <c r="A136" s="7" t="n">
        <v>133</v>
      </c>
      <c r="B136" s="8" t="inlineStr">
        <is>
          <t>Polling Station 133</t>
        </is>
      </c>
      <c r="C136" s="9" t="n">
        <v>133</v>
      </c>
      <c r="D136" s="9" t="n">
        <v>0</v>
      </c>
      <c r="E136" s="9" t="n">
        <v>7</v>
      </c>
      <c r="F136" s="9" t="n">
        <v>122</v>
      </c>
      <c r="G136" s="9" t="n">
        <v>710</v>
      </c>
      <c r="H136" s="9" t="n">
        <v>5</v>
      </c>
      <c r="I136" s="9" t="n">
        <v>4</v>
      </c>
      <c r="J136" s="9" t="n">
        <v>4</v>
      </c>
      <c r="K136" s="9" t="n">
        <v>0</v>
      </c>
      <c r="L136" s="9" t="n">
        <v>0</v>
      </c>
      <c r="M136" s="9" t="n">
        <v>0</v>
      </c>
      <c r="N136" s="9" t="n">
        <v>18</v>
      </c>
      <c r="O136" s="9" t="n">
        <v>5</v>
      </c>
      <c r="P136" s="9" t="n">
        <v>12</v>
      </c>
      <c r="Q136" s="9" t="n">
        <v>1000</v>
      </c>
      <c r="R136" s="9" t="n">
        <v>0</v>
      </c>
      <c r="S136" s="9" t="n">
        <v>16</v>
      </c>
      <c r="T136" s="9" t="n">
        <v>1016</v>
      </c>
      <c r="U136" s="10" t="n">
        <v>3052</v>
      </c>
      <c r="V136" s="10" t="n">
        <v>0</v>
      </c>
      <c r="W136" s="10" t="n">
        <v>0</v>
      </c>
      <c r="X136" s="10" t="n">
        <v>3052</v>
      </c>
      <c r="Y136" s="10" t="n">
        <v>0</v>
      </c>
    </row>
    <row r="137">
      <c r="A137" s="7" t="n">
        <v>134</v>
      </c>
      <c r="B137" s="8" t="inlineStr">
        <is>
          <t>Polling Station 134</t>
        </is>
      </c>
      <c r="C137" s="9" t="n">
        <v>134</v>
      </c>
      <c r="D137" s="9" t="n">
        <v>0</v>
      </c>
      <c r="E137" s="9" t="n">
        <v>8</v>
      </c>
      <c r="F137" s="9" t="n">
        <v>230</v>
      </c>
      <c r="G137" s="9" t="n">
        <v>392</v>
      </c>
      <c r="H137" s="9" t="n">
        <v>4</v>
      </c>
      <c r="I137" s="9" t="n">
        <v>5</v>
      </c>
      <c r="J137" s="9" t="n">
        <v>0</v>
      </c>
      <c r="K137" s="9" t="n">
        <v>0</v>
      </c>
      <c r="L137" s="9" t="n">
        <v>4</v>
      </c>
      <c r="M137" s="9" t="n">
        <v>1</v>
      </c>
      <c r="N137" s="9" t="n">
        <v>8</v>
      </c>
      <c r="O137" s="9" t="n">
        <v>7</v>
      </c>
      <c r="P137" s="9" t="n">
        <v>8</v>
      </c>
      <c r="Q137" s="9" t="n">
        <v>77</v>
      </c>
      <c r="R137" s="9" t="n">
        <v>0</v>
      </c>
      <c r="S137" s="9" t="n">
        <v>27</v>
      </c>
      <c r="T137" s="9" t="n">
        <v>744</v>
      </c>
      <c r="U137" s="10" t="n">
        <v>1649</v>
      </c>
      <c r="V137" s="10" t="n">
        <v>0</v>
      </c>
      <c r="W137" s="10" t="n">
        <v>0</v>
      </c>
      <c r="X137" s="10" t="n">
        <v>1649</v>
      </c>
      <c r="Y137" s="10" t="n">
        <v>0</v>
      </c>
    </row>
    <row r="138">
      <c r="A138" s="7" t="n">
        <v>135</v>
      </c>
      <c r="B138" s="8" t="inlineStr">
        <is>
          <t>Polling Station 135</t>
        </is>
      </c>
      <c r="C138" s="9" t="n">
        <v>135</v>
      </c>
      <c r="D138" s="9" t="n">
        <v>0</v>
      </c>
      <c r="E138" s="9" t="n">
        <v>0</v>
      </c>
      <c r="F138" s="9" t="n">
        <v>200</v>
      </c>
      <c r="G138" s="9" t="n">
        <v>0</v>
      </c>
      <c r="H138" s="9" t="n">
        <v>3</v>
      </c>
      <c r="I138" s="9" t="n">
        <v>3</v>
      </c>
      <c r="J138" s="9" t="n">
        <v>1</v>
      </c>
      <c r="K138" s="9" t="n">
        <v>0</v>
      </c>
      <c r="L138" s="9" t="n">
        <v>1</v>
      </c>
      <c r="M138" s="9" t="n">
        <v>0</v>
      </c>
      <c r="N138" s="9" t="n">
        <v>5</v>
      </c>
      <c r="O138" s="9" t="n">
        <v>6</v>
      </c>
      <c r="P138" s="9" t="n">
        <v>4</v>
      </c>
      <c r="Q138" s="9" t="n">
        <v>561</v>
      </c>
      <c r="R138" s="9" t="n">
        <v>0</v>
      </c>
      <c r="S138" s="9" t="n">
        <v>20</v>
      </c>
      <c r="T138" s="9" t="n">
        <v>581</v>
      </c>
      <c r="U138" s="10" t="n">
        <v>1520</v>
      </c>
      <c r="V138" s="10" t="n">
        <v>0</v>
      </c>
      <c r="W138" s="10" t="n">
        <v>0</v>
      </c>
      <c r="X138" s="10" t="n">
        <v>1520</v>
      </c>
      <c r="Y138" s="10" t="n">
        <v>0</v>
      </c>
    </row>
    <row r="139">
      <c r="A139" s="7" t="n">
        <v>136</v>
      </c>
      <c r="B139" s="8" t="inlineStr">
        <is>
          <t>Polling Station 136</t>
        </is>
      </c>
      <c r="C139" s="9" t="n">
        <v>136</v>
      </c>
      <c r="D139" s="9" t="n">
        <v>0</v>
      </c>
      <c r="E139" s="9" t="n">
        <v>0</v>
      </c>
      <c r="F139" s="9" t="n">
        <v>296</v>
      </c>
      <c r="G139" s="9" t="n">
        <v>319</v>
      </c>
      <c r="H139" s="9" t="n">
        <v>4</v>
      </c>
      <c r="I139" s="9" t="n">
        <v>2</v>
      </c>
      <c r="J139" s="9" t="n">
        <v>0</v>
      </c>
      <c r="K139" s="9" t="n">
        <v>2</v>
      </c>
      <c r="L139" s="9" t="n">
        <v>0</v>
      </c>
      <c r="M139" s="9" t="n">
        <v>0</v>
      </c>
      <c r="N139" s="9" t="n">
        <v>7</v>
      </c>
      <c r="O139" s="9" t="n">
        <v>7</v>
      </c>
      <c r="P139" s="9" t="n">
        <v>5</v>
      </c>
      <c r="Q139" s="9" t="n">
        <v>693</v>
      </c>
      <c r="R139" s="9" t="n">
        <v>0</v>
      </c>
      <c r="S139" s="9" t="n">
        <v>18</v>
      </c>
      <c r="T139" s="9" t="n">
        <v>71</v>
      </c>
      <c r="U139" s="10" t="n">
        <v>1560</v>
      </c>
      <c r="V139" s="10" t="n">
        <v>0</v>
      </c>
      <c r="W139" s="10" t="n">
        <v>0</v>
      </c>
      <c r="X139" s="10" t="n">
        <v>1560</v>
      </c>
      <c r="Y139" s="10" t="n">
        <v>0</v>
      </c>
    </row>
    <row r="140">
      <c r="A140" s="7" t="n">
        <v>137</v>
      </c>
      <c r="B140" s="8" t="inlineStr">
        <is>
          <t>Polling Station 137</t>
        </is>
      </c>
      <c r="C140" s="9" t="n">
        <v>137</v>
      </c>
      <c r="D140" s="9" t="n">
        <v>0</v>
      </c>
      <c r="E140" s="9" t="n">
        <v>0</v>
      </c>
      <c r="F140" s="9" t="n">
        <v>400</v>
      </c>
      <c r="G140" s="9" t="n">
        <v>373</v>
      </c>
      <c r="H140" s="9" t="n">
        <v>5</v>
      </c>
      <c r="I140" s="9" t="n">
        <v>0</v>
      </c>
      <c r="J140" s="9" t="n">
        <v>1</v>
      </c>
      <c r="K140" s="9" t="n">
        <v>0</v>
      </c>
      <c r="L140" s="9" t="n">
        <v>0</v>
      </c>
      <c r="M140" s="9" t="n">
        <v>0</v>
      </c>
      <c r="N140" s="9" t="n">
        <v>4</v>
      </c>
      <c r="O140" s="9" t="n">
        <v>6</v>
      </c>
      <c r="P140" s="9" t="n">
        <v>0</v>
      </c>
      <c r="Q140" s="9" t="n">
        <v>893</v>
      </c>
      <c r="R140" s="9" t="n">
        <v>0</v>
      </c>
      <c r="S140" s="9" t="n">
        <v>10</v>
      </c>
      <c r="T140" s="9" t="n">
        <v>903</v>
      </c>
      <c r="U140" s="10" t="n">
        <v>2732</v>
      </c>
      <c r="V140" s="10" t="n">
        <v>0</v>
      </c>
      <c r="W140" s="10" t="n">
        <v>0</v>
      </c>
      <c r="X140" s="10" t="n">
        <v>2732</v>
      </c>
      <c r="Y140" s="10" t="n">
        <v>0</v>
      </c>
    </row>
    <row r="141">
      <c r="A141" s="7" t="n">
        <v>138</v>
      </c>
      <c r="B141" s="8" t="inlineStr">
        <is>
          <t>Polling Station 138</t>
        </is>
      </c>
      <c r="C141" s="9" t="n">
        <v>138</v>
      </c>
      <c r="D141" s="9" t="n">
        <v>131</v>
      </c>
      <c r="E141" s="9" t="n">
        <v>0</v>
      </c>
      <c r="F141" s="9" t="n">
        <v>320</v>
      </c>
      <c r="G141" s="9" t="n">
        <v>397</v>
      </c>
      <c r="H141" s="9" t="n">
        <v>3</v>
      </c>
      <c r="I141" s="9" t="n">
        <v>0</v>
      </c>
      <c r="J141" s="9" t="n">
        <v>2</v>
      </c>
      <c r="K141" s="9" t="n">
        <v>0</v>
      </c>
      <c r="L141" s="9" t="n">
        <v>0</v>
      </c>
      <c r="M141" s="9" t="n">
        <v>0</v>
      </c>
      <c r="N141" s="9" t="n">
        <v>14</v>
      </c>
      <c r="O141" s="9" t="n">
        <v>1</v>
      </c>
      <c r="P141" s="9" t="n">
        <v>0</v>
      </c>
      <c r="Q141" s="9" t="n">
        <v>908</v>
      </c>
      <c r="R141" s="9" t="n">
        <v>0</v>
      </c>
      <c r="S141" s="9" t="n">
        <v>20</v>
      </c>
      <c r="T141" s="9" t="n">
        <v>928</v>
      </c>
      <c r="U141" s="10" t="n">
        <v>2862</v>
      </c>
      <c r="V141" s="10" t="n">
        <v>0</v>
      </c>
      <c r="W141" s="10" t="n">
        <v>0</v>
      </c>
      <c r="X141" s="10" t="n">
        <v>2862</v>
      </c>
      <c r="Y141" s="10" t="n">
        <v>0</v>
      </c>
    </row>
    <row r="142">
      <c r="A142" s="7" t="n">
        <v>139</v>
      </c>
      <c r="B142" s="8" t="inlineStr">
        <is>
          <t>Polling Station 139</t>
        </is>
      </c>
      <c r="C142" s="9" t="n">
        <v>139</v>
      </c>
      <c r="D142" s="9" t="n">
        <v>102</v>
      </c>
      <c r="E142" s="9" t="n">
        <v>10</v>
      </c>
      <c r="F142" s="9" t="n">
        <v>290</v>
      </c>
      <c r="G142" s="9" t="n">
        <v>394</v>
      </c>
      <c r="H142" s="9" t="n">
        <v>4</v>
      </c>
      <c r="I142" s="9" t="n">
        <v>0</v>
      </c>
      <c r="J142" s="9" t="n">
        <v>1</v>
      </c>
      <c r="K142" s="9" t="n">
        <v>0</v>
      </c>
      <c r="L142" s="9" t="n">
        <v>0</v>
      </c>
      <c r="M142" s="9" t="n">
        <v>0</v>
      </c>
      <c r="N142" s="9" t="n">
        <v>6</v>
      </c>
      <c r="O142" s="9" t="n">
        <v>7</v>
      </c>
      <c r="P142" s="9" t="n">
        <v>0</v>
      </c>
      <c r="Q142" s="9" t="n">
        <v>835</v>
      </c>
      <c r="R142" s="9" t="n">
        <v>0</v>
      </c>
      <c r="S142" s="9" t="n">
        <v>1</v>
      </c>
      <c r="T142" s="9" t="n">
        <v>846</v>
      </c>
      <c r="U142" s="10" t="n">
        <v>2635</v>
      </c>
      <c r="V142" s="10" t="n">
        <v>0</v>
      </c>
      <c r="W142" s="10" t="n">
        <v>0</v>
      </c>
      <c r="X142" s="10" t="n">
        <v>2635</v>
      </c>
      <c r="Y142" s="10" t="n">
        <v>0</v>
      </c>
    </row>
    <row r="143">
      <c r="A143" s="7" t="n">
        <v>140</v>
      </c>
      <c r="B143" s="8" t="inlineStr">
        <is>
          <t>Polling Station 140</t>
        </is>
      </c>
      <c r="C143" s="9" t="n">
        <v>140</v>
      </c>
      <c r="D143" s="9" t="n">
        <v>49</v>
      </c>
      <c r="E143" s="9" t="n">
        <v>0</v>
      </c>
      <c r="F143" s="9" t="n">
        <v>166</v>
      </c>
      <c r="G143" s="9" t="n">
        <v>595</v>
      </c>
      <c r="H143" s="9" t="n">
        <v>0</v>
      </c>
      <c r="I143" s="9" t="n">
        <v>0</v>
      </c>
      <c r="J143" s="9" t="n">
        <v>1</v>
      </c>
      <c r="K143" s="9" t="n">
        <v>0</v>
      </c>
      <c r="L143" s="9" t="n">
        <v>0</v>
      </c>
      <c r="M143" s="9" t="n">
        <v>0</v>
      </c>
      <c r="N143" s="9" t="n">
        <v>2</v>
      </c>
      <c r="O143" s="9" t="n">
        <v>13</v>
      </c>
      <c r="P143" s="9" t="n">
        <v>0</v>
      </c>
      <c r="Q143" s="9" t="n">
        <v>862</v>
      </c>
      <c r="R143" s="9" t="n">
        <v>0</v>
      </c>
      <c r="S143" s="9" t="n">
        <v>5</v>
      </c>
      <c r="T143" s="9" t="n">
        <v>867</v>
      </c>
      <c r="U143" s="10" t="n">
        <v>2700</v>
      </c>
      <c r="V143" s="10" t="n">
        <v>0</v>
      </c>
      <c r="W143" s="10" t="n">
        <v>0</v>
      </c>
      <c r="X143" s="10" t="n">
        <v>2700</v>
      </c>
      <c r="Y143" s="10" t="n">
        <v>0</v>
      </c>
    </row>
    <row r="144">
      <c r="A144" s="7" t="n">
        <v>141</v>
      </c>
      <c r="B144" s="8" t="inlineStr">
        <is>
          <t>| 141</t>
        </is>
      </c>
      <c r="C144" s="9" t="n">
        <v>141</v>
      </c>
      <c r="D144" s="9" t="n">
        <v>0</v>
      </c>
      <c r="E144" s="9" t="n">
        <v>0</v>
      </c>
      <c r="F144" s="9" t="n">
        <v>212</v>
      </c>
      <c r="G144" s="9" t="n">
        <v>498</v>
      </c>
      <c r="H144" s="9" t="n">
        <v>0</v>
      </c>
      <c r="I144" s="9" t="n">
        <v>0</v>
      </c>
      <c r="J144" s="9" t="n">
        <v>1</v>
      </c>
      <c r="K144" s="9" t="n">
        <v>0</v>
      </c>
      <c r="L144" s="9" t="n">
        <v>0</v>
      </c>
      <c r="M144" s="9" t="n">
        <v>0</v>
      </c>
      <c r="N144" s="9" t="n">
        <v>6</v>
      </c>
      <c r="O144" s="9" t="n">
        <v>5</v>
      </c>
      <c r="P144" s="9" t="n">
        <v>0</v>
      </c>
      <c r="Q144" s="9" t="n">
        <v>795</v>
      </c>
      <c r="R144" s="9" t="n">
        <v>0</v>
      </c>
      <c r="S144" s="9" t="n">
        <v>7</v>
      </c>
      <c r="T144" s="9" t="n">
        <v>802</v>
      </c>
      <c r="U144" s="10" t="n">
        <v>2467</v>
      </c>
      <c r="V144" s="10" t="n">
        <v>0</v>
      </c>
      <c r="W144" s="10" t="n">
        <v>0</v>
      </c>
      <c r="X144" s="10" t="n">
        <v>2467</v>
      </c>
      <c r="Y144" s="10" t="n">
        <v>0</v>
      </c>
    </row>
    <row r="145">
      <c r="A145" s="7" t="n">
        <v>142</v>
      </c>
      <c r="B145" s="8" t="inlineStr">
        <is>
          <t>| 142</t>
        </is>
      </c>
      <c r="C145" s="9" t="n">
        <v>12</v>
      </c>
      <c r="D145" s="9" t="n">
        <v>0</v>
      </c>
      <c r="E145" s="9" t="n">
        <v>0</v>
      </c>
      <c r="F145" s="9" t="n">
        <v>190</v>
      </c>
      <c r="G145" s="9" t="n">
        <v>313</v>
      </c>
      <c r="H145" s="9" t="n">
        <v>0</v>
      </c>
      <c r="I145" s="9" t="n">
        <v>0</v>
      </c>
      <c r="J145" s="9" t="n">
        <v>1</v>
      </c>
      <c r="K145" s="9" t="n">
        <v>0</v>
      </c>
      <c r="L145" s="9" t="n">
        <v>0</v>
      </c>
      <c r="M145" s="9" t="n">
        <v>0</v>
      </c>
      <c r="N145" s="9" t="n">
        <v>10</v>
      </c>
      <c r="O145" s="9" t="n">
        <v>5</v>
      </c>
      <c r="P145" s="9" t="n">
        <v>0</v>
      </c>
      <c r="Q145" s="9" t="n">
        <v>592</v>
      </c>
      <c r="R145" s="9" t="n">
        <v>0</v>
      </c>
      <c r="S145" s="9" t="n">
        <v>3</v>
      </c>
      <c r="T145" s="9" t="n">
        <v>595</v>
      </c>
      <c r="U145" s="10" t="n">
        <v>1721</v>
      </c>
      <c r="V145" s="10" t="n">
        <v>0</v>
      </c>
      <c r="W145" s="10" t="n">
        <v>0</v>
      </c>
      <c r="X145" s="10" t="n">
        <v>1721</v>
      </c>
      <c r="Y145" s="10" t="n">
        <v>0</v>
      </c>
    </row>
    <row r="146">
      <c r="A146" s="7" t="n">
        <v>143</v>
      </c>
      <c r="B146" s="8" t="inlineStr">
        <is>
          <t>Polling Station 143</t>
        </is>
      </c>
      <c r="C146" s="9" t="n">
        <v>1</v>
      </c>
      <c r="D146" s="9" t="n">
        <v>0</v>
      </c>
      <c r="E146" s="9" t="n">
        <v>0</v>
      </c>
      <c r="F146" s="9" t="n">
        <v>63</v>
      </c>
      <c r="G146" s="9" t="n">
        <v>4</v>
      </c>
      <c r="H146" s="9" t="n">
        <v>0</v>
      </c>
      <c r="I146" s="9" t="n">
        <v>0</v>
      </c>
      <c r="J146" s="9" t="n">
        <v>1</v>
      </c>
      <c r="K146" s="9" t="n">
        <v>0</v>
      </c>
      <c r="L146" s="9" t="n">
        <v>0</v>
      </c>
      <c r="M146" s="9" t="n">
        <v>0</v>
      </c>
      <c r="N146" s="9" t="n">
        <v>15</v>
      </c>
      <c r="O146" s="9" t="n">
        <v>13</v>
      </c>
      <c r="P146" s="9" t="n">
        <v>15</v>
      </c>
      <c r="Q146" s="9" t="n">
        <v>687</v>
      </c>
      <c r="R146" s="9" t="n">
        <v>0</v>
      </c>
      <c r="S146" s="9" t="n">
        <v>4</v>
      </c>
      <c r="T146" s="9" t="n">
        <v>691</v>
      </c>
      <c r="U146" s="10" t="n">
        <v>1494</v>
      </c>
      <c r="V146" s="10" t="n">
        <v>0</v>
      </c>
      <c r="W146" s="10" t="n">
        <v>0</v>
      </c>
      <c r="X146" s="10" t="n">
        <v>1494</v>
      </c>
      <c r="Y146" s="10" t="n">
        <v>0</v>
      </c>
    </row>
    <row r="147">
      <c r="A147" s="7" t="n">
        <v>144</v>
      </c>
      <c r="B147" s="8" t="inlineStr">
        <is>
          <t>Polling Station 144</t>
        </is>
      </c>
      <c r="C147" s="9" t="n">
        <v>144</v>
      </c>
      <c r="D147" s="9" t="n">
        <v>0</v>
      </c>
      <c r="E147" s="9" t="n">
        <v>0</v>
      </c>
      <c r="F147" s="9" t="n">
        <v>35</v>
      </c>
      <c r="G147" s="9" t="n">
        <v>34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14</v>
      </c>
      <c r="O147" s="9" t="n">
        <v>4</v>
      </c>
      <c r="P147" s="9" t="n">
        <v>0</v>
      </c>
      <c r="Q147" s="9" t="n">
        <v>492</v>
      </c>
      <c r="R147" s="9" t="n">
        <v>0</v>
      </c>
      <c r="S147" s="9" t="n">
        <v>8</v>
      </c>
      <c r="T147" s="9" t="n">
        <v>500</v>
      </c>
      <c r="U147" s="10" t="n">
        <v>1231</v>
      </c>
      <c r="V147" s="10" t="n">
        <v>0</v>
      </c>
      <c r="W147" s="10" t="n">
        <v>0</v>
      </c>
      <c r="X147" s="10" t="n">
        <v>1231</v>
      </c>
      <c r="Y147" s="10" t="n">
        <v>0</v>
      </c>
    </row>
    <row r="148">
      <c r="A148" s="7" t="n">
        <v>145</v>
      </c>
      <c r="B148" s="8" t="inlineStr">
        <is>
          <t>Polling Station 145</t>
        </is>
      </c>
      <c r="C148" s="9" t="n">
        <v>145</v>
      </c>
      <c r="D148" s="9" t="n">
        <v>148</v>
      </c>
      <c r="E148" s="9" t="n">
        <v>0</v>
      </c>
      <c r="F148" s="9" t="n">
        <v>210</v>
      </c>
      <c r="G148" s="9" t="n">
        <v>36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26</v>
      </c>
      <c r="O148" s="9" t="n">
        <v>22</v>
      </c>
      <c r="P148" s="9" t="n">
        <v>48</v>
      </c>
      <c r="Q148" s="9" t="n">
        <v>760</v>
      </c>
      <c r="R148" s="9" t="n">
        <v>0</v>
      </c>
      <c r="S148" s="9" t="n">
        <v>10</v>
      </c>
      <c r="T148" s="9" t="n">
        <v>770</v>
      </c>
      <c r="U148" s="10" t="n">
        <v>2175</v>
      </c>
      <c r="V148" s="10" t="n">
        <v>0</v>
      </c>
      <c r="W148" s="10" t="n">
        <v>0</v>
      </c>
      <c r="X148" s="10" t="n">
        <v>2175</v>
      </c>
      <c r="Y148" s="10" t="n">
        <v>0</v>
      </c>
    </row>
    <row r="149">
      <c r="A149" s="7" t="n">
        <v>146</v>
      </c>
      <c r="B149" s="8" t="inlineStr">
        <is>
          <t>Polling Station 146</t>
        </is>
      </c>
      <c r="C149" s="9" t="n">
        <v>146</v>
      </c>
      <c r="D149" s="9" t="n">
        <v>40</v>
      </c>
      <c r="E149" s="9" t="n">
        <v>9</v>
      </c>
      <c r="F149" s="9" t="n">
        <v>190</v>
      </c>
      <c r="G149" s="9" t="n">
        <v>296</v>
      </c>
      <c r="H149" s="9" t="n">
        <v>1</v>
      </c>
      <c r="I149" s="9" t="n">
        <v>3</v>
      </c>
      <c r="J149" s="9" t="n">
        <v>0</v>
      </c>
      <c r="K149" s="9" t="n">
        <v>1</v>
      </c>
      <c r="L149" s="9" t="n">
        <v>1</v>
      </c>
      <c r="M149" s="9" t="n">
        <v>1</v>
      </c>
      <c r="N149" s="9" t="n">
        <v>7</v>
      </c>
      <c r="O149" s="9" t="n">
        <v>12</v>
      </c>
      <c r="P149" s="9" t="n">
        <v>8</v>
      </c>
      <c r="Q149" s="9" t="n">
        <v>579</v>
      </c>
      <c r="R149" s="9" t="n">
        <v>0</v>
      </c>
      <c r="S149" s="9" t="n">
        <v>13</v>
      </c>
      <c r="T149" s="9" t="n">
        <v>592</v>
      </c>
      <c r="U149" s="10" t="n">
        <v>1899</v>
      </c>
      <c r="V149" s="10" t="n">
        <v>0</v>
      </c>
      <c r="W149" s="10" t="n">
        <v>0</v>
      </c>
      <c r="X149" s="10" t="n">
        <v>1899</v>
      </c>
      <c r="Y149" s="10" t="n">
        <v>0</v>
      </c>
    </row>
    <row r="150">
      <c r="A150" s="7" t="n">
        <v>147</v>
      </c>
      <c r="B150" s="8" t="inlineStr">
        <is>
          <t>Polling Station 147</t>
        </is>
      </c>
      <c r="C150" s="9" t="n">
        <v>147</v>
      </c>
      <c r="D150" s="9" t="n">
        <v>28</v>
      </c>
      <c r="E150" s="9" t="n">
        <v>53</v>
      </c>
      <c r="F150" s="9" t="n">
        <v>363</v>
      </c>
      <c r="G150" s="9" t="n">
        <v>385</v>
      </c>
      <c r="H150" s="9" t="n">
        <v>2</v>
      </c>
      <c r="I150" s="9" t="n">
        <v>4</v>
      </c>
      <c r="J150" s="9" t="n">
        <v>4</v>
      </c>
      <c r="K150" s="9" t="n">
        <v>2</v>
      </c>
      <c r="L150" s="9" t="n">
        <v>2</v>
      </c>
      <c r="M150" s="9" t="n">
        <v>3</v>
      </c>
      <c r="N150" s="9" t="n">
        <v>9</v>
      </c>
      <c r="O150" s="9" t="n">
        <v>18</v>
      </c>
      <c r="P150" s="9" t="n">
        <v>23</v>
      </c>
      <c r="Q150" s="9" t="n">
        <v>886</v>
      </c>
      <c r="R150" s="9" t="n">
        <v>0</v>
      </c>
      <c r="S150" s="9" t="n">
        <v>8</v>
      </c>
      <c r="T150" s="9" t="n">
        <v>894</v>
      </c>
      <c r="U150" s="10" t="n">
        <v>2831</v>
      </c>
      <c r="V150" s="10" t="n">
        <v>0</v>
      </c>
      <c r="W150" s="10" t="n">
        <v>0</v>
      </c>
      <c r="X150" s="10" t="n">
        <v>2831</v>
      </c>
      <c r="Y150" s="10" t="n">
        <v>0</v>
      </c>
    </row>
    <row r="151">
      <c r="A151" s="7" t="n">
        <v>148</v>
      </c>
      <c r="B151" s="8" t="inlineStr">
        <is>
          <t>Polling Station 148</t>
        </is>
      </c>
      <c r="C151" s="9" t="n">
        <v>148</v>
      </c>
      <c r="D151" s="9" t="n">
        <v>34</v>
      </c>
      <c r="E151" s="9" t="n">
        <v>5</v>
      </c>
      <c r="F151" s="9" t="n">
        <v>128</v>
      </c>
      <c r="G151" s="9" t="n">
        <v>595</v>
      </c>
      <c r="H151" s="9" t="n">
        <v>3</v>
      </c>
      <c r="I151" s="9" t="n">
        <v>3</v>
      </c>
      <c r="J151" s="9" t="n">
        <v>2</v>
      </c>
      <c r="K151" s="9" t="n">
        <v>1</v>
      </c>
      <c r="L151" s="9" t="n">
        <v>2</v>
      </c>
      <c r="M151" s="9" t="n">
        <v>0</v>
      </c>
      <c r="N151" s="9" t="n">
        <v>13</v>
      </c>
      <c r="O151" s="9" t="n">
        <v>6</v>
      </c>
      <c r="P151" s="9" t="n">
        <v>0</v>
      </c>
      <c r="Q151" s="9" t="n">
        <v>803</v>
      </c>
      <c r="R151" s="9" t="n">
        <v>0</v>
      </c>
      <c r="S151" s="9" t="n">
        <v>14</v>
      </c>
      <c r="T151" s="9" t="n">
        <v>817</v>
      </c>
      <c r="U151" s="10" t="n">
        <v>2574</v>
      </c>
      <c r="V151" s="10" t="n">
        <v>0</v>
      </c>
      <c r="W151" s="10" t="n">
        <v>0</v>
      </c>
      <c r="X151" s="10" t="n">
        <v>2574</v>
      </c>
      <c r="Y151" s="10" t="n">
        <v>0</v>
      </c>
    </row>
    <row r="152">
      <c r="A152" s="7" t="n">
        <v>149</v>
      </c>
      <c r="B152" s="8" t="inlineStr">
        <is>
          <t>Polling Station 149</t>
        </is>
      </c>
      <c r="C152" s="9" t="n">
        <v>149</v>
      </c>
      <c r="D152" s="9" t="n">
        <v>7</v>
      </c>
      <c r="E152" s="9" t="n">
        <v>4</v>
      </c>
      <c r="F152" s="9" t="n">
        <v>72</v>
      </c>
      <c r="G152" s="9" t="n">
        <v>279</v>
      </c>
      <c r="H152" s="9" t="n">
        <v>0</v>
      </c>
      <c r="I152" s="9" t="n">
        <v>1</v>
      </c>
      <c r="J152" s="9" t="n">
        <v>0</v>
      </c>
      <c r="K152" s="9" t="n">
        <v>0</v>
      </c>
      <c r="L152" s="9" t="n">
        <v>0</v>
      </c>
      <c r="M152" s="9" t="n">
        <v>1</v>
      </c>
      <c r="N152" s="9" t="n">
        <v>4</v>
      </c>
      <c r="O152" s="9" t="n">
        <v>5</v>
      </c>
      <c r="P152" s="9" t="n">
        <v>2</v>
      </c>
      <c r="Q152" s="9" t="n">
        <v>385</v>
      </c>
      <c r="R152" s="9" t="n">
        <v>0</v>
      </c>
      <c r="S152" s="9" t="n">
        <v>2</v>
      </c>
      <c r="T152" s="9" t="n">
        <v>387</v>
      </c>
      <c r="U152" s="10" t="n">
        <v>1298</v>
      </c>
      <c r="V152" s="10" t="n">
        <v>0</v>
      </c>
      <c r="W152" s="10" t="n">
        <v>0</v>
      </c>
      <c r="X152" s="10" t="n">
        <v>1298</v>
      </c>
      <c r="Y152" s="10" t="n">
        <v>0</v>
      </c>
    </row>
    <row r="153">
      <c r="A153" s="7" t="n">
        <v>150</v>
      </c>
      <c r="B153" s="8" t="inlineStr">
        <is>
          <t>| 150</t>
        </is>
      </c>
      <c r="C153" s="9" t="n">
        <v>150</v>
      </c>
      <c r="D153" s="9" t="n">
        <v>75</v>
      </c>
      <c r="E153" s="9" t="n">
        <v>99</v>
      </c>
      <c r="F153" s="9" t="n">
        <v>0</v>
      </c>
      <c r="G153" s="9" t="n">
        <v>389</v>
      </c>
      <c r="H153" s="9" t="n">
        <v>0</v>
      </c>
      <c r="I153" s="9" t="n">
        <v>0</v>
      </c>
      <c r="J153" s="9" t="n">
        <v>4</v>
      </c>
      <c r="K153" s="9" t="n">
        <v>3</v>
      </c>
      <c r="L153" s="9" t="n">
        <v>0</v>
      </c>
      <c r="M153" s="9" t="n">
        <v>2</v>
      </c>
      <c r="N153" s="9" t="n">
        <v>10</v>
      </c>
      <c r="O153" s="9" t="n">
        <v>8</v>
      </c>
      <c r="P153" s="9" t="n">
        <v>7</v>
      </c>
      <c r="Q153" s="9" t="n">
        <v>736</v>
      </c>
      <c r="R153" s="9" t="n">
        <v>0</v>
      </c>
      <c r="S153" s="9" t="n">
        <v>9</v>
      </c>
      <c r="T153" s="9" t="n">
        <v>745</v>
      </c>
      <c r="U153" s="10" t="n">
        <v>2237</v>
      </c>
      <c r="V153" s="10" t="n">
        <v>0</v>
      </c>
      <c r="W153" s="10" t="n">
        <v>0</v>
      </c>
      <c r="X153" s="10" t="n">
        <v>2237</v>
      </c>
      <c r="Y153" s="10" t="n">
        <v>0</v>
      </c>
    </row>
    <row r="154">
      <c r="A154" s="7" t="n">
        <v>151</v>
      </c>
      <c r="B154" s="8" t="inlineStr">
        <is>
          <t>Polling Station 151</t>
        </is>
      </c>
      <c r="C154" s="9" t="n">
        <v>151</v>
      </c>
      <c r="D154" s="9" t="n">
        <v>119</v>
      </c>
      <c r="E154" s="9" t="n">
        <v>8</v>
      </c>
      <c r="F154" s="9" t="n">
        <v>214</v>
      </c>
      <c r="G154" s="9" t="n">
        <v>290</v>
      </c>
      <c r="H154" s="9" t="n">
        <v>1</v>
      </c>
      <c r="I154" s="9" t="n">
        <v>0</v>
      </c>
      <c r="J154" s="9" t="n">
        <v>0</v>
      </c>
      <c r="K154" s="9" t="n">
        <v>2</v>
      </c>
      <c r="L154" s="9" t="n">
        <v>1</v>
      </c>
      <c r="M154" s="9" t="n">
        <v>2</v>
      </c>
      <c r="N154" s="9" t="n">
        <v>10</v>
      </c>
      <c r="O154" s="9" t="n">
        <v>18</v>
      </c>
      <c r="P154" s="9" t="n">
        <v>8</v>
      </c>
      <c r="Q154" s="9" t="n">
        <v>674</v>
      </c>
      <c r="R154" s="9" t="n">
        <v>0</v>
      </c>
      <c r="S154" s="9" t="n">
        <v>8</v>
      </c>
      <c r="T154" s="9" t="n">
        <v>682</v>
      </c>
      <c r="U154" s="10" t="n">
        <v>2188</v>
      </c>
      <c r="V154" s="10" t="n">
        <v>0</v>
      </c>
      <c r="W154" s="10" t="n">
        <v>0</v>
      </c>
      <c r="X154" s="10" t="n">
        <v>2188</v>
      </c>
      <c r="Y154" s="10" t="n">
        <v>0</v>
      </c>
    </row>
    <row r="155">
      <c r="A155" s="7" t="n">
        <v>152</v>
      </c>
      <c r="B155" s="8" t="inlineStr">
        <is>
          <t>Polling Station 152</t>
        </is>
      </c>
      <c r="C155" s="9" t="n">
        <v>152</v>
      </c>
      <c r="D155" s="9" t="n">
        <v>68</v>
      </c>
      <c r="E155" s="9" t="n">
        <v>2</v>
      </c>
      <c r="F155" s="9" t="n">
        <v>68</v>
      </c>
      <c r="G155" s="9" t="n">
        <v>451</v>
      </c>
      <c r="H155" s="9" t="n">
        <v>1</v>
      </c>
      <c r="I155" s="9" t="n">
        <v>1</v>
      </c>
      <c r="J155" s="9" t="n">
        <v>0</v>
      </c>
      <c r="K155" s="9" t="n">
        <v>3</v>
      </c>
      <c r="L155" s="9" t="n">
        <v>0</v>
      </c>
      <c r="M155" s="9" t="n">
        <v>3</v>
      </c>
      <c r="N155" s="9" t="n">
        <v>5</v>
      </c>
      <c r="O155" s="9" t="n">
        <v>9</v>
      </c>
      <c r="P155" s="9" t="n">
        <v>1</v>
      </c>
      <c r="Q155" s="9" t="n">
        <v>623</v>
      </c>
      <c r="R155" s="9" t="n">
        <v>0</v>
      </c>
      <c r="S155" s="9" t="n">
        <v>7</v>
      </c>
      <c r="T155" s="9" t="n">
        <v>630</v>
      </c>
      <c r="U155" s="10" t="n">
        <v>2024</v>
      </c>
      <c r="V155" s="10" t="n">
        <v>0</v>
      </c>
      <c r="W155" s="10" t="n">
        <v>0</v>
      </c>
      <c r="X155" s="10" t="n">
        <v>2024</v>
      </c>
      <c r="Y155" s="10" t="n">
        <v>0</v>
      </c>
    </row>
    <row r="156">
      <c r="A156" s="7" t="n">
        <v>153</v>
      </c>
      <c r="B156" s="8" t="inlineStr">
        <is>
          <t>Polling Station 153</t>
        </is>
      </c>
      <c r="C156" s="9" t="n">
        <v>153</v>
      </c>
      <c r="D156" s="9" t="n">
        <v>133</v>
      </c>
      <c r="E156" s="9" t="n">
        <v>3</v>
      </c>
      <c r="F156" s="9" t="n">
        <v>90</v>
      </c>
      <c r="G156" s="9" t="n">
        <v>520</v>
      </c>
      <c r="H156" s="9" t="n">
        <v>5</v>
      </c>
      <c r="I156" s="9" t="n">
        <v>1</v>
      </c>
      <c r="J156" s="9" t="n">
        <v>1</v>
      </c>
      <c r="K156" s="9" t="n">
        <v>2</v>
      </c>
      <c r="L156" s="9" t="n">
        <v>1</v>
      </c>
      <c r="M156" s="9" t="n">
        <v>2</v>
      </c>
      <c r="N156" s="9" t="n">
        <v>8</v>
      </c>
      <c r="O156" s="9" t="n">
        <v>9</v>
      </c>
      <c r="P156" s="9" t="n">
        <v>12</v>
      </c>
      <c r="Q156" s="9" t="n">
        <v>787</v>
      </c>
      <c r="R156" s="9" t="n">
        <v>0</v>
      </c>
      <c r="S156" s="9" t="n">
        <v>14</v>
      </c>
      <c r="T156" s="9" t="n">
        <v>801</v>
      </c>
      <c r="U156" s="10" t="n">
        <v>2542</v>
      </c>
      <c r="V156" s="10" t="n">
        <v>0</v>
      </c>
      <c r="W156" s="10" t="n">
        <v>0</v>
      </c>
      <c r="X156" s="10" t="n">
        <v>2542</v>
      </c>
      <c r="Y156" s="10" t="n">
        <v>0</v>
      </c>
    </row>
    <row r="157">
      <c r="A157" s="7" t="n">
        <v>154</v>
      </c>
      <c r="B157" s="8" t="inlineStr">
        <is>
          <t>Polling Station 154</t>
        </is>
      </c>
      <c r="C157" s="9" t="n">
        <v>154</v>
      </c>
      <c r="D157" s="9" t="n">
        <v>146</v>
      </c>
      <c r="E157" s="9" t="n">
        <v>5</v>
      </c>
      <c r="F157" s="9" t="n">
        <v>110</v>
      </c>
      <c r="G157" s="9" t="n">
        <v>291</v>
      </c>
      <c r="H157" s="9" t="n">
        <v>3</v>
      </c>
      <c r="I157" s="9" t="n">
        <v>3</v>
      </c>
      <c r="J157" s="9" t="n">
        <v>0</v>
      </c>
      <c r="K157" s="9" t="n">
        <v>1</v>
      </c>
      <c r="L157" s="9" t="n">
        <v>1</v>
      </c>
      <c r="M157" s="9" t="n">
        <v>3</v>
      </c>
      <c r="N157" s="9" t="n">
        <v>5</v>
      </c>
      <c r="O157" s="9" t="n">
        <v>0</v>
      </c>
      <c r="P157" s="9" t="n">
        <v>0</v>
      </c>
      <c r="Q157" s="9" t="n">
        <v>586</v>
      </c>
      <c r="R157" s="9" t="n">
        <v>0</v>
      </c>
      <c r="S157" s="9" t="n">
        <v>12</v>
      </c>
      <c r="T157" s="9" t="n">
        <v>598</v>
      </c>
      <c r="U157" s="10" t="n">
        <v>1918</v>
      </c>
      <c r="V157" s="10" t="n">
        <v>0</v>
      </c>
      <c r="W157" s="10" t="n">
        <v>0</v>
      </c>
      <c r="X157" s="10" t="n">
        <v>1918</v>
      </c>
      <c r="Y157" s="10" t="n">
        <v>0</v>
      </c>
    </row>
    <row r="158">
      <c r="A158" s="7" t="n">
        <v>155</v>
      </c>
      <c r="B158" s="8" t="inlineStr">
        <is>
          <t>Polling Station 155</t>
        </is>
      </c>
      <c r="C158" s="9" t="n">
        <v>155</v>
      </c>
      <c r="D158" s="9" t="n">
        <v>145</v>
      </c>
      <c r="E158" s="9" t="n">
        <v>23</v>
      </c>
      <c r="F158" s="9" t="n">
        <v>190</v>
      </c>
      <c r="G158" s="9" t="n">
        <v>424</v>
      </c>
      <c r="H158" s="9" t="n">
        <v>5</v>
      </c>
      <c r="I158" s="9" t="n">
        <v>1</v>
      </c>
      <c r="J158" s="9" t="n">
        <v>0</v>
      </c>
      <c r="K158" s="9" t="n">
        <v>2</v>
      </c>
      <c r="L158" s="9" t="n">
        <v>2</v>
      </c>
      <c r="M158" s="9" t="n">
        <v>1</v>
      </c>
      <c r="N158" s="9" t="n">
        <v>7</v>
      </c>
      <c r="O158" s="9" t="n">
        <v>9</v>
      </c>
      <c r="P158" s="9" t="n">
        <v>123</v>
      </c>
      <c r="Q158" s="9" t="n">
        <v>733</v>
      </c>
      <c r="R158" s="9" t="n">
        <v>0</v>
      </c>
      <c r="S158" s="9" t="n">
        <v>22</v>
      </c>
      <c r="T158" s="9" t="n">
        <v>755</v>
      </c>
      <c r="U158" s="10" t="n">
        <v>2597</v>
      </c>
      <c r="V158" s="10" t="n">
        <v>0</v>
      </c>
      <c r="W158" s="10" t="n">
        <v>0</v>
      </c>
      <c r="X158" s="10" t="n">
        <v>2597</v>
      </c>
      <c r="Y158" s="10" t="n">
        <v>0</v>
      </c>
    </row>
    <row r="159">
      <c r="A159" s="7" t="n">
        <v>156</v>
      </c>
      <c r="B159" s="8" t="inlineStr">
        <is>
          <t>Polling Station 156</t>
        </is>
      </c>
      <c r="C159" s="9" t="n">
        <v>156</v>
      </c>
      <c r="D159" s="9" t="n">
        <v>65</v>
      </c>
      <c r="E159" s="9" t="n">
        <v>12</v>
      </c>
      <c r="F159" s="9" t="n">
        <v>142</v>
      </c>
      <c r="G159" s="9" t="n">
        <v>1413</v>
      </c>
      <c r="H159" s="9" t="n">
        <v>1</v>
      </c>
      <c r="I159" s="9" t="n">
        <v>5</v>
      </c>
      <c r="J159" s="9" t="n">
        <v>0</v>
      </c>
      <c r="K159" s="9" t="n">
        <v>2</v>
      </c>
      <c r="L159" s="9" t="n">
        <v>0</v>
      </c>
      <c r="M159" s="9" t="n">
        <v>1</v>
      </c>
      <c r="N159" s="9" t="n">
        <v>12</v>
      </c>
      <c r="O159" s="9" t="n">
        <v>14</v>
      </c>
      <c r="P159" s="9" t="n">
        <v>19</v>
      </c>
      <c r="Q159" s="9" t="n">
        <v>686</v>
      </c>
      <c r="R159" s="9" t="n">
        <v>0</v>
      </c>
      <c r="S159" s="9" t="n">
        <v>3</v>
      </c>
      <c r="T159" s="9" t="n">
        <v>689</v>
      </c>
      <c r="U159" s="10" t="n">
        <v>3220</v>
      </c>
      <c r="V159" s="10" t="n">
        <v>0</v>
      </c>
      <c r="W159" s="10" t="n">
        <v>0</v>
      </c>
      <c r="X159" s="10" t="n">
        <v>3220</v>
      </c>
      <c r="Y159" s="10" t="n">
        <v>0</v>
      </c>
    </row>
    <row r="160">
      <c r="A160" s="7" t="n">
        <v>157</v>
      </c>
      <c r="B160" s="8" t="inlineStr">
        <is>
          <t>Polling Station 157</t>
        </is>
      </c>
      <c r="C160" s="9" t="n">
        <v>157</v>
      </c>
      <c r="D160" s="9" t="n">
        <v>36</v>
      </c>
      <c r="E160" s="9" t="n">
        <v>0</v>
      </c>
      <c r="F160" s="9" t="n">
        <v>126</v>
      </c>
      <c r="G160" s="9" t="n">
        <v>245</v>
      </c>
      <c r="H160" s="9" t="n">
        <v>1</v>
      </c>
      <c r="I160" s="9" t="n">
        <v>0</v>
      </c>
      <c r="J160" s="9" t="n">
        <v>0</v>
      </c>
      <c r="K160" s="9" t="n">
        <v>0</v>
      </c>
      <c r="L160" s="9" t="n">
        <v>1</v>
      </c>
      <c r="M160" s="9" t="n">
        <v>0</v>
      </c>
      <c r="N160" s="9" t="n">
        <v>0</v>
      </c>
      <c r="O160" s="9" t="n">
        <v>5</v>
      </c>
      <c r="P160" s="9" t="n">
        <v>5</v>
      </c>
      <c r="Q160" s="9" t="n">
        <v>4</v>
      </c>
      <c r="R160" s="9" t="n">
        <v>0</v>
      </c>
      <c r="S160" s="9" t="n">
        <v>0</v>
      </c>
      <c r="T160" s="9" t="n">
        <v>487</v>
      </c>
      <c r="U160" s="10" t="n">
        <v>1067</v>
      </c>
      <c r="V160" s="10" t="n">
        <v>0</v>
      </c>
      <c r="W160" s="10" t="n">
        <v>0</v>
      </c>
      <c r="X160" s="10" t="n">
        <v>1067</v>
      </c>
      <c r="Y160" s="10" t="n">
        <v>0</v>
      </c>
    </row>
    <row r="161">
      <c r="A161" s="7" t="n">
        <v>158</v>
      </c>
      <c r="B161" s="8" t="inlineStr">
        <is>
          <t>Polling Station 158</t>
        </is>
      </c>
      <c r="C161" s="9" t="n">
        <v>158</v>
      </c>
      <c r="D161" s="9" t="n">
        <v>0</v>
      </c>
      <c r="E161" s="9" t="n">
        <v>0</v>
      </c>
      <c r="F161" s="9" t="n">
        <v>198</v>
      </c>
      <c r="G161" s="9" t="n">
        <v>316</v>
      </c>
      <c r="H161" s="9" t="n">
        <v>4</v>
      </c>
      <c r="I161" s="9" t="n">
        <v>0</v>
      </c>
      <c r="J161" s="9" t="n">
        <v>0</v>
      </c>
      <c r="K161" s="9" t="n">
        <v>0</v>
      </c>
      <c r="L161" s="9" t="n">
        <v>3</v>
      </c>
      <c r="M161" s="9" t="n">
        <v>1</v>
      </c>
      <c r="N161" s="9" t="n">
        <v>1</v>
      </c>
      <c r="O161" s="9" t="n">
        <v>0</v>
      </c>
      <c r="P161" s="9" t="n">
        <v>0</v>
      </c>
      <c r="Q161" s="9" t="n">
        <v>684</v>
      </c>
      <c r="R161" s="9" t="n">
        <v>0</v>
      </c>
      <c r="S161" s="9" t="n">
        <v>8</v>
      </c>
      <c r="T161" s="9" t="n">
        <v>692</v>
      </c>
      <c r="U161" s="10" t="n">
        <v>2065</v>
      </c>
      <c r="V161" s="10" t="n">
        <v>0</v>
      </c>
      <c r="W161" s="10" t="n">
        <v>0</v>
      </c>
      <c r="X161" s="10" t="n">
        <v>2065</v>
      </c>
      <c r="Y161" s="10" t="n">
        <v>0</v>
      </c>
    </row>
    <row r="162">
      <c r="A162" s="7" t="n">
        <v>159</v>
      </c>
      <c r="B162" s="8" t="inlineStr">
        <is>
          <t>Polling Station 159</t>
        </is>
      </c>
      <c r="C162" s="9" t="n">
        <v>159</v>
      </c>
      <c r="D162" s="9" t="n">
        <v>7</v>
      </c>
      <c r="E162" s="9" t="n">
        <v>8</v>
      </c>
      <c r="F162" s="9" t="n">
        <v>164</v>
      </c>
      <c r="G162" s="9" t="n">
        <v>619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12</v>
      </c>
      <c r="O162" s="9" t="n">
        <v>0</v>
      </c>
      <c r="P162" s="9" t="n">
        <v>13</v>
      </c>
      <c r="Q162" s="9" t="n">
        <v>958</v>
      </c>
      <c r="R162" s="9" t="n">
        <v>0</v>
      </c>
      <c r="S162" s="9" t="n">
        <v>0</v>
      </c>
      <c r="T162" s="9" t="n">
        <v>965</v>
      </c>
      <c r="U162" s="10" t="n">
        <v>2905</v>
      </c>
      <c r="V162" s="10" t="n">
        <v>0</v>
      </c>
      <c r="W162" s="10" t="n">
        <v>0</v>
      </c>
      <c r="X162" s="10" t="n">
        <v>2905</v>
      </c>
      <c r="Y162" s="10" t="n">
        <v>0</v>
      </c>
    </row>
    <row r="163">
      <c r="A163" s="7" t="n">
        <v>161</v>
      </c>
      <c r="B163" s="8" t="inlineStr">
        <is>
          <t>Polling Station 161</t>
        </is>
      </c>
      <c r="C163" s="9" t="n">
        <v>161</v>
      </c>
      <c r="D163" s="9" t="n">
        <v>0</v>
      </c>
      <c r="E163" s="9" t="n">
        <v>0</v>
      </c>
      <c r="F163" s="9" t="n">
        <v>230</v>
      </c>
      <c r="G163" s="9" t="n">
        <v>183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491</v>
      </c>
      <c r="R163" s="9" t="n">
        <v>0</v>
      </c>
      <c r="S163" s="9" t="n">
        <v>10</v>
      </c>
      <c r="T163" s="9" t="n">
        <v>502</v>
      </c>
      <c r="U163" s="10" t="n">
        <v>1577</v>
      </c>
      <c r="V163" s="10" t="n">
        <v>0</v>
      </c>
      <c r="W163" s="10" t="n">
        <v>0</v>
      </c>
      <c r="X163" s="10" t="n">
        <v>1577</v>
      </c>
      <c r="Y163" s="10" t="n">
        <v>0</v>
      </c>
    </row>
    <row r="164">
      <c r="A164" s="7" t="n">
        <v>162</v>
      </c>
      <c r="B164" s="8" t="inlineStr">
        <is>
          <t>Polling Station 162</t>
        </is>
      </c>
      <c r="C164" s="9" t="n">
        <v>162</v>
      </c>
      <c r="D164" s="9" t="n">
        <v>6</v>
      </c>
      <c r="E164" s="9" t="n">
        <v>0</v>
      </c>
      <c r="F164" s="9" t="n">
        <v>188</v>
      </c>
      <c r="G164" s="9" t="n">
        <v>15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2</v>
      </c>
      <c r="N164" s="9" t="n">
        <v>0</v>
      </c>
      <c r="O164" s="9" t="n">
        <v>0</v>
      </c>
      <c r="P164" s="9" t="n">
        <v>0</v>
      </c>
      <c r="Q164" s="9" t="n">
        <v>625</v>
      </c>
      <c r="R164" s="9" t="n">
        <v>0</v>
      </c>
      <c r="S164" s="9" t="n">
        <v>21</v>
      </c>
      <c r="T164" s="9" t="n">
        <v>0</v>
      </c>
      <c r="U164" s="10" t="n">
        <v>1019</v>
      </c>
      <c r="V164" s="10" t="n">
        <v>0</v>
      </c>
      <c r="W164" s="10" t="n">
        <v>0</v>
      </c>
      <c r="X164" s="10" t="n">
        <v>1019</v>
      </c>
      <c r="Y164" s="10" t="n">
        <v>0</v>
      </c>
    </row>
    <row r="165">
      <c r="A165" s="7" t="n">
        <v>163</v>
      </c>
      <c r="B165" s="8" t="inlineStr">
        <is>
          <t>Polling Station 163</t>
        </is>
      </c>
      <c r="C165" s="9" t="n">
        <v>163</v>
      </c>
      <c r="D165" s="9" t="n">
        <v>47</v>
      </c>
      <c r="E165" s="9" t="n">
        <v>0</v>
      </c>
      <c r="F165" s="9" t="n">
        <v>280</v>
      </c>
      <c r="G165" s="9" t="n">
        <v>293</v>
      </c>
      <c r="H165" s="9" t="n">
        <v>13</v>
      </c>
      <c r="I165" s="9" t="n">
        <v>0</v>
      </c>
      <c r="J165" s="9" t="n">
        <v>0</v>
      </c>
      <c r="K165" s="9" t="n">
        <v>0</v>
      </c>
      <c r="L165" s="9" t="n">
        <v>3</v>
      </c>
      <c r="M165" s="9" t="n">
        <v>4</v>
      </c>
      <c r="N165" s="9" t="n">
        <v>16</v>
      </c>
      <c r="O165" s="9" t="n">
        <v>0</v>
      </c>
      <c r="P165" s="9" t="n">
        <v>7</v>
      </c>
      <c r="Q165" s="9" t="n">
        <v>668</v>
      </c>
      <c r="R165" s="9" t="n">
        <v>0</v>
      </c>
      <c r="S165" s="9" t="n">
        <v>0</v>
      </c>
      <c r="T165" s="9" t="n">
        <v>673</v>
      </c>
      <c r="U165" s="10" t="n">
        <v>2167</v>
      </c>
      <c r="V165" s="10" t="n">
        <v>0</v>
      </c>
      <c r="W165" s="10" t="n">
        <v>0</v>
      </c>
      <c r="X165" s="10" t="n">
        <v>2167</v>
      </c>
      <c r="Y165" s="10" t="n">
        <v>0</v>
      </c>
    </row>
    <row r="166">
      <c r="A166" s="7" t="n">
        <v>164</v>
      </c>
      <c r="B166" s="8" t="inlineStr">
        <is>
          <t>Polling Station 164</t>
        </is>
      </c>
      <c r="C166" s="9" t="n">
        <v>164</v>
      </c>
      <c r="D166" s="9" t="n">
        <v>98</v>
      </c>
      <c r="E166" s="9" t="n">
        <v>0</v>
      </c>
      <c r="F166" s="9" t="n">
        <v>250</v>
      </c>
      <c r="G166" s="9" t="n">
        <v>532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10</v>
      </c>
      <c r="O166" s="9" t="n">
        <v>11</v>
      </c>
      <c r="P166" s="9" t="n">
        <v>0</v>
      </c>
      <c r="Q166" s="9" t="n">
        <v>949</v>
      </c>
      <c r="R166" s="9" t="n">
        <v>20</v>
      </c>
      <c r="S166" s="9" t="n">
        <v>8</v>
      </c>
      <c r="T166" s="9" t="n">
        <v>987</v>
      </c>
      <c r="U166" s="10" t="n">
        <v>3029</v>
      </c>
      <c r="V166" s="10" t="n">
        <v>0</v>
      </c>
      <c r="W166" s="10" t="n">
        <v>0</v>
      </c>
      <c r="X166" s="10" t="n">
        <v>3029</v>
      </c>
      <c r="Y166" s="10" t="n">
        <v>0</v>
      </c>
    </row>
    <row r="167">
      <c r="A167" s="7" t="n">
        <v>165</v>
      </c>
      <c r="B167" s="8" t="inlineStr">
        <is>
          <t>Polling Station 165</t>
        </is>
      </c>
      <c r="C167" s="9" t="n">
        <v>166</v>
      </c>
      <c r="D167" s="9" t="n">
        <v>31</v>
      </c>
      <c r="E167" s="9" t="n">
        <v>0</v>
      </c>
      <c r="F167" s="9" t="n">
        <v>443</v>
      </c>
      <c r="G167" s="9" t="n">
        <v>350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16</v>
      </c>
      <c r="P167" s="9" t="n">
        <v>2</v>
      </c>
      <c r="Q167" s="9" t="n">
        <v>87</v>
      </c>
      <c r="R167" s="9" t="n">
        <v>0</v>
      </c>
      <c r="S167" s="9" t="n">
        <v>10</v>
      </c>
      <c r="T167" s="9" t="n">
        <v>882</v>
      </c>
      <c r="U167" s="10" t="n">
        <v>1987</v>
      </c>
      <c r="V167" s="10" t="n">
        <v>0</v>
      </c>
      <c r="W167" s="10" t="n">
        <v>0</v>
      </c>
      <c r="X167" s="10" t="n">
        <v>1987</v>
      </c>
      <c r="Y167" s="10" t="n">
        <v>0</v>
      </c>
    </row>
    <row r="168">
      <c r="A168" s="7" t="n">
        <v>166</v>
      </c>
      <c r="B168" s="8" t="inlineStr">
        <is>
          <t>Polling Station 166</t>
        </is>
      </c>
      <c r="C168" s="9" t="n">
        <v>167</v>
      </c>
      <c r="D168" s="9" t="n">
        <v>24</v>
      </c>
      <c r="E168" s="9" t="n">
        <v>0</v>
      </c>
      <c r="F168" s="9" t="n">
        <v>190</v>
      </c>
      <c r="G168" s="9" t="n">
        <v>291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3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530</v>
      </c>
      <c r="R168" s="9" t="n">
        <v>0</v>
      </c>
      <c r="S168" s="9" t="n">
        <v>0</v>
      </c>
      <c r="T168" s="9" t="n">
        <v>0</v>
      </c>
      <c r="U168" s="10" t="n">
        <v>1205</v>
      </c>
      <c r="V168" s="10" t="n">
        <v>0</v>
      </c>
      <c r="W168" s="10" t="n">
        <v>0</v>
      </c>
      <c r="X168" s="10" t="n">
        <v>1205</v>
      </c>
      <c r="Y168" s="10" t="n">
        <v>0</v>
      </c>
    </row>
    <row r="169">
      <c r="A169" s="7" t="n">
        <v>167</v>
      </c>
      <c r="B169" s="8" t="inlineStr">
        <is>
          <t>Polling Station 167</t>
        </is>
      </c>
      <c r="C169" s="9" t="n">
        <v>168</v>
      </c>
      <c r="D169" s="9" t="n">
        <v>28</v>
      </c>
      <c r="E169" s="9" t="n">
        <v>0</v>
      </c>
      <c r="F169" s="9" t="n">
        <v>194</v>
      </c>
      <c r="G169" s="9" t="n">
        <v>253</v>
      </c>
      <c r="H169" s="9" t="n">
        <v>0</v>
      </c>
      <c r="I169" s="9" t="n">
        <v>0</v>
      </c>
      <c r="J169" s="9" t="n">
        <v>0</v>
      </c>
      <c r="K169" s="9" t="n">
        <v>2</v>
      </c>
      <c r="L169" s="9" t="n">
        <v>0</v>
      </c>
      <c r="M169" s="9" t="n">
        <v>0</v>
      </c>
      <c r="N169" s="9" t="n">
        <v>0</v>
      </c>
      <c r="O169" s="9" t="n">
        <v>8</v>
      </c>
      <c r="P169" s="9" t="n">
        <v>0</v>
      </c>
      <c r="Q169" s="9" t="n">
        <v>504</v>
      </c>
      <c r="R169" s="9" t="n">
        <v>0</v>
      </c>
      <c r="S169" s="9" t="n">
        <v>0</v>
      </c>
      <c r="T169" s="9" t="n">
        <v>0</v>
      </c>
      <c r="U169" s="10" t="n">
        <v>1157</v>
      </c>
      <c r="V169" s="10" t="n">
        <v>0</v>
      </c>
      <c r="W169" s="10" t="n">
        <v>0</v>
      </c>
      <c r="X169" s="10" t="n">
        <v>1157</v>
      </c>
      <c r="Y169" s="10" t="n">
        <v>0</v>
      </c>
    </row>
    <row r="170">
      <c r="A170" s="7" t="n">
        <v>168</v>
      </c>
      <c r="B170" s="8" t="inlineStr">
        <is>
          <t>Polling Station 168</t>
        </is>
      </c>
      <c r="C170" s="9" t="n">
        <v>169</v>
      </c>
      <c r="D170" s="9" t="n">
        <v>93</v>
      </c>
      <c r="E170" s="9" t="n">
        <v>2</v>
      </c>
      <c r="F170" s="9" t="n">
        <v>515</v>
      </c>
      <c r="G170" s="9" t="n">
        <v>343</v>
      </c>
      <c r="H170" s="9" t="n">
        <v>4</v>
      </c>
      <c r="I170" s="9" t="n">
        <v>2</v>
      </c>
      <c r="J170" s="9" t="n">
        <v>2</v>
      </c>
      <c r="K170" s="9" t="n">
        <v>5</v>
      </c>
      <c r="L170" s="9" t="n">
        <v>3</v>
      </c>
      <c r="M170" s="9" t="n">
        <v>6</v>
      </c>
      <c r="N170" s="9" t="n">
        <v>11</v>
      </c>
      <c r="O170" s="9" t="n">
        <v>17</v>
      </c>
      <c r="P170" s="9" t="n">
        <v>10</v>
      </c>
      <c r="Q170" s="9" t="n">
        <v>1013</v>
      </c>
      <c r="R170" s="9" t="n">
        <v>0</v>
      </c>
      <c r="S170" s="9" t="n">
        <v>23</v>
      </c>
      <c r="T170" s="9" t="n">
        <v>1036</v>
      </c>
      <c r="U170" s="10" t="n">
        <v>3254</v>
      </c>
      <c r="V170" s="10" t="n">
        <v>0</v>
      </c>
      <c r="W170" s="10" t="n">
        <v>0</v>
      </c>
      <c r="X170" s="10" t="n">
        <v>3254</v>
      </c>
      <c r="Y170" s="10" t="n">
        <v>0</v>
      </c>
    </row>
    <row r="171">
      <c r="A171" s="7" t="n">
        <v>169</v>
      </c>
      <c r="B171" s="8" t="inlineStr">
        <is>
          <t>Polling Station 169</t>
        </is>
      </c>
      <c r="C171" s="9" t="n">
        <v>170</v>
      </c>
      <c r="D171" s="9" t="n">
        <v>25</v>
      </c>
      <c r="E171" s="9" t="n">
        <v>4</v>
      </c>
      <c r="F171" s="9" t="n">
        <v>192</v>
      </c>
      <c r="G171" s="9" t="n">
        <v>274</v>
      </c>
      <c r="H171" s="9" t="n">
        <v>1</v>
      </c>
      <c r="I171" s="9" t="n">
        <v>0</v>
      </c>
      <c r="J171" s="9" t="n">
        <v>1</v>
      </c>
      <c r="K171" s="9" t="n">
        <v>2</v>
      </c>
      <c r="L171" s="9" t="n">
        <v>1</v>
      </c>
      <c r="M171" s="9" t="n">
        <v>1</v>
      </c>
      <c r="N171" s="9" t="n">
        <v>6</v>
      </c>
      <c r="O171" s="9" t="n">
        <v>12</v>
      </c>
      <c r="P171" s="9" t="n">
        <v>4</v>
      </c>
      <c r="Q171" s="9" t="n">
        <v>523</v>
      </c>
      <c r="R171" s="9" t="n">
        <v>0</v>
      </c>
      <c r="S171" s="9" t="n">
        <v>6</v>
      </c>
      <c r="T171" s="9" t="n">
        <v>529</v>
      </c>
      <c r="U171" s="10" t="n">
        <v>1751</v>
      </c>
      <c r="V171" s="10" t="n">
        <v>0</v>
      </c>
      <c r="W171" s="10" t="n">
        <v>0</v>
      </c>
      <c r="X171" s="10" t="n">
        <v>1751</v>
      </c>
      <c r="Y171" s="10" t="n">
        <v>0</v>
      </c>
    </row>
    <row r="172">
      <c r="A172" s="7" t="n">
        <v>170</v>
      </c>
      <c r="B172" s="8" t="inlineStr">
        <is>
          <t>Polling Station 170</t>
        </is>
      </c>
      <c r="C172" s="9" t="n">
        <v>171</v>
      </c>
      <c r="D172" s="9" t="n">
        <v>0</v>
      </c>
      <c r="E172" s="9" t="n">
        <v>1</v>
      </c>
      <c r="F172" s="9" t="n">
        <v>215</v>
      </c>
      <c r="G172" s="9" t="n">
        <v>337</v>
      </c>
      <c r="H172" s="9" t="n">
        <v>4</v>
      </c>
      <c r="I172" s="9" t="n">
        <v>4</v>
      </c>
      <c r="J172" s="9" t="n">
        <v>4</v>
      </c>
      <c r="K172" s="9" t="n">
        <v>2</v>
      </c>
      <c r="L172" s="9" t="n">
        <v>1</v>
      </c>
      <c r="M172" s="9" t="n">
        <v>2</v>
      </c>
      <c r="N172" s="9" t="n">
        <v>10</v>
      </c>
      <c r="O172" s="9" t="n">
        <v>7</v>
      </c>
      <c r="P172" s="9" t="n">
        <v>10</v>
      </c>
      <c r="Q172" s="9" t="n">
        <v>641</v>
      </c>
      <c r="R172" s="9" t="n">
        <v>0</v>
      </c>
      <c r="S172" s="9" t="n">
        <v>7</v>
      </c>
      <c r="T172" s="9" t="n">
        <v>648</v>
      </c>
      <c r="U172" s="10" t="n">
        <v>2064</v>
      </c>
      <c r="V172" s="10" t="n">
        <v>0</v>
      </c>
      <c r="W172" s="10" t="n">
        <v>0</v>
      </c>
      <c r="X172" s="10" t="n">
        <v>2064</v>
      </c>
      <c r="Y172" s="10" t="n">
        <v>0</v>
      </c>
    </row>
    <row r="173">
      <c r="A173" s="7" t="n">
        <v>171</v>
      </c>
      <c r="B173" s="8" t="inlineStr">
        <is>
          <t>lam</t>
        </is>
      </c>
      <c r="C173" s="9" t="n">
        <v>172</v>
      </c>
      <c r="D173" s="9" t="n">
        <v>132</v>
      </c>
      <c r="E173" s="9" t="n">
        <v>13</v>
      </c>
      <c r="F173" s="9" t="n">
        <v>297</v>
      </c>
      <c r="G173" s="9" t="n">
        <v>510</v>
      </c>
      <c r="H173" s="9" t="n">
        <v>3</v>
      </c>
      <c r="I173" s="9" t="n">
        <v>3</v>
      </c>
      <c r="J173" s="9" t="n">
        <v>2</v>
      </c>
      <c r="K173" s="9" t="n">
        <v>3</v>
      </c>
      <c r="L173" s="9" t="n">
        <v>5</v>
      </c>
      <c r="M173" s="9" t="n">
        <v>6</v>
      </c>
      <c r="N173" s="9" t="n">
        <v>13</v>
      </c>
      <c r="O173" s="9" t="n">
        <v>13</v>
      </c>
      <c r="P173" s="9" t="n">
        <v>7</v>
      </c>
      <c r="Q173" s="9" t="n">
        <v>1017</v>
      </c>
      <c r="R173" s="9" t="n">
        <v>0</v>
      </c>
      <c r="S173" s="9" t="n">
        <v>26</v>
      </c>
      <c r="T173" s="9" t="n">
        <v>1043</v>
      </c>
      <c r="U173" s="10" t="n">
        <v>3265</v>
      </c>
      <c r="V173" s="10" t="n">
        <v>0</v>
      </c>
      <c r="W173" s="10" t="n">
        <v>0</v>
      </c>
      <c r="X173" s="10" t="n">
        <v>3265</v>
      </c>
      <c r="Y173" s="10" t="n">
        <v>0</v>
      </c>
    </row>
    <row r="174">
      <c r="A174" s="7" t="n">
        <v>172</v>
      </c>
      <c r="B174" s="8" t="inlineStr">
        <is>
          <t>Polling Station 172</t>
        </is>
      </c>
      <c r="C174" s="9" t="n">
        <v>173</v>
      </c>
      <c r="D174" s="9" t="n">
        <v>27</v>
      </c>
      <c r="E174" s="9" t="n">
        <v>17</v>
      </c>
      <c r="F174" s="9" t="n">
        <v>238</v>
      </c>
      <c r="G174" s="9" t="n">
        <v>411</v>
      </c>
      <c r="H174" s="9" t="n">
        <v>5</v>
      </c>
      <c r="I174" s="9" t="n">
        <v>3</v>
      </c>
      <c r="J174" s="9" t="n">
        <v>3</v>
      </c>
      <c r="K174" s="9" t="n">
        <v>0</v>
      </c>
      <c r="L174" s="9" t="n">
        <v>3</v>
      </c>
      <c r="M174" s="9" t="n">
        <v>2</v>
      </c>
      <c r="N174" s="9" t="n">
        <v>16</v>
      </c>
      <c r="O174" s="9" t="n">
        <v>7</v>
      </c>
      <c r="P174" s="9" t="n">
        <v>12</v>
      </c>
      <c r="Q174" s="9" t="n">
        <v>754</v>
      </c>
      <c r="R174" s="9" t="n">
        <v>0</v>
      </c>
      <c r="S174" s="9" t="n">
        <v>10</v>
      </c>
      <c r="T174" s="9" t="n">
        <v>764</v>
      </c>
      <c r="U174" s="10" t="n">
        <v>2445</v>
      </c>
      <c r="V174" s="10" t="n">
        <v>0</v>
      </c>
      <c r="W174" s="10" t="n">
        <v>0</v>
      </c>
      <c r="X174" s="10" t="n">
        <v>2445</v>
      </c>
      <c r="Y174" s="10" t="n">
        <v>0</v>
      </c>
    </row>
    <row r="175">
      <c r="A175" s="7" t="n">
        <v>173</v>
      </c>
      <c r="B175" s="8" t="inlineStr">
        <is>
          <t>Polling Station 173</t>
        </is>
      </c>
      <c r="C175" s="9" t="n">
        <v>174</v>
      </c>
      <c r="D175" s="9" t="n">
        <v>7</v>
      </c>
      <c r="E175" s="9" t="n">
        <v>5</v>
      </c>
      <c r="F175" s="9" t="n">
        <v>127</v>
      </c>
      <c r="G175" s="9" t="n">
        <v>508</v>
      </c>
      <c r="H175" s="9" t="n">
        <v>4</v>
      </c>
      <c r="I175" s="9" t="n">
        <v>4</v>
      </c>
      <c r="J175" s="9" t="n">
        <v>2</v>
      </c>
      <c r="K175" s="9" t="n">
        <v>8</v>
      </c>
      <c r="L175" s="9" t="n">
        <v>1</v>
      </c>
      <c r="M175" s="9" t="n">
        <v>6</v>
      </c>
      <c r="N175" s="9" t="n">
        <v>1</v>
      </c>
      <c r="O175" s="9" t="n">
        <v>1</v>
      </c>
      <c r="P175" s="9" t="n">
        <v>11</v>
      </c>
      <c r="Q175" s="9" t="n">
        <v>795</v>
      </c>
      <c r="R175" s="9" t="n">
        <v>0</v>
      </c>
      <c r="S175" s="9" t="n">
        <v>4</v>
      </c>
      <c r="T175" s="9" t="n">
        <v>799</v>
      </c>
      <c r="U175" s="10" t="n">
        <v>2457</v>
      </c>
      <c r="V175" s="10" t="n">
        <v>0</v>
      </c>
      <c r="W175" s="10" t="n">
        <v>0</v>
      </c>
      <c r="X175" s="10" t="n">
        <v>2457</v>
      </c>
      <c r="Y175" s="10" t="n">
        <v>0</v>
      </c>
    </row>
    <row r="176">
      <c r="A176" s="7" t="n">
        <v>174</v>
      </c>
      <c r="B176" s="8" t="inlineStr">
        <is>
          <t>| 174</t>
        </is>
      </c>
      <c r="C176" s="9" t="n">
        <v>175</v>
      </c>
      <c r="D176" s="9" t="n">
        <v>68</v>
      </c>
      <c r="E176" s="9" t="n">
        <v>10</v>
      </c>
      <c r="F176" s="9" t="n">
        <v>279</v>
      </c>
      <c r="G176" s="9" t="n">
        <v>313</v>
      </c>
      <c r="H176" s="9" t="n">
        <v>2</v>
      </c>
      <c r="I176" s="9" t="n">
        <v>1</v>
      </c>
      <c r="J176" s="9" t="n">
        <v>2</v>
      </c>
      <c r="K176" s="9" t="n">
        <v>0</v>
      </c>
      <c r="L176" s="9" t="n">
        <v>1</v>
      </c>
      <c r="M176" s="9" t="n">
        <v>1</v>
      </c>
      <c r="N176" s="9" t="n">
        <v>5</v>
      </c>
      <c r="O176" s="9" t="n">
        <v>9</v>
      </c>
      <c r="P176" s="9" t="n">
        <v>3</v>
      </c>
      <c r="Q176" s="9" t="n">
        <v>694</v>
      </c>
      <c r="R176" s="9" t="n">
        <v>0</v>
      </c>
      <c r="S176" s="9" t="n">
        <v>3</v>
      </c>
      <c r="T176" s="9" t="n">
        <v>697</v>
      </c>
      <c r="U176" s="10" t="n">
        <v>2263</v>
      </c>
      <c r="V176" s="10" t="n">
        <v>0</v>
      </c>
      <c r="W176" s="10" t="n">
        <v>0</v>
      </c>
      <c r="X176" s="10" t="n">
        <v>2263</v>
      </c>
      <c r="Y176" s="10" t="n">
        <v>0</v>
      </c>
    </row>
    <row r="177">
      <c r="A177" s="7" t="n">
        <v>175</v>
      </c>
      <c r="B177" s="8" t="inlineStr">
        <is>
          <t>Polling Station 175</t>
        </is>
      </c>
      <c r="C177" s="9" t="n">
        <v>176</v>
      </c>
      <c r="D177" s="9" t="n">
        <v>0</v>
      </c>
      <c r="E177" s="9" t="n">
        <v>4</v>
      </c>
      <c r="F177" s="9" t="n">
        <v>211</v>
      </c>
      <c r="G177" s="9" t="n">
        <v>176</v>
      </c>
      <c r="H177" s="9" t="n">
        <v>4</v>
      </c>
      <c r="I177" s="9" t="n">
        <v>1</v>
      </c>
      <c r="J177" s="9" t="n">
        <v>2</v>
      </c>
      <c r="K177" s="9" t="n">
        <v>1</v>
      </c>
      <c r="L177" s="9" t="n">
        <v>0</v>
      </c>
      <c r="M177" s="9" t="n">
        <v>0</v>
      </c>
      <c r="N177" s="9" t="n">
        <v>6</v>
      </c>
      <c r="O177" s="9" t="n">
        <v>8</v>
      </c>
      <c r="P177" s="9" t="n">
        <v>0</v>
      </c>
      <c r="Q177" s="9" t="n">
        <v>496</v>
      </c>
      <c r="R177" s="9" t="n">
        <v>0</v>
      </c>
      <c r="S177" s="9" t="n">
        <v>5</v>
      </c>
      <c r="T177" s="9" t="n">
        <v>501</v>
      </c>
      <c r="U177" s="10" t="n">
        <v>1591</v>
      </c>
      <c r="V177" s="10" t="n">
        <v>0</v>
      </c>
      <c r="W177" s="10" t="n">
        <v>0</v>
      </c>
      <c r="X177" s="10" t="n">
        <v>1591</v>
      </c>
      <c r="Y177" s="10" t="n">
        <v>0</v>
      </c>
    </row>
    <row r="178">
      <c r="A178" s="7" t="n">
        <v>176</v>
      </c>
      <c r="B178" s="8" t="inlineStr">
        <is>
          <t>| 176</t>
        </is>
      </c>
      <c r="C178" s="9" t="n">
        <v>177</v>
      </c>
      <c r="D178" s="9" t="n">
        <v>0</v>
      </c>
      <c r="E178" s="9" t="n">
        <v>3</v>
      </c>
      <c r="F178" s="9" t="n">
        <v>69</v>
      </c>
      <c r="G178" s="9" t="n">
        <v>370</v>
      </c>
      <c r="H178" s="9" t="n">
        <v>3</v>
      </c>
      <c r="I178" s="9" t="n">
        <v>3</v>
      </c>
      <c r="J178" s="9" t="n">
        <v>2</v>
      </c>
      <c r="K178" s="9" t="n">
        <v>5</v>
      </c>
      <c r="L178" s="9" t="n">
        <v>0</v>
      </c>
      <c r="M178" s="9" t="n">
        <v>0</v>
      </c>
      <c r="N178" s="9" t="n">
        <v>5</v>
      </c>
      <c r="O178" s="9" t="n">
        <v>12</v>
      </c>
      <c r="P178" s="9" t="n">
        <v>4</v>
      </c>
      <c r="Q178" s="9" t="n">
        <v>498</v>
      </c>
      <c r="R178" s="9" t="n">
        <v>0</v>
      </c>
      <c r="S178" s="9" t="n">
        <v>2</v>
      </c>
      <c r="T178" s="9" t="n">
        <v>500</v>
      </c>
      <c r="U178" s="10" t="n">
        <v>1653</v>
      </c>
      <c r="V178" s="10" t="n">
        <v>0</v>
      </c>
      <c r="W178" s="10" t="n">
        <v>0</v>
      </c>
      <c r="X178" s="10" t="n">
        <v>1653</v>
      </c>
      <c r="Y178" s="10" t="n">
        <v>0</v>
      </c>
    </row>
    <row r="179">
      <c r="A179" s="7" t="n">
        <v>177</v>
      </c>
      <c r="B179" s="8" t="inlineStr">
        <is>
          <t>Polling Station 177</t>
        </is>
      </c>
      <c r="C179" s="9" t="n">
        <v>178</v>
      </c>
      <c r="D179" s="9" t="n">
        <v>0</v>
      </c>
      <c r="E179" s="9" t="n">
        <v>5</v>
      </c>
      <c r="F179" s="9" t="n">
        <v>103</v>
      </c>
      <c r="G179" s="9" t="n">
        <v>107</v>
      </c>
      <c r="H179" s="9" t="n">
        <v>1</v>
      </c>
      <c r="I179" s="9" t="n">
        <v>1</v>
      </c>
      <c r="J179" s="9" t="n">
        <v>0</v>
      </c>
      <c r="K179" s="9" t="n">
        <v>0</v>
      </c>
      <c r="L179" s="9" t="n">
        <v>1</v>
      </c>
      <c r="M179" s="9" t="n">
        <v>0</v>
      </c>
      <c r="N179" s="9" t="n">
        <v>8</v>
      </c>
      <c r="O179" s="9" t="n">
        <v>5</v>
      </c>
      <c r="P179" s="9" t="n">
        <v>4</v>
      </c>
      <c r="Q179" s="9" t="n">
        <v>269</v>
      </c>
      <c r="R179" s="9" t="n">
        <v>0</v>
      </c>
      <c r="S179" s="9" t="n">
        <v>2</v>
      </c>
      <c r="T179" s="9" t="n">
        <v>271</v>
      </c>
      <c r="U179" s="10" t="n">
        <v>955</v>
      </c>
      <c r="V179" s="10" t="n">
        <v>0</v>
      </c>
      <c r="W179" s="10" t="n">
        <v>0</v>
      </c>
      <c r="X179" s="10" t="n">
        <v>955</v>
      </c>
      <c r="Y179" s="10" t="n">
        <v>0</v>
      </c>
    </row>
    <row r="180">
      <c r="A180" s="7" t="n">
        <v>178</v>
      </c>
      <c r="B180" s="8" t="inlineStr">
        <is>
          <t>Polling Station 178</t>
        </is>
      </c>
      <c r="C180" s="9" t="n">
        <v>179</v>
      </c>
      <c r="D180" s="9" t="n">
        <v>0</v>
      </c>
      <c r="E180" s="9" t="n">
        <v>1</v>
      </c>
      <c r="F180" s="9" t="n">
        <v>142</v>
      </c>
      <c r="G180" s="9" t="n">
        <v>146</v>
      </c>
      <c r="H180" s="9" t="n">
        <v>1</v>
      </c>
      <c r="I180" s="9" t="n">
        <v>0</v>
      </c>
      <c r="J180" s="9" t="n">
        <v>0</v>
      </c>
      <c r="K180" s="9" t="n">
        <v>2</v>
      </c>
      <c r="L180" s="9" t="n">
        <v>1</v>
      </c>
      <c r="M180" s="9" t="n">
        <v>0</v>
      </c>
      <c r="N180" s="9" t="n">
        <v>4</v>
      </c>
      <c r="O180" s="9" t="n">
        <v>5</v>
      </c>
      <c r="P180" s="9" t="n">
        <v>8</v>
      </c>
      <c r="Q180" s="9" t="n">
        <v>315</v>
      </c>
      <c r="R180" s="9" t="n">
        <v>0</v>
      </c>
      <c r="S180" s="9" t="n">
        <v>3</v>
      </c>
      <c r="T180" s="9" t="n">
        <v>318</v>
      </c>
      <c r="U180" s="10" t="n">
        <v>1125</v>
      </c>
      <c r="V180" s="10" t="n">
        <v>0</v>
      </c>
      <c r="W180" s="10" t="n">
        <v>0</v>
      </c>
      <c r="X180" s="10" t="n">
        <v>1125</v>
      </c>
      <c r="Y180" s="10" t="n">
        <v>0</v>
      </c>
    </row>
    <row r="181">
      <c r="A181" s="7" t="n">
        <v>179</v>
      </c>
      <c r="B181" s="8" t="inlineStr">
        <is>
          <t>Polling Station 179</t>
        </is>
      </c>
      <c r="C181" s="9" t="n">
        <v>180</v>
      </c>
      <c r="D181" s="9" t="n">
        <v>0</v>
      </c>
      <c r="E181" s="9" t="n">
        <v>2</v>
      </c>
      <c r="F181" s="9" t="n">
        <v>119</v>
      </c>
      <c r="G181" s="9" t="n">
        <v>570</v>
      </c>
      <c r="H181" s="9" t="n">
        <v>8</v>
      </c>
      <c r="I181" s="9" t="n">
        <v>1</v>
      </c>
      <c r="J181" s="9" t="n">
        <v>0</v>
      </c>
      <c r="K181" s="9" t="n">
        <v>4</v>
      </c>
      <c r="L181" s="9" t="n">
        <v>0</v>
      </c>
      <c r="M181" s="9" t="n">
        <v>0</v>
      </c>
      <c r="N181" s="9" t="n">
        <v>26</v>
      </c>
      <c r="O181" s="9" t="n">
        <v>7</v>
      </c>
      <c r="P181" s="9" t="n">
        <v>0</v>
      </c>
      <c r="Q181" s="9" t="n">
        <v>842</v>
      </c>
      <c r="R181" s="9" t="n">
        <v>0</v>
      </c>
      <c r="S181" s="9" t="n">
        <v>11</v>
      </c>
      <c r="T181" s="9" t="n">
        <v>853</v>
      </c>
      <c r="U181" s="10" t="n">
        <v>2623</v>
      </c>
      <c r="V181" s="10" t="n">
        <v>0</v>
      </c>
      <c r="W181" s="10" t="n">
        <v>0</v>
      </c>
      <c r="X181" s="10" t="n">
        <v>2623</v>
      </c>
      <c r="Y181" s="10" t="n">
        <v>0</v>
      </c>
    </row>
    <row r="182">
      <c r="A182" s="7" t="n">
        <v>180</v>
      </c>
      <c r="B182" s="8" t="inlineStr">
        <is>
          <t>Polling Station 180</t>
        </is>
      </c>
      <c r="C182" s="9" t="n">
        <v>181</v>
      </c>
      <c r="D182" s="9" t="n">
        <v>39</v>
      </c>
      <c r="E182" s="9" t="n">
        <v>0</v>
      </c>
      <c r="F182" s="9" t="n">
        <v>335</v>
      </c>
      <c r="G182" s="9" t="n">
        <v>344</v>
      </c>
      <c r="H182" s="9" t="n">
        <v>3</v>
      </c>
      <c r="I182" s="9" t="n">
        <v>3</v>
      </c>
      <c r="J182" s="9" t="n">
        <v>0</v>
      </c>
      <c r="K182" s="9" t="n">
        <v>3</v>
      </c>
      <c r="L182" s="9" t="n">
        <v>0</v>
      </c>
      <c r="M182" s="9" t="n">
        <v>0</v>
      </c>
      <c r="N182" s="9" t="n">
        <v>18</v>
      </c>
      <c r="O182" s="9" t="n">
        <v>20</v>
      </c>
      <c r="P182" s="9" t="n">
        <v>0</v>
      </c>
      <c r="Q182" s="9" t="n">
        <v>784</v>
      </c>
      <c r="R182" s="9" t="n">
        <v>0</v>
      </c>
      <c r="S182" s="9" t="n">
        <v>7</v>
      </c>
      <c r="T182" s="9" t="n">
        <v>791</v>
      </c>
      <c r="U182" s="10" t="n">
        <v>2528</v>
      </c>
      <c r="V182" s="10" t="n">
        <v>0</v>
      </c>
      <c r="W182" s="10" t="n">
        <v>0</v>
      </c>
      <c r="X182" s="10" t="n">
        <v>2528</v>
      </c>
      <c r="Y182" s="10" t="n">
        <v>0</v>
      </c>
    </row>
    <row r="183">
      <c r="A183" s="7" t="n">
        <v>182</v>
      </c>
      <c r="B183" s="8" t="inlineStr">
        <is>
          <t>Polling Station 182</t>
        </is>
      </c>
      <c r="C183" s="9" t="n">
        <v>183</v>
      </c>
      <c r="D183" s="9" t="n">
        <v>49</v>
      </c>
      <c r="E183" s="9" t="n">
        <v>0</v>
      </c>
      <c r="F183" s="9" t="n">
        <v>108</v>
      </c>
      <c r="G183" s="9" t="n">
        <v>263</v>
      </c>
      <c r="H183" s="9" t="n">
        <v>0</v>
      </c>
      <c r="I183" s="9" t="n">
        <v>2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1</v>
      </c>
      <c r="P183" s="9" t="n">
        <v>0</v>
      </c>
      <c r="Q183" s="9" t="n">
        <v>438</v>
      </c>
      <c r="R183" s="9" t="n">
        <v>0</v>
      </c>
      <c r="S183" s="9" t="n">
        <v>6</v>
      </c>
      <c r="T183" s="9" t="n">
        <v>444</v>
      </c>
      <c r="U183" s="10" t="n">
        <v>1494</v>
      </c>
      <c r="V183" s="10" t="n">
        <v>0</v>
      </c>
      <c r="W183" s="10" t="n">
        <v>0</v>
      </c>
      <c r="X183" s="10" t="n">
        <v>1494</v>
      </c>
      <c r="Y183" s="10" t="n">
        <v>0</v>
      </c>
    </row>
    <row r="184">
      <c r="A184" s="7" t="n">
        <v>183</v>
      </c>
      <c r="B184" s="8" t="inlineStr">
        <is>
          <t>Polling Station 183</t>
        </is>
      </c>
      <c r="C184" s="9" t="n">
        <v>184</v>
      </c>
      <c r="D184" s="9" t="n">
        <v>53</v>
      </c>
      <c r="E184" s="9" t="n">
        <v>0</v>
      </c>
      <c r="F184" s="9" t="n">
        <v>253</v>
      </c>
      <c r="G184" s="9" t="n">
        <v>437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20</v>
      </c>
      <c r="O184" s="9" t="n">
        <v>0</v>
      </c>
      <c r="P184" s="9" t="n">
        <v>0</v>
      </c>
      <c r="Q184" s="9" t="n">
        <v>797</v>
      </c>
      <c r="R184" s="9" t="n">
        <v>0</v>
      </c>
      <c r="S184" s="9" t="n">
        <v>0</v>
      </c>
      <c r="T184" s="9" t="n">
        <v>808</v>
      </c>
      <c r="U184" s="10" t="n">
        <v>2552</v>
      </c>
      <c r="V184" s="10" t="n">
        <v>0</v>
      </c>
      <c r="W184" s="10" t="n">
        <v>0</v>
      </c>
      <c r="X184" s="10" t="n">
        <v>2552</v>
      </c>
      <c r="Y184" s="10" t="n">
        <v>0</v>
      </c>
    </row>
    <row r="185">
      <c r="A185" s="7" t="n">
        <v>184</v>
      </c>
      <c r="B185" s="8" t="inlineStr">
        <is>
          <t>Polling Station 184</t>
        </is>
      </c>
      <c r="C185" s="9" t="n">
        <v>185</v>
      </c>
      <c r="D185" s="9" t="n">
        <v>95</v>
      </c>
      <c r="E185" s="9" t="n">
        <v>0</v>
      </c>
      <c r="F185" s="9" t="n">
        <v>0</v>
      </c>
      <c r="G185" s="9" t="n">
        <v>42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10</v>
      </c>
      <c r="O185" s="9" t="n">
        <v>3</v>
      </c>
      <c r="P185" s="9" t="n">
        <v>0</v>
      </c>
      <c r="Q185" s="9" t="n">
        <v>858</v>
      </c>
      <c r="R185" s="9" t="n">
        <v>0</v>
      </c>
      <c r="S185" s="9" t="n">
        <v>9</v>
      </c>
      <c r="T185" s="9" t="n">
        <v>867</v>
      </c>
      <c r="U185" s="10" t="n">
        <v>2069</v>
      </c>
      <c r="V185" s="10" t="n">
        <v>0</v>
      </c>
      <c r="W185" s="10" t="n">
        <v>0</v>
      </c>
      <c r="X185" s="10" t="n">
        <v>2069</v>
      </c>
      <c r="Y185" s="10" t="n">
        <v>0</v>
      </c>
    </row>
    <row r="186">
      <c r="A186" s="7" t="n">
        <v>185</v>
      </c>
      <c r="B186" s="8" t="inlineStr">
        <is>
          <t>| 185</t>
        </is>
      </c>
      <c r="C186" s="9" t="n">
        <v>186</v>
      </c>
      <c r="D186" s="9" t="n">
        <v>105</v>
      </c>
      <c r="E186" s="9" t="n">
        <v>0</v>
      </c>
      <c r="F186" s="9" t="n">
        <v>146</v>
      </c>
      <c r="G186" s="9" t="n">
        <v>310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23</v>
      </c>
      <c r="O186" s="9" t="n">
        <v>0</v>
      </c>
      <c r="P186" s="9" t="n">
        <v>0</v>
      </c>
      <c r="Q186" s="9" t="n">
        <v>634</v>
      </c>
      <c r="R186" s="9" t="n">
        <v>0</v>
      </c>
      <c r="S186" s="9" t="n">
        <v>10</v>
      </c>
      <c r="T186" s="9" t="n">
        <v>644</v>
      </c>
      <c r="U186" s="10" t="n">
        <v>2058</v>
      </c>
      <c r="V186" s="10" t="n">
        <v>0</v>
      </c>
      <c r="W186" s="10" t="n">
        <v>0</v>
      </c>
      <c r="X186" s="10" t="n">
        <v>2058</v>
      </c>
      <c r="Y186" s="10" t="n">
        <v>0</v>
      </c>
    </row>
    <row r="187">
      <c r="A187" s="7" t="n">
        <v>186</v>
      </c>
      <c r="B187" s="8" t="inlineStr">
        <is>
          <t>Polling Station 186</t>
        </is>
      </c>
      <c r="C187" s="9" t="n">
        <v>187</v>
      </c>
      <c r="D187" s="9" t="n">
        <v>0</v>
      </c>
      <c r="E187" s="9" t="n">
        <v>0</v>
      </c>
      <c r="F187" s="9" t="n">
        <v>98</v>
      </c>
      <c r="G187" s="9" t="n">
        <v>325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10</v>
      </c>
      <c r="O187" s="9" t="n">
        <v>0</v>
      </c>
      <c r="P187" s="9" t="n">
        <v>8</v>
      </c>
      <c r="Q187" s="9" t="n">
        <v>525</v>
      </c>
      <c r="R187" s="9" t="n">
        <v>0</v>
      </c>
      <c r="S187" s="9" t="n">
        <v>14</v>
      </c>
      <c r="T187" s="9" t="n">
        <v>539</v>
      </c>
      <c r="U187" s="10" t="n">
        <v>1706</v>
      </c>
      <c r="V187" s="10" t="n">
        <v>0</v>
      </c>
      <c r="W187" s="10" t="n">
        <v>0</v>
      </c>
      <c r="X187" s="10" t="n">
        <v>1706</v>
      </c>
      <c r="Y187" s="10" t="n">
        <v>0</v>
      </c>
    </row>
    <row r="188">
      <c r="A188" s="7" t="n">
        <v>187</v>
      </c>
      <c r="B188" s="8" t="inlineStr">
        <is>
          <t>Polling Station 187</t>
        </is>
      </c>
      <c r="C188" s="9" t="n">
        <v>182</v>
      </c>
      <c r="D188" s="9" t="n">
        <v>0</v>
      </c>
      <c r="E188" s="9" t="n">
        <v>0</v>
      </c>
      <c r="F188" s="9" t="n">
        <v>128</v>
      </c>
      <c r="G188" s="9" t="n">
        <v>228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400</v>
      </c>
      <c r="R188" s="9" t="n">
        <v>0</v>
      </c>
      <c r="S188" s="9" t="n">
        <v>3</v>
      </c>
      <c r="T188" s="9" t="n">
        <v>403</v>
      </c>
      <c r="U188" s="10" t="n">
        <v>1344</v>
      </c>
      <c r="V188" s="10" t="n">
        <v>0</v>
      </c>
      <c r="W188" s="10" t="n">
        <v>0</v>
      </c>
      <c r="X188" s="10" t="n">
        <v>1344</v>
      </c>
      <c r="Y188" s="10" t="n">
        <v>0</v>
      </c>
    </row>
    <row r="189">
      <c r="A189" s="7" t="n">
        <v>188</v>
      </c>
      <c r="B189" s="8" t="inlineStr">
        <is>
          <t>Polling Station 188</t>
        </is>
      </c>
      <c r="C189" s="9" t="n">
        <v>188</v>
      </c>
      <c r="D189" s="9" t="n">
        <v>164</v>
      </c>
      <c r="E189" s="9" t="n">
        <v>0</v>
      </c>
      <c r="F189" s="9" t="n">
        <v>164</v>
      </c>
      <c r="G189" s="9" t="n">
        <v>42</v>
      </c>
      <c r="H189" s="9" t="n">
        <v>0</v>
      </c>
      <c r="I189" s="9" t="n">
        <v>0</v>
      </c>
      <c r="J189" s="9" t="n">
        <v>0</v>
      </c>
      <c r="K189" s="9" t="n">
        <v>37</v>
      </c>
      <c r="L189" s="9" t="n">
        <v>0</v>
      </c>
      <c r="M189" s="9" t="n">
        <v>0</v>
      </c>
      <c r="N189" s="9" t="n">
        <v>15</v>
      </c>
      <c r="O189" s="9" t="n">
        <v>0</v>
      </c>
      <c r="P189" s="9" t="n">
        <v>0</v>
      </c>
      <c r="Q189" s="9" t="n">
        <v>697</v>
      </c>
      <c r="R189" s="9" t="n">
        <v>0</v>
      </c>
      <c r="S189" s="9" t="n">
        <v>3</v>
      </c>
      <c r="T189" s="9" t="n">
        <v>700</v>
      </c>
      <c r="U189" s="10" t="n">
        <v>2010</v>
      </c>
      <c r="V189" s="10" t="n">
        <v>0</v>
      </c>
      <c r="W189" s="10" t="n">
        <v>0</v>
      </c>
      <c r="X189" s="10" t="n">
        <v>2010</v>
      </c>
      <c r="Y189" s="10" t="n">
        <v>0</v>
      </c>
    </row>
    <row r="190">
      <c r="A190" s="7" t="n">
        <v>189</v>
      </c>
      <c r="B190" s="8" t="inlineStr">
        <is>
          <t>Polling Station 189</t>
        </is>
      </c>
      <c r="C190" s="9" t="n">
        <v>19</v>
      </c>
      <c r="D190" s="9" t="n">
        <v>0</v>
      </c>
      <c r="E190" s="9" t="n">
        <v>0</v>
      </c>
      <c r="F190" s="9" t="n">
        <v>1203</v>
      </c>
      <c r="G190" s="9" t="n">
        <v>386</v>
      </c>
      <c r="H190" s="9" t="n">
        <v>0</v>
      </c>
      <c r="I190" s="9" t="n">
        <v>57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10</v>
      </c>
      <c r="O190" s="9" t="n">
        <v>0</v>
      </c>
      <c r="P190" s="9" t="n">
        <v>0</v>
      </c>
      <c r="Q190" s="9" t="n">
        <v>735</v>
      </c>
      <c r="R190" s="9" t="n">
        <v>0</v>
      </c>
      <c r="S190" s="9" t="n">
        <v>8</v>
      </c>
      <c r="T190" s="9" t="n">
        <v>743</v>
      </c>
      <c r="U190" s="10" t="n">
        <v>3161</v>
      </c>
      <c r="V190" s="10" t="n">
        <v>0</v>
      </c>
      <c r="W190" s="10" t="n">
        <v>0</v>
      </c>
      <c r="X190" s="10" t="n">
        <v>3161</v>
      </c>
      <c r="Y190" s="10" t="n">
        <v>0</v>
      </c>
    </row>
    <row r="191">
      <c r="A191" s="7" t="n">
        <v>190</v>
      </c>
      <c r="B191" s="8" t="inlineStr">
        <is>
          <t>| 190</t>
        </is>
      </c>
      <c r="C191" s="9" t="n">
        <v>191</v>
      </c>
      <c r="D191" s="9" t="n">
        <v>39</v>
      </c>
      <c r="E191" s="9" t="n">
        <v>2</v>
      </c>
      <c r="F191" s="9" t="n">
        <v>140</v>
      </c>
      <c r="G191" s="9" t="n">
        <v>215</v>
      </c>
      <c r="H191" s="9" t="n">
        <v>4</v>
      </c>
      <c r="I191" s="9" t="n">
        <v>4</v>
      </c>
      <c r="J191" s="9" t="n">
        <v>1</v>
      </c>
      <c r="K191" s="9" t="n">
        <v>0</v>
      </c>
      <c r="L191" s="9" t="n">
        <v>0</v>
      </c>
      <c r="M191" s="9" t="n">
        <v>1</v>
      </c>
      <c r="N191" s="9" t="n">
        <v>6</v>
      </c>
      <c r="O191" s="9" t="n">
        <v>8</v>
      </c>
      <c r="P191" s="9" t="n">
        <v>3</v>
      </c>
      <c r="Q191" s="9" t="n">
        <v>423</v>
      </c>
      <c r="R191" s="9" t="n">
        <v>0</v>
      </c>
      <c r="S191" s="9" t="n">
        <v>5</v>
      </c>
      <c r="T191" s="9" t="n">
        <v>428</v>
      </c>
      <c r="U191" s="10" t="n">
        <v>1470</v>
      </c>
      <c r="V191" s="10" t="n">
        <v>0</v>
      </c>
      <c r="W191" s="10" t="n">
        <v>0</v>
      </c>
      <c r="X191" s="10" t="n">
        <v>1470</v>
      </c>
      <c r="Y191" s="10" t="n">
        <v>0</v>
      </c>
    </row>
    <row r="192">
      <c r="A192" s="7" t="n">
        <v>191</v>
      </c>
      <c r="B192" s="8" t="inlineStr">
        <is>
          <t>| 191</t>
        </is>
      </c>
      <c r="C192" s="9" t="n">
        <v>182</v>
      </c>
      <c r="D192" s="9" t="n">
        <v>52</v>
      </c>
      <c r="E192" s="9" t="n">
        <v>8</v>
      </c>
      <c r="F192" s="9" t="n">
        <v>215</v>
      </c>
      <c r="G192" s="9" t="n">
        <v>355</v>
      </c>
      <c r="H192" s="9" t="n">
        <v>0</v>
      </c>
      <c r="I192" s="9" t="n">
        <v>2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7</v>
      </c>
      <c r="O192" s="9" t="n">
        <v>1</v>
      </c>
      <c r="P192" s="9" t="n">
        <v>0</v>
      </c>
      <c r="Q192" s="9" t="n">
        <v>674</v>
      </c>
      <c r="R192" s="9" t="n">
        <v>0</v>
      </c>
      <c r="S192" s="9" t="n">
        <v>3</v>
      </c>
      <c r="T192" s="9" t="n">
        <v>677</v>
      </c>
      <c r="U192" s="10" t="n">
        <v>2176</v>
      </c>
      <c r="V192" s="10" t="n">
        <v>0</v>
      </c>
      <c r="W192" s="10" t="n">
        <v>0</v>
      </c>
      <c r="X192" s="10" t="n">
        <v>2176</v>
      </c>
      <c r="Y192" s="10" t="n">
        <v>0</v>
      </c>
    </row>
    <row r="193">
      <c r="A193" s="7" t="n">
        <v>192</v>
      </c>
      <c r="B193" s="8" t="inlineStr">
        <is>
          <t>Polling Station 192</t>
        </is>
      </c>
      <c r="C193" s="9" t="n">
        <v>193</v>
      </c>
      <c r="D193" s="9" t="n">
        <v>7</v>
      </c>
      <c r="E193" s="9" t="n">
        <v>1</v>
      </c>
      <c r="F193" s="9" t="n">
        <v>151</v>
      </c>
      <c r="G193" s="9" t="n">
        <v>207</v>
      </c>
      <c r="H193" s="9" t="n">
        <v>0</v>
      </c>
      <c r="I193" s="9" t="n">
        <v>2</v>
      </c>
      <c r="J193" s="9" t="n">
        <v>0</v>
      </c>
      <c r="K193" s="9" t="n">
        <v>0</v>
      </c>
      <c r="L193" s="9" t="n">
        <v>0</v>
      </c>
      <c r="M193" s="9" t="n">
        <v>2</v>
      </c>
      <c r="N193" s="9" t="n">
        <v>3</v>
      </c>
      <c r="O193" s="9" t="n">
        <v>1</v>
      </c>
      <c r="P193" s="9" t="n">
        <v>3</v>
      </c>
      <c r="Q193" s="9" t="n">
        <v>479</v>
      </c>
      <c r="R193" s="9" t="n">
        <v>0</v>
      </c>
      <c r="S193" s="9" t="n">
        <v>5</v>
      </c>
      <c r="T193" s="9" t="n">
        <v>484</v>
      </c>
      <c r="U193" s="10" t="n">
        <v>1538</v>
      </c>
      <c r="V193" s="10" t="n">
        <v>0</v>
      </c>
      <c r="W193" s="10" t="n">
        <v>0</v>
      </c>
      <c r="X193" s="10" t="n">
        <v>1538</v>
      </c>
      <c r="Y193" s="10" t="n">
        <v>0</v>
      </c>
    </row>
    <row r="194">
      <c r="A194" s="7" t="n">
        <v>193</v>
      </c>
      <c r="B194" s="8" t="inlineStr">
        <is>
          <t>Polling Station 193</t>
        </is>
      </c>
      <c r="C194" s="9" t="n">
        <v>194</v>
      </c>
      <c r="D194" s="9" t="n">
        <v>44</v>
      </c>
      <c r="E194" s="9" t="n">
        <v>1</v>
      </c>
      <c r="F194" s="9" t="n">
        <v>143</v>
      </c>
      <c r="G194" s="9" t="n">
        <v>82</v>
      </c>
      <c r="H194" s="9" t="n">
        <v>0</v>
      </c>
      <c r="I194" s="9" t="n">
        <v>2</v>
      </c>
      <c r="J194" s="9" t="n">
        <v>0</v>
      </c>
      <c r="K194" s="9" t="n">
        <v>0</v>
      </c>
      <c r="L194" s="9" t="n">
        <v>1</v>
      </c>
      <c r="M194" s="9" t="n">
        <v>1</v>
      </c>
      <c r="N194" s="9" t="n">
        <v>0</v>
      </c>
      <c r="O194" s="9" t="n">
        <v>1</v>
      </c>
      <c r="P194" s="9" t="n">
        <v>3</v>
      </c>
      <c r="Q194" s="9" t="n">
        <v>288</v>
      </c>
      <c r="R194" s="9" t="n">
        <v>0</v>
      </c>
      <c r="S194" s="9" t="n">
        <v>0</v>
      </c>
      <c r="T194" s="9" t="n">
        <v>288</v>
      </c>
      <c r="U194" s="10" t="n">
        <v>1048</v>
      </c>
      <c r="V194" s="10" t="n">
        <v>0</v>
      </c>
      <c r="W194" s="10" t="n">
        <v>0</v>
      </c>
      <c r="X194" s="10" t="n">
        <v>1048</v>
      </c>
      <c r="Y194" s="10" t="n">
        <v>0</v>
      </c>
    </row>
    <row r="195">
      <c r="A195" s="7" t="n">
        <v>194</v>
      </c>
      <c r="B195" s="8" t="inlineStr">
        <is>
          <t>Polling Station 194</t>
        </is>
      </c>
      <c r="C195" s="9" t="n">
        <v>195</v>
      </c>
      <c r="D195" s="9" t="n">
        <v>45</v>
      </c>
      <c r="E195" s="9" t="n">
        <v>6</v>
      </c>
      <c r="F195" s="9" t="n">
        <v>117</v>
      </c>
      <c r="G195" s="9" t="n">
        <v>100</v>
      </c>
      <c r="H195" s="9" t="n">
        <v>3</v>
      </c>
      <c r="I195" s="9" t="n">
        <v>1</v>
      </c>
      <c r="J195" s="9" t="n">
        <v>0</v>
      </c>
      <c r="K195" s="9" t="n">
        <v>0</v>
      </c>
      <c r="L195" s="9" t="n">
        <v>2</v>
      </c>
      <c r="M195" s="9" t="n">
        <v>0</v>
      </c>
      <c r="N195" s="9" t="n">
        <v>4</v>
      </c>
      <c r="O195" s="9" t="n">
        <v>5</v>
      </c>
      <c r="P195" s="9" t="n">
        <v>1</v>
      </c>
      <c r="Q195" s="9" t="n">
        <v>284</v>
      </c>
      <c r="R195" s="9" t="n">
        <v>0</v>
      </c>
      <c r="S195" s="9" t="n">
        <v>0</v>
      </c>
      <c r="T195" s="9" t="n">
        <v>289</v>
      </c>
      <c r="U195" s="10" t="n">
        <v>1052</v>
      </c>
      <c r="V195" s="10" t="n">
        <v>0</v>
      </c>
      <c r="W195" s="10" t="n">
        <v>0</v>
      </c>
      <c r="X195" s="10" t="n">
        <v>1052</v>
      </c>
      <c r="Y195" s="10" t="n">
        <v>0</v>
      </c>
    </row>
    <row r="196">
      <c r="A196" s="7" t="n">
        <v>195</v>
      </c>
      <c r="B196" s="8" t="inlineStr">
        <is>
          <t>| 195</t>
        </is>
      </c>
      <c r="C196" s="9" t="n">
        <v>196</v>
      </c>
      <c r="D196" s="9" t="n">
        <v>63</v>
      </c>
      <c r="E196" s="9" t="n">
        <v>4</v>
      </c>
      <c r="F196" s="9" t="n">
        <v>161</v>
      </c>
      <c r="G196" s="9" t="n">
        <v>247</v>
      </c>
      <c r="H196" s="9" t="n">
        <v>1</v>
      </c>
      <c r="I196" s="9" t="n">
        <v>2</v>
      </c>
      <c r="J196" s="9" t="n">
        <v>2</v>
      </c>
      <c r="K196" s="9" t="n">
        <v>1</v>
      </c>
      <c r="L196" s="9" t="n">
        <v>1</v>
      </c>
      <c r="M196" s="9" t="n">
        <v>4</v>
      </c>
      <c r="N196" s="9" t="n">
        <v>4</v>
      </c>
      <c r="O196" s="9" t="n">
        <v>2</v>
      </c>
      <c r="P196" s="9" t="n">
        <v>2</v>
      </c>
      <c r="Q196" s="9" t="n">
        <v>494</v>
      </c>
      <c r="R196" s="9" t="n">
        <v>0</v>
      </c>
      <c r="S196" s="9" t="n">
        <v>5</v>
      </c>
      <c r="T196" s="9" t="n">
        <v>499</v>
      </c>
      <c r="U196" s="10" t="n">
        <v>1688</v>
      </c>
      <c r="V196" s="10" t="n">
        <v>0</v>
      </c>
      <c r="W196" s="10" t="n">
        <v>0</v>
      </c>
      <c r="X196" s="10" t="n">
        <v>1688</v>
      </c>
      <c r="Y196" s="10" t="n">
        <v>0</v>
      </c>
    </row>
    <row r="197">
      <c r="A197" s="7" t="n">
        <v>196</v>
      </c>
      <c r="B197" s="8" t="inlineStr">
        <is>
          <t>Polling Station 196</t>
        </is>
      </c>
      <c r="C197" s="9" t="n">
        <v>197</v>
      </c>
      <c r="D197" s="9" t="n">
        <v>4</v>
      </c>
      <c r="E197" s="9" t="n">
        <v>5</v>
      </c>
      <c r="F197" s="9" t="n">
        <v>124</v>
      </c>
      <c r="G197" s="9" t="n">
        <v>113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2</v>
      </c>
      <c r="M197" s="9" t="n">
        <v>1</v>
      </c>
      <c r="N197" s="9" t="n">
        <v>4</v>
      </c>
      <c r="O197" s="9" t="n">
        <v>6</v>
      </c>
      <c r="P197" s="9" t="n">
        <v>2</v>
      </c>
      <c r="Q197" s="9" t="n">
        <v>311</v>
      </c>
      <c r="R197" s="9" t="n">
        <v>0</v>
      </c>
      <c r="S197" s="9" t="n">
        <v>2</v>
      </c>
      <c r="T197" s="9" t="n">
        <v>313</v>
      </c>
      <c r="U197" s="10" t="n">
        <v>1084</v>
      </c>
      <c r="V197" s="10" t="n">
        <v>0</v>
      </c>
      <c r="W197" s="10" t="n">
        <v>0</v>
      </c>
      <c r="X197" s="10" t="n">
        <v>1084</v>
      </c>
      <c r="Y197" s="10" t="n">
        <v>0</v>
      </c>
    </row>
    <row r="198">
      <c r="A198" s="7" t="n">
        <v>197</v>
      </c>
      <c r="B198" s="8" t="inlineStr">
        <is>
          <t>Polling Station 197</t>
        </is>
      </c>
      <c r="C198" s="9" t="n">
        <v>198</v>
      </c>
      <c r="D198" s="9" t="n">
        <v>49</v>
      </c>
      <c r="E198" s="9" t="n">
        <v>2</v>
      </c>
      <c r="F198" s="9" t="n">
        <v>175</v>
      </c>
      <c r="G198" s="9" t="n">
        <v>213</v>
      </c>
      <c r="H198" s="9" t="n">
        <v>2</v>
      </c>
      <c r="I198" s="9" t="n">
        <v>1</v>
      </c>
      <c r="J198" s="9" t="n">
        <v>1</v>
      </c>
      <c r="K198" s="9" t="n">
        <v>0</v>
      </c>
      <c r="L198" s="9" t="n">
        <v>2</v>
      </c>
      <c r="M198" s="9" t="n">
        <v>1</v>
      </c>
      <c r="N198" s="9" t="n">
        <v>3</v>
      </c>
      <c r="O198" s="9" t="n">
        <v>0</v>
      </c>
      <c r="P198" s="9" t="n">
        <v>4</v>
      </c>
      <c r="Q198" s="9" t="n">
        <v>462</v>
      </c>
      <c r="R198" s="9" t="n">
        <v>0</v>
      </c>
      <c r="S198" s="9" t="n">
        <v>2</v>
      </c>
      <c r="T198" s="9" t="n">
        <v>464</v>
      </c>
      <c r="U198" s="10" t="n">
        <v>1579</v>
      </c>
      <c r="V198" s="10" t="n">
        <v>0</v>
      </c>
      <c r="W198" s="10" t="n">
        <v>0</v>
      </c>
      <c r="X198" s="10" t="n">
        <v>1579</v>
      </c>
      <c r="Y198" s="10" t="n">
        <v>0</v>
      </c>
    </row>
    <row r="199">
      <c r="A199" s="7" t="n">
        <v>198</v>
      </c>
      <c r="B199" s="8" t="inlineStr">
        <is>
          <t>Polling Station 198</t>
        </is>
      </c>
      <c r="C199" s="9" t="n">
        <v>199</v>
      </c>
      <c r="D199" s="9" t="n">
        <v>69</v>
      </c>
      <c r="E199" s="9" t="n">
        <v>2</v>
      </c>
      <c r="F199" s="9" t="n">
        <v>208</v>
      </c>
      <c r="G199" s="9" t="n">
        <v>314</v>
      </c>
      <c r="H199" s="9" t="n">
        <v>0</v>
      </c>
      <c r="I199" s="9" t="n">
        <v>3</v>
      </c>
      <c r="J199" s="9" t="n">
        <v>1</v>
      </c>
      <c r="K199" s="9" t="n">
        <v>0</v>
      </c>
      <c r="L199" s="9" t="n">
        <v>0</v>
      </c>
      <c r="M199" s="9" t="n">
        <v>0</v>
      </c>
      <c r="N199" s="9" t="n">
        <v>1</v>
      </c>
      <c r="O199" s="9" t="n">
        <v>0</v>
      </c>
      <c r="P199" s="9" t="n">
        <v>4</v>
      </c>
      <c r="Q199" s="9" t="n">
        <v>609</v>
      </c>
      <c r="R199" s="9" t="n">
        <v>0</v>
      </c>
      <c r="S199" s="9" t="n">
        <v>7</v>
      </c>
      <c r="T199" s="9" t="n">
        <v>616</v>
      </c>
      <c r="U199" s="10" t="n">
        <v>2033</v>
      </c>
      <c r="V199" s="10" t="n">
        <v>0</v>
      </c>
      <c r="W199" s="10" t="n">
        <v>0</v>
      </c>
      <c r="X199" s="10" t="n">
        <v>2033</v>
      </c>
      <c r="Y199" s="10" t="n">
        <v>0</v>
      </c>
    </row>
    <row r="200">
      <c r="A200" s="7" t="n">
        <v>199</v>
      </c>
      <c r="B200" s="8" t="inlineStr">
        <is>
          <t>Polling Station 199</t>
        </is>
      </c>
      <c r="C200" s="9" t="n">
        <v>200</v>
      </c>
      <c r="D200" s="9" t="n">
        <v>61</v>
      </c>
      <c r="E200" s="9" t="n">
        <v>2</v>
      </c>
      <c r="F200" s="9" t="n">
        <v>69</v>
      </c>
      <c r="G200" s="9" t="n">
        <v>211</v>
      </c>
      <c r="H200" s="9" t="n">
        <v>0</v>
      </c>
      <c r="I200" s="9" t="n">
        <v>1</v>
      </c>
      <c r="J200" s="9" t="n">
        <v>0</v>
      </c>
      <c r="K200" s="9" t="n">
        <v>0</v>
      </c>
      <c r="L200" s="9" t="n">
        <v>1</v>
      </c>
      <c r="M200" s="9" t="n">
        <v>0</v>
      </c>
      <c r="N200" s="9" t="n">
        <v>6</v>
      </c>
      <c r="O200" s="9" t="n">
        <v>0</v>
      </c>
      <c r="P200" s="9" t="n">
        <v>7</v>
      </c>
      <c r="Q200" s="9" t="n">
        <v>364</v>
      </c>
      <c r="R200" s="9" t="n">
        <v>0</v>
      </c>
      <c r="S200" s="9" t="n">
        <v>8</v>
      </c>
      <c r="T200" s="9" t="n">
        <v>372</v>
      </c>
      <c r="U200" s="10" t="n">
        <v>1302</v>
      </c>
      <c r="V200" s="10" t="n">
        <v>0</v>
      </c>
      <c r="W200" s="10" t="n">
        <v>0</v>
      </c>
      <c r="X200" s="10" t="n">
        <v>1302</v>
      </c>
      <c r="Y200" s="10" t="n">
        <v>0</v>
      </c>
    </row>
    <row r="201">
      <c r="A201" s="7" t="n">
        <v>200</v>
      </c>
      <c r="B201" s="8" t="inlineStr">
        <is>
          <t>Polling Station 200</t>
        </is>
      </c>
      <c r="C201" s="9" t="n">
        <v>201</v>
      </c>
      <c r="D201" s="9" t="n">
        <v>99</v>
      </c>
      <c r="E201" s="9" t="n">
        <v>4</v>
      </c>
      <c r="F201" s="9" t="n">
        <v>132</v>
      </c>
      <c r="G201" s="9" t="n">
        <v>318</v>
      </c>
      <c r="H201" s="9" t="n">
        <v>0</v>
      </c>
      <c r="I201" s="9" t="n">
        <v>5</v>
      </c>
      <c r="J201" s="9" t="n">
        <v>1</v>
      </c>
      <c r="K201" s="9" t="n">
        <v>2</v>
      </c>
      <c r="L201" s="9" t="n">
        <v>4</v>
      </c>
      <c r="M201" s="9" t="n">
        <v>6</v>
      </c>
      <c r="N201" s="9" t="n">
        <v>12</v>
      </c>
      <c r="O201" s="9" t="n">
        <v>0</v>
      </c>
      <c r="P201" s="9" t="n">
        <v>8</v>
      </c>
      <c r="Q201" s="9" t="n">
        <v>600</v>
      </c>
      <c r="R201" s="9" t="n">
        <v>0</v>
      </c>
      <c r="S201" s="9" t="n">
        <v>16</v>
      </c>
      <c r="T201" s="9" t="n">
        <v>616</v>
      </c>
      <c r="U201" s="10" t="n">
        <v>2024</v>
      </c>
      <c r="V201" s="10" t="n">
        <v>0</v>
      </c>
      <c r="W201" s="10" t="n">
        <v>0</v>
      </c>
      <c r="X201" s="10" t="n">
        <v>2024</v>
      </c>
      <c r="Y201" s="10" t="n">
        <v>0</v>
      </c>
    </row>
    <row r="202">
      <c r="A202" s="7" t="n">
        <v>201</v>
      </c>
      <c r="B202" s="8" t="inlineStr">
        <is>
          <t>| 201</t>
        </is>
      </c>
      <c r="C202" s="9" t="n">
        <v>202</v>
      </c>
      <c r="D202" s="9" t="n">
        <v>0</v>
      </c>
      <c r="E202" s="9" t="n">
        <v>7</v>
      </c>
      <c r="F202" s="9" t="n">
        <v>138</v>
      </c>
      <c r="G202" s="9" t="n">
        <v>365</v>
      </c>
      <c r="H202" s="9" t="n">
        <v>0</v>
      </c>
      <c r="I202" s="9" t="n">
        <v>1</v>
      </c>
      <c r="J202" s="9" t="n">
        <v>0</v>
      </c>
      <c r="K202" s="9" t="n">
        <v>0</v>
      </c>
      <c r="L202" s="9" t="n">
        <v>0</v>
      </c>
      <c r="M202" s="9" t="n">
        <v>1</v>
      </c>
      <c r="N202" s="9" t="n">
        <v>8</v>
      </c>
      <c r="O202" s="9" t="n">
        <v>0</v>
      </c>
      <c r="P202" s="9" t="n">
        <v>10</v>
      </c>
      <c r="Q202" s="9" t="n">
        <v>674</v>
      </c>
      <c r="R202" s="9" t="n">
        <v>0</v>
      </c>
      <c r="S202" s="9" t="n">
        <v>14</v>
      </c>
      <c r="T202" s="9" t="n">
        <v>688</v>
      </c>
      <c r="U202" s="10" t="n">
        <v>2108</v>
      </c>
      <c r="V202" s="10" t="n">
        <v>0</v>
      </c>
      <c r="W202" s="10" t="n">
        <v>0</v>
      </c>
      <c r="X202" s="10" t="n">
        <v>2108</v>
      </c>
      <c r="Y202" s="10" t="n">
        <v>0</v>
      </c>
    </row>
    <row r="203">
      <c r="A203" s="7" t="n">
        <v>202</v>
      </c>
      <c r="B203" s="8" t="inlineStr">
        <is>
          <t>| 202</t>
        </is>
      </c>
      <c r="C203" s="9" t="n">
        <v>203</v>
      </c>
      <c r="D203" s="9" t="n">
        <v>46</v>
      </c>
      <c r="E203" s="9" t="n">
        <v>0</v>
      </c>
      <c r="F203" s="9" t="n">
        <v>75</v>
      </c>
      <c r="G203" s="9" t="n">
        <v>303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14</v>
      </c>
      <c r="O203" s="9" t="n">
        <v>0</v>
      </c>
      <c r="P203" s="9" t="n">
        <v>13</v>
      </c>
      <c r="Q203" s="9" t="n">
        <v>477</v>
      </c>
      <c r="R203" s="9" t="n">
        <v>0</v>
      </c>
      <c r="S203" s="9" t="n">
        <v>0</v>
      </c>
      <c r="T203" s="9" t="n">
        <v>480</v>
      </c>
      <c r="U203" s="10" t="n">
        <v>1611</v>
      </c>
      <c r="V203" s="10" t="n">
        <v>0</v>
      </c>
      <c r="W203" s="10" t="n">
        <v>0</v>
      </c>
      <c r="X203" s="10" t="n">
        <v>1611</v>
      </c>
      <c r="Y203" s="10" t="n">
        <v>0</v>
      </c>
    </row>
    <row r="204">
      <c r="A204" s="7" t="n">
        <v>203</v>
      </c>
      <c r="B204" s="8" t="inlineStr">
        <is>
          <t>Polling Station 203</t>
        </is>
      </c>
      <c r="C204" s="9" t="n">
        <v>204</v>
      </c>
      <c r="D204" s="9" t="n">
        <v>0</v>
      </c>
      <c r="E204" s="9" t="n">
        <v>0</v>
      </c>
      <c r="F204" s="9" t="n">
        <v>0</v>
      </c>
      <c r="G204" s="9" t="n">
        <v>154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12</v>
      </c>
      <c r="O204" s="9" t="n">
        <v>0</v>
      </c>
      <c r="P204" s="9" t="n">
        <v>10</v>
      </c>
      <c r="Q204" s="9" t="n">
        <v>305</v>
      </c>
      <c r="R204" s="9" t="n">
        <v>0</v>
      </c>
      <c r="S204" s="9" t="n">
        <v>11</v>
      </c>
      <c r="T204" s="9" t="n">
        <v>316</v>
      </c>
      <c r="U204" s="10" t="n">
        <v>1012</v>
      </c>
      <c r="V204" s="10" t="n">
        <v>0</v>
      </c>
      <c r="W204" s="10" t="n">
        <v>0</v>
      </c>
      <c r="X204" s="10" t="n">
        <v>1012</v>
      </c>
      <c r="Y204" s="10" t="n">
        <v>0</v>
      </c>
    </row>
    <row r="205">
      <c r="A205" s="7" t="n">
        <v>204</v>
      </c>
      <c r="B205" s="8" t="inlineStr">
        <is>
          <t>Polling Station 204</t>
        </is>
      </c>
      <c r="C205" s="9" t="n">
        <v>205</v>
      </c>
      <c r="D205" s="9" t="n">
        <v>0</v>
      </c>
      <c r="E205" s="9" t="n">
        <v>0</v>
      </c>
      <c r="F205" s="9" t="n">
        <v>0</v>
      </c>
      <c r="G205" s="9" t="n">
        <v>252</v>
      </c>
      <c r="H205" s="9" t="n">
        <v>0</v>
      </c>
      <c r="I205" s="9" t="n">
        <v>0</v>
      </c>
      <c r="J205" s="9" t="n">
        <v>80</v>
      </c>
      <c r="K205" s="9" t="n">
        <v>0</v>
      </c>
      <c r="L205" s="9" t="n">
        <v>29</v>
      </c>
      <c r="M205" s="9" t="n">
        <v>0</v>
      </c>
      <c r="N205" s="9" t="n">
        <v>10</v>
      </c>
      <c r="O205" s="9" t="n">
        <v>0</v>
      </c>
      <c r="P205" s="9" t="n">
        <v>1</v>
      </c>
      <c r="Q205" s="9" t="n">
        <v>354</v>
      </c>
      <c r="R205" s="9" t="n">
        <v>0</v>
      </c>
      <c r="S205" s="9" t="n">
        <v>0</v>
      </c>
      <c r="T205" s="9" t="n">
        <v>355</v>
      </c>
      <c r="U205" s="10" t="n">
        <v>1286</v>
      </c>
      <c r="V205" s="10" t="n">
        <v>0</v>
      </c>
      <c r="W205" s="10" t="n">
        <v>0</v>
      </c>
      <c r="X205" s="10" t="n">
        <v>1286</v>
      </c>
      <c r="Y205" s="10" t="n">
        <v>0</v>
      </c>
    </row>
    <row r="206">
      <c r="A206" s="7" t="n">
        <v>205</v>
      </c>
      <c r="B206" s="8" t="inlineStr">
        <is>
          <t>Polling Station 205</t>
        </is>
      </c>
      <c r="C206" s="9" t="n">
        <v>206</v>
      </c>
      <c r="D206" s="9" t="n">
        <v>96</v>
      </c>
      <c r="E206" s="9" t="n">
        <v>0</v>
      </c>
      <c r="F206" s="9" t="n">
        <v>86</v>
      </c>
      <c r="G206" s="9" t="n">
        <v>278</v>
      </c>
      <c r="H206" s="9" t="n">
        <v>4</v>
      </c>
      <c r="I206" s="9" t="n">
        <v>0</v>
      </c>
      <c r="J206" s="9" t="n">
        <v>0</v>
      </c>
      <c r="K206" s="9" t="n">
        <v>4</v>
      </c>
      <c r="L206" s="9" t="n">
        <v>35</v>
      </c>
      <c r="M206" s="9" t="n">
        <v>0</v>
      </c>
      <c r="N206" s="9" t="n">
        <v>12</v>
      </c>
      <c r="O206" s="9" t="n">
        <v>0</v>
      </c>
      <c r="P206" s="9" t="n">
        <v>1</v>
      </c>
      <c r="Q206" s="9" t="n">
        <v>529</v>
      </c>
      <c r="R206" s="9" t="n">
        <v>0</v>
      </c>
      <c r="S206" s="9" t="n">
        <v>12</v>
      </c>
      <c r="T206" s="9" t="n">
        <v>541</v>
      </c>
      <c r="U206" s="10" t="n">
        <v>1804</v>
      </c>
      <c r="V206" s="10" t="n">
        <v>0</v>
      </c>
      <c r="W206" s="10" t="n">
        <v>0</v>
      </c>
      <c r="X206" s="10" t="n">
        <v>1804</v>
      </c>
      <c r="Y206" s="10" t="n">
        <v>0</v>
      </c>
    </row>
    <row r="207">
      <c r="A207" s="7" t="n">
        <v>206</v>
      </c>
      <c r="B207" s="8" t="inlineStr">
        <is>
          <t>Polling Station 206</t>
        </is>
      </c>
      <c r="C207" s="9" t="n">
        <v>207</v>
      </c>
      <c r="D207" s="9" t="n">
        <v>0</v>
      </c>
      <c r="E207" s="9" t="n">
        <v>0</v>
      </c>
      <c r="F207" s="9" t="n">
        <v>94</v>
      </c>
      <c r="G207" s="9" t="n">
        <v>340</v>
      </c>
      <c r="H207" s="9" t="n">
        <v>0</v>
      </c>
      <c r="I207" s="9" t="n">
        <v>1</v>
      </c>
      <c r="J207" s="9" t="n">
        <v>0</v>
      </c>
      <c r="K207" s="9" t="n">
        <v>0</v>
      </c>
      <c r="L207" s="9" t="n">
        <v>52</v>
      </c>
      <c r="M207" s="9" t="n">
        <v>0</v>
      </c>
      <c r="N207" s="9" t="n">
        <v>12</v>
      </c>
      <c r="O207" s="9" t="n">
        <v>2</v>
      </c>
      <c r="P207" s="9" t="n">
        <v>9</v>
      </c>
      <c r="Q207" s="9" t="n">
        <v>535</v>
      </c>
      <c r="R207" s="9" t="n">
        <v>0</v>
      </c>
      <c r="S207" s="9" t="n">
        <v>0</v>
      </c>
      <c r="T207" s="9" t="n">
        <v>542</v>
      </c>
      <c r="U207" s="10" t="n">
        <v>1794</v>
      </c>
      <c r="V207" s="10" t="n">
        <v>0</v>
      </c>
      <c r="W207" s="10" t="n">
        <v>0</v>
      </c>
      <c r="X207" s="10" t="n">
        <v>1794</v>
      </c>
      <c r="Y207" s="10" t="n">
        <v>0</v>
      </c>
    </row>
    <row r="208">
      <c r="A208" s="7" t="n">
        <v>207</v>
      </c>
      <c r="B208" s="8" t="inlineStr">
        <is>
          <t>| 207</t>
        </is>
      </c>
      <c r="C208" s="9" t="n">
        <v>208</v>
      </c>
      <c r="D208" s="9" t="n">
        <v>0</v>
      </c>
      <c r="E208" s="9" t="n">
        <v>0</v>
      </c>
      <c r="F208" s="9" t="n">
        <v>187</v>
      </c>
      <c r="G208" s="9" t="n">
        <v>45</v>
      </c>
      <c r="H208" s="9" t="n">
        <v>1</v>
      </c>
      <c r="I208" s="9" t="n">
        <v>0</v>
      </c>
      <c r="J208" s="9" t="n">
        <v>7</v>
      </c>
      <c r="K208" s="9" t="n">
        <v>0</v>
      </c>
      <c r="L208" s="9" t="n">
        <v>355</v>
      </c>
      <c r="M208" s="9" t="n">
        <v>0</v>
      </c>
      <c r="N208" s="9" t="n">
        <v>18</v>
      </c>
      <c r="O208" s="9" t="n">
        <v>0</v>
      </c>
      <c r="P208" s="9" t="n">
        <v>5</v>
      </c>
      <c r="Q208" s="9" t="n">
        <v>765</v>
      </c>
      <c r="R208" s="9" t="n">
        <v>0</v>
      </c>
      <c r="S208" s="9" t="n">
        <v>0</v>
      </c>
      <c r="T208" s="9" t="n">
        <v>769</v>
      </c>
      <c r="U208" s="10" t="n">
        <v>2360</v>
      </c>
      <c r="V208" s="10" t="n">
        <v>0</v>
      </c>
      <c r="W208" s="10" t="n">
        <v>0</v>
      </c>
      <c r="X208" s="10" t="n">
        <v>2360</v>
      </c>
      <c r="Y208" s="10" t="n">
        <v>0</v>
      </c>
    </row>
    <row r="209">
      <c r="A209" s="7" t="n">
        <v>208</v>
      </c>
      <c r="B209" s="8" t="inlineStr">
        <is>
          <t>Polling Station 208</t>
        </is>
      </c>
      <c r="C209" s="9" t="n">
        <v>1209</v>
      </c>
      <c r="D209" s="9" t="n">
        <v>7</v>
      </c>
      <c r="E209" s="9" t="n">
        <v>23</v>
      </c>
      <c r="F209" s="9" t="n">
        <v>0</v>
      </c>
      <c r="G209" s="9" t="n">
        <v>34</v>
      </c>
      <c r="H209" s="9" t="n">
        <v>7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0</v>
      </c>
      <c r="N209" s="9" t="n">
        <v>19</v>
      </c>
      <c r="O209" s="9" t="n">
        <v>12</v>
      </c>
      <c r="P209" s="9" t="n">
        <v>4</v>
      </c>
      <c r="Q209" s="9" t="n">
        <v>587</v>
      </c>
      <c r="R209" s="9" t="n">
        <v>0</v>
      </c>
      <c r="S209" s="9" t="n">
        <v>0</v>
      </c>
      <c r="T209" s="9" t="n">
        <v>593</v>
      </c>
      <c r="U209" s="10" t="n">
        <v>2495</v>
      </c>
      <c r="V209" s="10" t="n">
        <v>0</v>
      </c>
      <c r="W209" s="10" t="n">
        <v>0</v>
      </c>
      <c r="X209" s="10" t="n">
        <v>2495</v>
      </c>
      <c r="Y209" s="10" t="n">
        <v>0</v>
      </c>
    </row>
    <row r="210">
      <c r="A210" s="7" t="n">
        <v>209</v>
      </c>
      <c r="B210" s="8" t="inlineStr">
        <is>
          <t>Polling Station 209</t>
        </is>
      </c>
      <c r="C210" s="9" t="n">
        <v>210</v>
      </c>
      <c r="D210" s="9" t="n">
        <v>64</v>
      </c>
      <c r="E210" s="9" t="n">
        <v>0</v>
      </c>
      <c r="F210" s="9" t="n">
        <v>5</v>
      </c>
      <c r="G210" s="9" t="n">
        <v>376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12</v>
      </c>
      <c r="O210" s="9" t="n">
        <v>0</v>
      </c>
      <c r="P210" s="9" t="n">
        <v>3</v>
      </c>
      <c r="Q210" s="9" t="n">
        <v>543</v>
      </c>
      <c r="R210" s="9" t="n">
        <v>0</v>
      </c>
      <c r="S210" s="9" t="n">
        <v>0</v>
      </c>
      <c r="T210" s="9" t="n">
        <v>551</v>
      </c>
      <c r="U210" s="10" t="n">
        <v>1764</v>
      </c>
      <c r="V210" s="10" t="n">
        <v>0</v>
      </c>
      <c r="W210" s="10" t="n">
        <v>0</v>
      </c>
      <c r="X210" s="10" t="n">
        <v>1764</v>
      </c>
      <c r="Y210" s="10" t="n">
        <v>0</v>
      </c>
    </row>
    <row r="211">
      <c r="A211" s="7" t="n">
        <v>210</v>
      </c>
      <c r="B211" s="8" t="inlineStr">
        <is>
          <t>Polling Station 210</t>
        </is>
      </c>
      <c r="C211" s="9" t="n">
        <v>2</v>
      </c>
      <c r="D211" s="9" t="n">
        <v>49</v>
      </c>
      <c r="E211" s="9" t="n">
        <v>8</v>
      </c>
      <c r="F211" s="9" t="n">
        <v>0</v>
      </c>
      <c r="G211" s="9" t="n">
        <v>359</v>
      </c>
      <c r="H211" s="9" t="n">
        <v>0</v>
      </c>
      <c r="I211" s="9" t="n">
        <v>0</v>
      </c>
      <c r="J211" s="9" t="n">
        <v>0</v>
      </c>
      <c r="K211" s="9" t="n">
        <v>1</v>
      </c>
      <c r="L211" s="9" t="n">
        <v>0</v>
      </c>
      <c r="M211" s="9" t="n">
        <v>0</v>
      </c>
      <c r="N211" s="9" t="n">
        <v>9</v>
      </c>
      <c r="O211" s="9" t="n">
        <v>0</v>
      </c>
      <c r="P211" s="9" t="n">
        <v>7</v>
      </c>
      <c r="Q211" s="9" t="n">
        <v>775</v>
      </c>
      <c r="R211" s="9" t="n">
        <v>0</v>
      </c>
      <c r="S211" s="9" t="n">
        <v>12</v>
      </c>
      <c r="T211" s="9" t="n">
        <v>787</v>
      </c>
      <c r="U211" s="10" t="n">
        <v>2009</v>
      </c>
      <c r="V211" s="10" t="n">
        <v>0</v>
      </c>
      <c r="W211" s="10" t="n">
        <v>0</v>
      </c>
      <c r="X211" s="10" t="n">
        <v>2009</v>
      </c>
      <c r="Y211" s="10" t="n">
        <v>0</v>
      </c>
    </row>
    <row r="212">
      <c r="A212" s="7" t="n">
        <v>211</v>
      </c>
      <c r="B212" s="8" t="inlineStr">
        <is>
          <t>Polling Station 211</t>
        </is>
      </c>
      <c r="C212" s="9" t="n">
        <v>22</v>
      </c>
      <c r="D212" s="9" t="n">
        <v>5</v>
      </c>
      <c r="E212" s="9" t="n">
        <v>0</v>
      </c>
      <c r="F212" s="9" t="n">
        <v>167</v>
      </c>
      <c r="G212" s="9" t="n">
        <v>436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6</v>
      </c>
      <c r="N212" s="9" t="n">
        <v>27</v>
      </c>
      <c r="O212" s="9" t="n">
        <v>19</v>
      </c>
      <c r="P212" s="9" t="n">
        <v>7</v>
      </c>
      <c r="Q212" s="9" t="n">
        <v>725</v>
      </c>
      <c r="R212" s="9" t="n">
        <v>0</v>
      </c>
      <c r="S212" s="9" t="n">
        <v>0</v>
      </c>
      <c r="T212" s="9" t="n">
        <v>737</v>
      </c>
      <c r="U212" s="10" t="n">
        <v>2151</v>
      </c>
      <c r="V212" s="10" t="n">
        <v>0</v>
      </c>
      <c r="W212" s="10" t="n">
        <v>0</v>
      </c>
      <c r="X212" s="10" t="n">
        <v>2151</v>
      </c>
      <c r="Y212" s="10" t="n">
        <v>0</v>
      </c>
    </row>
    <row r="213">
      <c r="A213" s="7" t="n">
        <v>213</v>
      </c>
      <c r="B213" s="8" t="inlineStr">
        <is>
          <t>Polling Station 213</t>
        </is>
      </c>
      <c r="C213" s="9" t="n">
        <v>214</v>
      </c>
      <c r="D213" s="9" t="n">
        <v>34</v>
      </c>
      <c r="E213" s="9" t="n">
        <v>2</v>
      </c>
      <c r="F213" s="9" t="n">
        <v>209</v>
      </c>
      <c r="G213" s="9" t="n">
        <v>382</v>
      </c>
      <c r="H213" s="9" t="n">
        <v>5</v>
      </c>
      <c r="I213" s="9" t="n">
        <v>1</v>
      </c>
      <c r="J213" s="9" t="n">
        <v>0</v>
      </c>
      <c r="K213" s="9" t="n">
        <v>0</v>
      </c>
      <c r="L213" s="9" t="n">
        <v>0</v>
      </c>
      <c r="M213" s="9" t="n">
        <v>7</v>
      </c>
      <c r="N213" s="9" t="n">
        <v>16</v>
      </c>
      <c r="O213" s="9" t="n">
        <v>8</v>
      </c>
      <c r="P213" s="9" t="n">
        <v>4</v>
      </c>
      <c r="Q213" s="9" t="n">
        <v>668</v>
      </c>
      <c r="R213" s="9" t="n">
        <v>0</v>
      </c>
      <c r="S213" s="9" t="n">
        <v>7</v>
      </c>
      <c r="T213" s="9" t="n">
        <v>675</v>
      </c>
      <c r="U213" s="10" t="n">
        <v>2232</v>
      </c>
      <c r="V213" s="10" t="n">
        <v>0</v>
      </c>
      <c r="W213" s="10" t="n">
        <v>0</v>
      </c>
      <c r="X213" s="10" t="n">
        <v>2232</v>
      </c>
      <c r="Y213" s="10" t="n">
        <v>0</v>
      </c>
    </row>
    <row r="214">
      <c r="A214" s="7" t="n">
        <v>214</v>
      </c>
      <c r="B214" s="8" t="inlineStr">
        <is>
          <t>Polling Station 214</t>
        </is>
      </c>
      <c r="C214" s="9" t="n">
        <v>215</v>
      </c>
      <c r="D214" s="9" t="n">
        <v>49</v>
      </c>
      <c r="E214" s="9" t="n">
        <v>4</v>
      </c>
      <c r="F214" s="9" t="n">
        <v>4</v>
      </c>
      <c r="G214" s="9" t="n">
        <v>93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1</v>
      </c>
      <c r="P214" s="9" t="n">
        <v>1</v>
      </c>
      <c r="Q214" s="9" t="n">
        <v>182</v>
      </c>
      <c r="R214" s="9" t="n">
        <v>0</v>
      </c>
      <c r="S214" s="9" t="n">
        <v>1</v>
      </c>
      <c r="T214" s="9" t="n">
        <v>183</v>
      </c>
      <c r="U214" s="10" t="n">
        <v>733</v>
      </c>
      <c r="V214" s="10" t="n">
        <v>0</v>
      </c>
      <c r="W214" s="10" t="n">
        <v>0</v>
      </c>
      <c r="X214" s="10" t="n">
        <v>733</v>
      </c>
      <c r="Y214" s="10" t="n">
        <v>0</v>
      </c>
    </row>
    <row r="215">
      <c r="A215" s="7" t="n">
        <v>215</v>
      </c>
      <c r="B215" s="8" t="inlineStr">
        <is>
          <t>Polling Station 215</t>
        </is>
      </c>
      <c r="C215" s="9" t="n">
        <v>216</v>
      </c>
      <c r="D215" s="9" t="n">
        <v>15</v>
      </c>
      <c r="E215" s="9" t="n">
        <v>4</v>
      </c>
      <c r="F215" s="9" t="n">
        <v>115</v>
      </c>
      <c r="G215" s="9" t="n">
        <v>425</v>
      </c>
      <c r="H215" s="9" t="n">
        <v>2</v>
      </c>
      <c r="I215" s="9" t="n">
        <v>3</v>
      </c>
      <c r="J215" s="9" t="n">
        <v>1</v>
      </c>
      <c r="K215" s="9" t="n">
        <v>1</v>
      </c>
      <c r="L215" s="9" t="n">
        <v>0</v>
      </c>
      <c r="M215" s="9" t="n">
        <v>1</v>
      </c>
      <c r="N215" s="9" t="n">
        <v>9</v>
      </c>
      <c r="O215" s="9" t="n">
        <v>12</v>
      </c>
      <c r="P215" s="9" t="n">
        <v>10</v>
      </c>
      <c r="Q215" s="9" t="n">
        <v>598</v>
      </c>
      <c r="R215" s="9" t="n">
        <v>0</v>
      </c>
      <c r="S215" s="9" t="n">
        <v>13</v>
      </c>
      <c r="T215" s="9" t="n">
        <v>611</v>
      </c>
      <c r="U215" s="10" t="n">
        <v>2036</v>
      </c>
      <c r="V215" s="10" t="n">
        <v>0</v>
      </c>
      <c r="W215" s="10" t="n">
        <v>0</v>
      </c>
      <c r="X215" s="10" t="n">
        <v>2036</v>
      </c>
      <c r="Y215" s="10" t="n">
        <v>0</v>
      </c>
    </row>
    <row r="216">
      <c r="A216" s="7" t="n">
        <v>216</v>
      </c>
      <c r="B216" s="8" t="inlineStr">
        <is>
          <t>Polling Station 216</t>
        </is>
      </c>
      <c r="C216" s="9" t="n">
        <v>217</v>
      </c>
      <c r="D216" s="9" t="n">
        <v>4</v>
      </c>
      <c r="E216" s="9" t="n">
        <v>2</v>
      </c>
      <c r="F216" s="9" t="n">
        <v>40</v>
      </c>
      <c r="G216" s="9" t="n">
        <v>333</v>
      </c>
      <c r="H216" s="9" t="n">
        <v>0</v>
      </c>
      <c r="I216" s="9" t="n">
        <v>0</v>
      </c>
      <c r="J216" s="9" t="n">
        <v>1</v>
      </c>
      <c r="K216" s="9" t="n">
        <v>2</v>
      </c>
      <c r="L216" s="9" t="n">
        <v>1</v>
      </c>
      <c r="M216" s="9" t="n">
        <v>2</v>
      </c>
      <c r="N216" s="9" t="n">
        <v>6</v>
      </c>
      <c r="O216" s="9" t="n">
        <v>12</v>
      </c>
      <c r="P216" s="9" t="n">
        <v>9</v>
      </c>
      <c r="Q216" s="9" t="n">
        <v>412</v>
      </c>
      <c r="R216" s="9" t="n">
        <v>0</v>
      </c>
      <c r="S216" s="9" t="n">
        <v>3</v>
      </c>
      <c r="T216" s="9" t="n">
        <v>415</v>
      </c>
      <c r="U216" s="10" t="n">
        <v>1459</v>
      </c>
      <c r="V216" s="10" t="n">
        <v>0</v>
      </c>
      <c r="W216" s="10" t="n">
        <v>0</v>
      </c>
      <c r="X216" s="10" t="n">
        <v>1459</v>
      </c>
      <c r="Y216" s="10" t="n">
        <v>0</v>
      </c>
    </row>
    <row r="217">
      <c r="A217" s="7" t="n">
        <v>217</v>
      </c>
      <c r="B217" s="8" t="inlineStr">
        <is>
          <t>Polling Station 217</t>
        </is>
      </c>
      <c r="C217" s="9" t="n">
        <v>218</v>
      </c>
      <c r="D217" s="9" t="n">
        <v>50</v>
      </c>
      <c r="E217" s="9" t="n">
        <v>12</v>
      </c>
      <c r="F217" s="9" t="n">
        <v>245</v>
      </c>
      <c r="G217" s="9" t="n">
        <v>269</v>
      </c>
      <c r="H217" s="9" t="n">
        <v>3</v>
      </c>
      <c r="I217" s="9" t="n">
        <v>2</v>
      </c>
      <c r="J217" s="9" t="n">
        <v>2</v>
      </c>
      <c r="K217" s="9" t="n">
        <v>4</v>
      </c>
      <c r="L217" s="9" t="n">
        <v>3</v>
      </c>
      <c r="M217" s="9" t="n">
        <v>4</v>
      </c>
      <c r="N217" s="9" t="n">
        <v>10</v>
      </c>
      <c r="O217" s="9" t="n">
        <v>23</v>
      </c>
      <c r="P217" s="9" t="n">
        <v>0</v>
      </c>
      <c r="Q217" s="9" t="n">
        <v>624</v>
      </c>
      <c r="R217" s="9" t="n">
        <v>0</v>
      </c>
      <c r="S217" s="9" t="n">
        <v>8</v>
      </c>
      <c r="T217" s="9" t="n">
        <v>632</v>
      </c>
      <c r="U217" s="10" t="n">
        <v>2109</v>
      </c>
      <c r="V217" s="10" t="n">
        <v>0</v>
      </c>
      <c r="W217" s="10" t="n">
        <v>0</v>
      </c>
      <c r="X217" s="10" t="n">
        <v>2109</v>
      </c>
      <c r="Y217" s="10" t="n">
        <v>0</v>
      </c>
    </row>
    <row r="218">
      <c r="A218" s="7" t="n">
        <v>218</v>
      </c>
      <c r="B218" s="8" t="inlineStr">
        <is>
          <t>Polling Station 218</t>
        </is>
      </c>
      <c r="C218" s="9" t="n">
        <v>219</v>
      </c>
      <c r="D218" s="9" t="n">
        <v>0</v>
      </c>
      <c r="E218" s="9" t="n">
        <v>4</v>
      </c>
      <c r="F218" s="9" t="n">
        <v>245</v>
      </c>
      <c r="G218" s="9" t="n">
        <v>340</v>
      </c>
      <c r="H218" s="9" t="n">
        <v>4</v>
      </c>
      <c r="I218" s="9" t="n">
        <v>1</v>
      </c>
      <c r="J218" s="9" t="n">
        <v>5</v>
      </c>
      <c r="K218" s="9" t="n">
        <v>1</v>
      </c>
      <c r="L218" s="9" t="n">
        <v>2</v>
      </c>
      <c r="M218" s="9" t="n">
        <v>2</v>
      </c>
      <c r="N218" s="9" t="n">
        <v>23</v>
      </c>
      <c r="O218" s="9" t="n">
        <v>11</v>
      </c>
      <c r="P218" s="9" t="n">
        <v>8</v>
      </c>
      <c r="Q218" s="9" t="n">
        <v>672</v>
      </c>
      <c r="R218" s="9" t="n">
        <v>0</v>
      </c>
      <c r="S218" s="9" t="n">
        <v>5</v>
      </c>
      <c r="T218" s="9" t="n">
        <v>677</v>
      </c>
      <c r="U218" s="10" t="n">
        <v>2219</v>
      </c>
      <c r="V218" s="10" t="n">
        <v>0</v>
      </c>
      <c r="W218" s="10" t="n">
        <v>0</v>
      </c>
      <c r="X218" s="10" t="n">
        <v>2219</v>
      </c>
      <c r="Y218" s="10" t="n">
        <v>0</v>
      </c>
    </row>
    <row r="219">
      <c r="A219" s="7" t="n">
        <v>219</v>
      </c>
      <c r="B219" s="8" t="inlineStr">
        <is>
          <t>| 219</t>
        </is>
      </c>
      <c r="C219" s="9" t="n">
        <v>220</v>
      </c>
      <c r="D219" s="9" t="n">
        <v>0</v>
      </c>
      <c r="E219" s="9" t="n">
        <v>1</v>
      </c>
      <c r="F219" s="9" t="n">
        <v>166</v>
      </c>
      <c r="G219" s="9" t="n">
        <v>323</v>
      </c>
      <c r="H219" s="9" t="n">
        <v>1</v>
      </c>
      <c r="I219" s="9" t="n">
        <v>1</v>
      </c>
      <c r="J219" s="9" t="n">
        <v>2</v>
      </c>
      <c r="K219" s="9" t="n">
        <v>0</v>
      </c>
      <c r="L219" s="9" t="n">
        <v>2</v>
      </c>
      <c r="M219" s="9" t="n">
        <v>2</v>
      </c>
      <c r="N219" s="9" t="n">
        <v>8</v>
      </c>
      <c r="O219" s="9" t="n">
        <v>9</v>
      </c>
      <c r="P219" s="9" t="n">
        <v>10</v>
      </c>
      <c r="Q219" s="9" t="n">
        <v>540</v>
      </c>
      <c r="R219" s="9" t="n">
        <v>0</v>
      </c>
      <c r="S219" s="9" t="n">
        <v>0</v>
      </c>
      <c r="T219" s="9" t="n">
        <v>551</v>
      </c>
      <c r="U219" s="10" t="n">
        <v>1836</v>
      </c>
      <c r="V219" s="10" t="n">
        <v>0</v>
      </c>
      <c r="W219" s="10" t="n">
        <v>0</v>
      </c>
      <c r="X219" s="10" t="n">
        <v>1836</v>
      </c>
      <c r="Y219" s="10" t="n">
        <v>0</v>
      </c>
    </row>
    <row r="220">
      <c r="A220" s="7" t="n">
        <v>220</v>
      </c>
      <c r="B220" s="8" t="inlineStr">
        <is>
          <t>Polling Station 220</t>
        </is>
      </c>
      <c r="C220" s="9" t="n">
        <v>221</v>
      </c>
      <c r="D220" s="9" t="n">
        <v>46</v>
      </c>
      <c r="E220" s="9" t="n">
        <v>3</v>
      </c>
      <c r="F220" s="9" t="n">
        <v>187</v>
      </c>
      <c r="G220" s="9" t="n">
        <v>519</v>
      </c>
      <c r="H220" s="9" t="n">
        <v>6</v>
      </c>
      <c r="I220" s="9" t="n">
        <v>2</v>
      </c>
      <c r="J220" s="9" t="n">
        <v>2</v>
      </c>
      <c r="K220" s="9" t="n">
        <v>2</v>
      </c>
      <c r="L220" s="9" t="n">
        <v>2</v>
      </c>
      <c r="M220" s="9" t="n">
        <v>8</v>
      </c>
      <c r="N220" s="9" t="n">
        <v>7</v>
      </c>
      <c r="O220" s="9" t="n">
        <v>23</v>
      </c>
      <c r="P220" s="9" t="n">
        <v>10</v>
      </c>
      <c r="Q220" s="9" t="n">
        <v>807</v>
      </c>
      <c r="R220" s="9" t="n">
        <v>0</v>
      </c>
      <c r="S220" s="9" t="n">
        <v>7</v>
      </c>
      <c r="T220" s="9" t="n">
        <v>814</v>
      </c>
      <c r="U220" s="10" t="n">
        <v>2666</v>
      </c>
      <c r="V220" s="10" t="n">
        <v>0</v>
      </c>
      <c r="W220" s="10" t="n">
        <v>0</v>
      </c>
      <c r="X220" s="10" t="n">
        <v>2666</v>
      </c>
      <c r="Y220" s="10" t="n">
        <v>0</v>
      </c>
    </row>
    <row r="221">
      <c r="A221" s="7" t="n">
        <v>221</v>
      </c>
      <c r="B221" s="8" t="inlineStr">
        <is>
          <t>Polling Station 221</t>
        </is>
      </c>
      <c r="C221" s="9" t="n">
        <v>222</v>
      </c>
      <c r="D221" s="9" t="n">
        <v>7</v>
      </c>
      <c r="E221" s="9" t="n">
        <v>8</v>
      </c>
      <c r="F221" s="9" t="n">
        <v>0</v>
      </c>
      <c r="G221" s="9" t="n">
        <v>559</v>
      </c>
      <c r="H221" s="9" t="n">
        <v>5</v>
      </c>
      <c r="I221" s="9" t="n">
        <v>2</v>
      </c>
      <c r="J221" s="9" t="n">
        <v>1</v>
      </c>
      <c r="K221" s="9" t="n">
        <v>2</v>
      </c>
      <c r="L221" s="9" t="n">
        <v>0</v>
      </c>
      <c r="M221" s="9" t="n">
        <v>0</v>
      </c>
      <c r="N221" s="9" t="n">
        <v>23</v>
      </c>
      <c r="O221" s="9" t="n">
        <v>0</v>
      </c>
      <c r="P221" s="9" t="n">
        <v>4</v>
      </c>
      <c r="Q221" s="9" t="n">
        <v>765</v>
      </c>
      <c r="R221" s="9" t="n">
        <v>0</v>
      </c>
      <c r="S221" s="9" t="n">
        <v>9</v>
      </c>
      <c r="T221" s="9" t="n">
        <v>774</v>
      </c>
      <c r="U221" s="10" t="n">
        <v>2381</v>
      </c>
      <c r="V221" s="10" t="n">
        <v>0</v>
      </c>
      <c r="W221" s="10" t="n">
        <v>0</v>
      </c>
      <c r="X221" s="10" t="n">
        <v>2381</v>
      </c>
      <c r="Y221" s="10" t="n">
        <v>0</v>
      </c>
    </row>
    <row r="222">
      <c r="A222" s="7" t="n">
        <v>222</v>
      </c>
      <c r="B222" s="8" t="inlineStr">
        <is>
          <t>Polling Station 222</t>
        </is>
      </c>
      <c r="C222" s="9" t="n">
        <v>223</v>
      </c>
      <c r="D222" s="9" t="n">
        <v>123</v>
      </c>
      <c r="E222" s="9" t="n">
        <v>5</v>
      </c>
      <c r="F222" s="9" t="n">
        <v>1479</v>
      </c>
      <c r="G222" s="9" t="n">
        <v>485</v>
      </c>
      <c r="H222" s="9" t="n">
        <v>4</v>
      </c>
      <c r="I222" s="9" t="n">
        <v>3</v>
      </c>
      <c r="J222" s="9" t="n">
        <v>3</v>
      </c>
      <c r="K222" s="9" t="n">
        <v>3</v>
      </c>
      <c r="L222" s="9" t="n">
        <v>0</v>
      </c>
      <c r="M222" s="9" t="n">
        <v>0</v>
      </c>
      <c r="N222" s="9" t="n">
        <v>22</v>
      </c>
      <c r="O222" s="9" t="n">
        <v>15</v>
      </c>
      <c r="P222" s="9" t="n">
        <v>1</v>
      </c>
      <c r="Q222" s="9" t="n">
        <v>869</v>
      </c>
      <c r="R222" s="9" t="n">
        <v>0</v>
      </c>
      <c r="S222" s="9" t="n">
        <v>1</v>
      </c>
      <c r="T222" s="9" t="n">
        <v>880</v>
      </c>
      <c r="U222" s="10" t="n">
        <v>4116</v>
      </c>
      <c r="V222" s="10" t="n">
        <v>0</v>
      </c>
      <c r="W222" s="10" t="n">
        <v>0</v>
      </c>
      <c r="X222" s="10" t="n">
        <v>4116</v>
      </c>
      <c r="Y222" s="10" t="n">
        <v>0</v>
      </c>
    </row>
    <row r="223">
      <c r="A223" s="7" t="n">
        <v>223</v>
      </c>
      <c r="B223" s="8" t="inlineStr">
        <is>
          <t>Polling Station 223</t>
        </is>
      </c>
      <c r="C223" s="9" t="n">
        <v>1224</v>
      </c>
      <c r="D223" s="9" t="n">
        <v>0</v>
      </c>
      <c r="E223" s="9" t="n">
        <v>0</v>
      </c>
      <c r="F223" s="9" t="n">
        <v>27</v>
      </c>
      <c r="G223" s="9" t="n">
        <v>236</v>
      </c>
      <c r="H223" s="9" t="n">
        <v>0</v>
      </c>
      <c r="I223" s="9" t="n">
        <v>2</v>
      </c>
      <c r="J223" s="9" t="n">
        <v>2</v>
      </c>
      <c r="K223" s="9" t="n">
        <v>3</v>
      </c>
      <c r="L223" s="9" t="n">
        <v>0</v>
      </c>
      <c r="M223" s="9" t="n">
        <v>0</v>
      </c>
      <c r="N223" s="9" t="n">
        <v>15</v>
      </c>
      <c r="O223" s="9" t="n">
        <v>10</v>
      </c>
      <c r="P223" s="9" t="n">
        <v>8</v>
      </c>
      <c r="Q223" s="9" t="n">
        <v>334</v>
      </c>
      <c r="R223" s="9" t="n">
        <v>0</v>
      </c>
      <c r="S223" s="9" t="n">
        <v>7</v>
      </c>
      <c r="T223" s="9" t="n">
        <v>341</v>
      </c>
      <c r="U223" s="10" t="n">
        <v>2209</v>
      </c>
      <c r="V223" s="10" t="n">
        <v>0</v>
      </c>
      <c r="W223" s="10" t="n">
        <v>0</v>
      </c>
      <c r="X223" s="10" t="n">
        <v>2209</v>
      </c>
      <c r="Y223" s="10" t="n">
        <v>0</v>
      </c>
    </row>
    <row r="224">
      <c r="A224" s="7" t="n">
        <v>224</v>
      </c>
      <c r="B224" s="8" t="inlineStr">
        <is>
          <t>Polling Station 224</t>
        </is>
      </c>
      <c r="C224" s="9" t="n">
        <v>3</v>
      </c>
      <c r="D224" s="9" t="n">
        <v>36</v>
      </c>
      <c r="E224" s="9" t="n">
        <v>0</v>
      </c>
      <c r="F224" s="9" t="n">
        <v>129</v>
      </c>
      <c r="G224" s="9" t="n">
        <v>595</v>
      </c>
      <c r="H224" s="9" t="n">
        <v>4</v>
      </c>
      <c r="I224" s="9" t="n">
        <v>1</v>
      </c>
      <c r="J224" s="9" t="n">
        <v>2</v>
      </c>
      <c r="K224" s="9" t="n">
        <v>4</v>
      </c>
      <c r="L224" s="9" t="n">
        <v>0</v>
      </c>
      <c r="M224" s="9" t="n">
        <v>0</v>
      </c>
      <c r="N224" s="9" t="n">
        <v>12</v>
      </c>
      <c r="O224" s="9" t="n">
        <v>7</v>
      </c>
      <c r="P224" s="9" t="n">
        <v>8</v>
      </c>
      <c r="Q224" s="9" t="n">
        <v>808</v>
      </c>
      <c r="R224" s="9" t="n">
        <v>0</v>
      </c>
      <c r="S224" s="9" t="n">
        <v>18</v>
      </c>
      <c r="T224" s="9" t="n">
        <v>826</v>
      </c>
      <c r="U224" s="10" t="n">
        <v>2453</v>
      </c>
      <c r="V224" s="10" t="n">
        <v>0</v>
      </c>
      <c r="W224" s="10" t="n">
        <v>0</v>
      </c>
      <c r="X224" s="10" t="n">
        <v>2453</v>
      </c>
      <c r="Y224" s="10" t="n">
        <v>0</v>
      </c>
    </row>
    <row r="225">
      <c r="A225" s="7" t="n">
        <v>225</v>
      </c>
      <c r="B225" s="8" t="inlineStr">
        <is>
          <t>Polling Station 225</t>
        </is>
      </c>
      <c r="C225" s="9" t="n">
        <v>226</v>
      </c>
      <c r="D225" s="9" t="n">
        <v>49</v>
      </c>
      <c r="E225" s="9" t="n">
        <v>0</v>
      </c>
      <c r="F225" s="9" t="n">
        <v>220</v>
      </c>
      <c r="G225" s="9" t="n">
        <v>363</v>
      </c>
      <c r="H225" s="9" t="n">
        <v>3</v>
      </c>
      <c r="I225" s="9" t="n">
        <v>0</v>
      </c>
      <c r="J225" s="9" t="n">
        <v>1</v>
      </c>
      <c r="K225" s="9" t="n">
        <v>0</v>
      </c>
      <c r="L225" s="9" t="n">
        <v>0</v>
      </c>
      <c r="M225" s="9" t="n">
        <v>0</v>
      </c>
      <c r="N225" s="9" t="n">
        <v>9</v>
      </c>
      <c r="O225" s="9" t="n">
        <v>6</v>
      </c>
      <c r="P225" s="9" t="n">
        <v>9</v>
      </c>
      <c r="Q225" s="9" t="n">
        <v>566</v>
      </c>
      <c r="R225" s="9" t="n">
        <v>0</v>
      </c>
      <c r="S225" s="9" t="n">
        <v>3</v>
      </c>
      <c r="T225" s="9" t="n">
        <v>569</v>
      </c>
      <c r="U225" s="10" t="n">
        <v>2024</v>
      </c>
      <c r="V225" s="10" t="n">
        <v>0</v>
      </c>
      <c r="W225" s="10" t="n">
        <v>0</v>
      </c>
      <c r="X225" s="10" t="n">
        <v>2024</v>
      </c>
      <c r="Y225" s="10" t="n">
        <v>0</v>
      </c>
    </row>
    <row r="226">
      <c r="A226" s="7" t="n">
        <v>226</v>
      </c>
      <c r="B226" s="8" t="inlineStr">
        <is>
          <t>| 226</t>
        </is>
      </c>
      <c r="C226" s="9" t="n">
        <v>227</v>
      </c>
      <c r="D226" s="9" t="n">
        <v>29</v>
      </c>
      <c r="E226" s="9" t="n">
        <v>0</v>
      </c>
      <c r="F226" s="9" t="n">
        <v>187</v>
      </c>
      <c r="G226" s="9" t="n">
        <v>390</v>
      </c>
      <c r="H226" s="9" t="n">
        <v>3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10</v>
      </c>
      <c r="O226" s="9" t="n">
        <v>8</v>
      </c>
      <c r="P226" s="9" t="n">
        <v>8</v>
      </c>
      <c r="Q226" s="9" t="n">
        <v>648</v>
      </c>
      <c r="R226" s="9" t="n">
        <v>0</v>
      </c>
      <c r="S226" s="9" t="n">
        <v>6</v>
      </c>
      <c r="T226" s="9" t="n">
        <v>654</v>
      </c>
      <c r="U226" s="10" t="n">
        <v>2170</v>
      </c>
      <c r="V226" s="10" t="n">
        <v>0</v>
      </c>
      <c r="W226" s="10" t="n">
        <v>0</v>
      </c>
      <c r="X226" s="10" t="n">
        <v>2170</v>
      </c>
      <c r="Y226" s="10" t="n">
        <v>0</v>
      </c>
    </row>
    <row r="227">
      <c r="A227" s="7" t="n">
        <v>227</v>
      </c>
      <c r="B227" s="8" t="inlineStr">
        <is>
          <t>| 227</t>
        </is>
      </c>
      <c r="C227" s="9" t="n">
        <v>228</v>
      </c>
      <c r="D227" s="9" t="n">
        <v>158</v>
      </c>
      <c r="E227" s="9" t="n">
        <v>0</v>
      </c>
      <c r="F227" s="9" t="n">
        <v>284</v>
      </c>
      <c r="G227" s="9" t="n">
        <v>316</v>
      </c>
      <c r="H227" s="9" t="n">
        <v>0</v>
      </c>
      <c r="I227" s="9" t="n">
        <v>4</v>
      </c>
      <c r="J227" s="9" t="n">
        <v>1</v>
      </c>
      <c r="K227" s="9" t="n">
        <v>0</v>
      </c>
      <c r="L227" s="9" t="n">
        <v>0</v>
      </c>
      <c r="M227" s="9" t="n">
        <v>0</v>
      </c>
      <c r="N227" s="9" t="n">
        <v>7</v>
      </c>
      <c r="O227" s="9" t="n">
        <v>14</v>
      </c>
      <c r="P227" s="9" t="n">
        <v>0</v>
      </c>
      <c r="Q227" s="9" t="n">
        <v>809</v>
      </c>
      <c r="R227" s="9" t="n">
        <v>0</v>
      </c>
      <c r="S227" s="9" t="n">
        <v>26</v>
      </c>
      <c r="T227" s="9" t="n">
        <v>835</v>
      </c>
      <c r="U227" s="10" t="n">
        <v>2682</v>
      </c>
      <c r="V227" s="10" t="n">
        <v>0</v>
      </c>
      <c r="W227" s="10" t="n">
        <v>0</v>
      </c>
      <c r="X227" s="10" t="n">
        <v>2682</v>
      </c>
      <c r="Y227" s="10" t="n">
        <v>0</v>
      </c>
    </row>
    <row r="228">
      <c r="A228" s="7" t="n">
        <v>228</v>
      </c>
      <c r="B228" s="8" t="inlineStr">
        <is>
          <t>Polling Station 228</t>
        </is>
      </c>
      <c r="C228" s="9" t="n">
        <v>229</v>
      </c>
      <c r="D228" s="9" t="n">
        <v>139</v>
      </c>
      <c r="E228" s="9" t="n">
        <v>0</v>
      </c>
      <c r="F228" s="9" t="n">
        <v>242</v>
      </c>
      <c r="G228" s="9" t="n">
        <v>399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18</v>
      </c>
      <c r="O228" s="9" t="n">
        <v>19</v>
      </c>
      <c r="P228" s="9" t="n">
        <v>0</v>
      </c>
      <c r="Q228" s="9" t="n">
        <v>862</v>
      </c>
      <c r="R228" s="9" t="n">
        <v>0</v>
      </c>
      <c r="S228" s="9" t="n">
        <v>15</v>
      </c>
      <c r="T228" s="9" t="n">
        <v>877</v>
      </c>
      <c r="U228" s="10" t="n">
        <v>2800</v>
      </c>
      <c r="V228" s="10" t="n">
        <v>0</v>
      </c>
      <c r="W228" s="10" t="n">
        <v>0</v>
      </c>
      <c r="X228" s="10" t="n">
        <v>2800</v>
      </c>
      <c r="Y228" s="10" t="n">
        <v>0</v>
      </c>
    </row>
    <row r="229">
      <c r="A229" s="7" t="n">
        <v>229</v>
      </c>
      <c r="B229" s="8" t="inlineStr">
        <is>
          <t>| 229</t>
        </is>
      </c>
      <c r="C229" s="9" t="n">
        <v>230</v>
      </c>
      <c r="D229" s="9" t="n">
        <v>194</v>
      </c>
      <c r="E229" s="9" t="n">
        <v>0</v>
      </c>
      <c r="F229" s="9" t="n">
        <v>252</v>
      </c>
      <c r="G229" s="9" t="n">
        <v>10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10</v>
      </c>
      <c r="O229" s="9" t="n">
        <v>14</v>
      </c>
      <c r="P229" s="9" t="n">
        <v>0</v>
      </c>
      <c r="Q229" s="9" t="n">
        <v>921</v>
      </c>
      <c r="R229" s="9" t="n">
        <v>0</v>
      </c>
      <c r="S229" s="9" t="n">
        <v>10</v>
      </c>
      <c r="T229" s="9" t="n">
        <v>931</v>
      </c>
      <c r="U229" s="10" t="n">
        <v>2572</v>
      </c>
      <c r="V229" s="10" t="n">
        <v>0</v>
      </c>
      <c r="W229" s="10" t="n">
        <v>0</v>
      </c>
      <c r="X229" s="10" t="n">
        <v>2572</v>
      </c>
      <c r="Y229" s="10" t="n">
        <v>0</v>
      </c>
    </row>
    <row r="230">
      <c r="A230" s="7" t="n">
        <v>230</v>
      </c>
      <c r="B230" s="8" t="inlineStr">
        <is>
          <t>Polling Station 230</t>
        </is>
      </c>
      <c r="C230" s="9" t="n">
        <v>231</v>
      </c>
      <c r="D230" s="9" t="n">
        <v>6</v>
      </c>
      <c r="E230" s="9" t="n">
        <v>0</v>
      </c>
      <c r="F230" s="9" t="n">
        <v>136</v>
      </c>
      <c r="G230" s="9" t="n">
        <v>249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6</v>
      </c>
      <c r="O230" s="9" t="n">
        <v>8</v>
      </c>
      <c r="P230" s="9" t="n">
        <v>0</v>
      </c>
      <c r="Q230" s="9" t="n">
        <v>492</v>
      </c>
      <c r="R230" s="9" t="n">
        <v>0</v>
      </c>
      <c r="S230" s="9" t="n">
        <v>6</v>
      </c>
      <c r="T230" s="9" t="n">
        <v>498</v>
      </c>
      <c r="U230" s="10" t="n">
        <v>1632</v>
      </c>
      <c r="V230" s="10" t="n">
        <v>0</v>
      </c>
      <c r="W230" s="10" t="n">
        <v>0</v>
      </c>
      <c r="X230" s="10" t="n">
        <v>1632</v>
      </c>
      <c r="Y230" s="10" t="n">
        <v>0</v>
      </c>
    </row>
    <row r="231">
      <c r="A231" s="7" t="n">
        <v>231</v>
      </c>
      <c r="B231" s="8" t="inlineStr">
        <is>
          <t>Polling Station 231</t>
        </is>
      </c>
      <c r="C231" s="9" t="n">
        <v>232</v>
      </c>
      <c r="D231" s="9" t="n">
        <v>0</v>
      </c>
      <c r="E231" s="9" t="n">
        <v>0</v>
      </c>
      <c r="F231" s="9" t="n">
        <v>124</v>
      </c>
      <c r="G231" s="9" t="n">
        <v>374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9</v>
      </c>
      <c r="O231" s="9" t="n">
        <v>0</v>
      </c>
      <c r="P231" s="9" t="n">
        <v>0</v>
      </c>
      <c r="Q231" s="9" t="n">
        <v>611</v>
      </c>
      <c r="R231" s="9" t="n">
        <v>0</v>
      </c>
      <c r="S231" s="9" t="n">
        <v>9</v>
      </c>
      <c r="T231" s="9" t="n">
        <v>620</v>
      </c>
      <c r="U231" s="10" t="n">
        <v>1979</v>
      </c>
      <c r="V231" s="10" t="n">
        <v>0</v>
      </c>
      <c r="W231" s="10" t="n">
        <v>0</v>
      </c>
      <c r="X231" s="10" t="n">
        <v>1979</v>
      </c>
      <c r="Y231" s="10" t="n">
        <v>0</v>
      </c>
    </row>
    <row r="232">
      <c r="A232" s="7" t="n">
        <v>232</v>
      </c>
      <c r="B232" s="8" t="inlineStr">
        <is>
          <t>Polling Station 232</t>
        </is>
      </c>
      <c r="C232" s="9" t="n">
        <v>233</v>
      </c>
      <c r="D232" s="9" t="n">
        <v>0</v>
      </c>
      <c r="E232" s="9" t="n">
        <v>0</v>
      </c>
      <c r="F232" s="9" t="n">
        <v>0</v>
      </c>
      <c r="G232" s="9" t="n">
        <v>422</v>
      </c>
      <c r="H232" s="9" t="n">
        <v>0</v>
      </c>
      <c r="I232" s="9" t="n">
        <v>0</v>
      </c>
      <c r="J232" s="9" t="n">
        <v>0</v>
      </c>
      <c r="K232" s="9" t="n">
        <v>8</v>
      </c>
      <c r="L232" s="9" t="n">
        <v>7</v>
      </c>
      <c r="M232" s="9" t="n">
        <v>0</v>
      </c>
      <c r="N232" s="9" t="n">
        <v>21</v>
      </c>
      <c r="O232" s="9" t="n">
        <v>9</v>
      </c>
      <c r="P232" s="9" t="n">
        <v>0</v>
      </c>
      <c r="Q232" s="9" t="n">
        <v>695</v>
      </c>
      <c r="R232" s="9" t="n">
        <v>0</v>
      </c>
      <c r="S232" s="9" t="n">
        <v>7</v>
      </c>
      <c r="T232" s="9" t="n">
        <v>712</v>
      </c>
      <c r="U232" s="10" t="n">
        <v>2114</v>
      </c>
      <c r="V232" s="10" t="n">
        <v>0</v>
      </c>
      <c r="W232" s="10" t="n">
        <v>0</v>
      </c>
      <c r="X232" s="10" t="n">
        <v>2114</v>
      </c>
      <c r="Y232" s="10" t="n">
        <v>0</v>
      </c>
    </row>
    <row r="233">
      <c r="A233" s="7" t="n">
        <v>233</v>
      </c>
      <c r="B233" s="8" t="inlineStr">
        <is>
          <t>Polling Station 233</t>
        </is>
      </c>
      <c r="C233" s="9" t="n">
        <v>234</v>
      </c>
      <c r="D233" s="9" t="n">
        <v>0</v>
      </c>
      <c r="E233" s="9" t="n">
        <v>0</v>
      </c>
      <c r="F233" s="9" t="n">
        <v>10</v>
      </c>
      <c r="G233" s="9" t="n">
        <v>355</v>
      </c>
      <c r="H233" s="9" t="n">
        <v>0</v>
      </c>
      <c r="I233" s="9" t="n">
        <v>0</v>
      </c>
      <c r="J233" s="9" t="n">
        <v>0</v>
      </c>
      <c r="K233" s="9" t="n">
        <v>87</v>
      </c>
      <c r="L233" s="9" t="n">
        <v>0</v>
      </c>
      <c r="M233" s="9" t="n">
        <v>0</v>
      </c>
      <c r="N233" s="9" t="n">
        <v>16</v>
      </c>
      <c r="O233" s="9" t="n">
        <v>9</v>
      </c>
      <c r="P233" s="9" t="n">
        <v>0</v>
      </c>
      <c r="Q233" s="9" t="n">
        <v>523</v>
      </c>
      <c r="R233" s="9" t="n">
        <v>0</v>
      </c>
      <c r="S233" s="9" t="n">
        <v>9</v>
      </c>
      <c r="T233" s="9" t="n">
        <v>532</v>
      </c>
      <c r="U233" s="10" t="n">
        <v>1775</v>
      </c>
      <c r="V233" s="10" t="n">
        <v>0</v>
      </c>
      <c r="W233" s="10" t="n">
        <v>0</v>
      </c>
      <c r="X233" s="10" t="n">
        <v>1775</v>
      </c>
      <c r="Y233" s="10" t="n">
        <v>0</v>
      </c>
    </row>
    <row r="234">
      <c r="A234" s="7" t="n">
        <v>234</v>
      </c>
      <c r="B234" s="8" t="inlineStr">
        <is>
          <t>Polling Station 234</t>
        </is>
      </c>
      <c r="C234" s="9" t="n">
        <v>235</v>
      </c>
      <c r="D234" s="9" t="n">
        <v>33</v>
      </c>
      <c r="E234" s="9" t="n">
        <v>10</v>
      </c>
      <c r="F234" s="9" t="n">
        <v>210</v>
      </c>
      <c r="G234" s="9" t="n">
        <v>336</v>
      </c>
      <c r="H234" s="9" t="n">
        <v>6</v>
      </c>
      <c r="I234" s="9" t="n">
        <v>2</v>
      </c>
      <c r="J234" s="9" t="n">
        <v>1</v>
      </c>
      <c r="K234" s="9" t="n">
        <v>1</v>
      </c>
      <c r="L234" s="9" t="n">
        <v>2</v>
      </c>
      <c r="M234" s="9" t="n">
        <v>3</v>
      </c>
      <c r="N234" s="9" t="n">
        <v>1</v>
      </c>
      <c r="O234" s="9" t="n">
        <v>14</v>
      </c>
      <c r="P234" s="9" t="n">
        <v>6</v>
      </c>
      <c r="Q234" s="9" t="n">
        <v>635</v>
      </c>
      <c r="R234" s="9" t="n">
        <v>0</v>
      </c>
      <c r="S234" s="9" t="n">
        <v>123</v>
      </c>
      <c r="T234" s="9" t="n">
        <v>648</v>
      </c>
      <c r="U234" s="10" t="n">
        <v>2266</v>
      </c>
      <c r="V234" s="10" t="n">
        <v>0</v>
      </c>
      <c r="W234" s="10" t="n">
        <v>0</v>
      </c>
      <c r="X234" s="10" t="n">
        <v>2266</v>
      </c>
      <c r="Y234" s="10" t="n">
        <v>0</v>
      </c>
    </row>
    <row r="235">
      <c r="A235" s="7" t="n">
        <v>235</v>
      </c>
      <c r="B235" s="8" t="inlineStr">
        <is>
          <t>Polling Station 235</t>
        </is>
      </c>
      <c r="C235" s="9" t="n">
        <v>236</v>
      </c>
      <c r="D235" s="9" t="n">
        <v>38</v>
      </c>
      <c r="E235" s="9" t="n">
        <v>3</v>
      </c>
      <c r="F235" s="9" t="n">
        <v>83</v>
      </c>
      <c r="G235" s="9" t="n">
        <v>458</v>
      </c>
      <c r="H235" s="9" t="n">
        <v>3</v>
      </c>
      <c r="I235" s="9" t="n">
        <v>1</v>
      </c>
      <c r="J235" s="9" t="n">
        <v>1</v>
      </c>
      <c r="K235" s="9" t="n">
        <v>0</v>
      </c>
      <c r="L235" s="9" t="n">
        <v>0</v>
      </c>
      <c r="M235" s="9" t="n">
        <v>2</v>
      </c>
      <c r="N235" s="9" t="n">
        <v>7</v>
      </c>
      <c r="O235" s="9" t="n">
        <v>6</v>
      </c>
      <c r="P235" s="9" t="n">
        <v>7</v>
      </c>
      <c r="Q235" s="9" t="n">
        <v>607</v>
      </c>
      <c r="R235" s="9" t="n">
        <v>0</v>
      </c>
      <c r="S235" s="9" t="n">
        <v>6</v>
      </c>
      <c r="T235" s="9" t="n">
        <v>613</v>
      </c>
      <c r="U235" s="10" t="n">
        <v>2071</v>
      </c>
      <c r="V235" s="10" t="n">
        <v>0</v>
      </c>
      <c r="W235" s="10" t="n">
        <v>0</v>
      </c>
      <c r="X235" s="10" t="n">
        <v>2071</v>
      </c>
      <c r="Y235" s="10" t="n">
        <v>0</v>
      </c>
    </row>
    <row r="236">
      <c r="A236" s="7" t="n">
        <v>236</v>
      </c>
      <c r="B236" s="8" t="inlineStr">
        <is>
          <t>Polling Station 236</t>
        </is>
      </c>
      <c r="C236" s="9" t="n">
        <v>237</v>
      </c>
      <c r="D236" s="9" t="n">
        <v>7</v>
      </c>
      <c r="E236" s="9" t="n">
        <v>2</v>
      </c>
      <c r="F236" s="9" t="n">
        <v>120</v>
      </c>
      <c r="G236" s="9" t="n">
        <v>583</v>
      </c>
      <c r="H236" s="9" t="n">
        <v>6</v>
      </c>
      <c r="I236" s="9" t="n">
        <v>0</v>
      </c>
      <c r="J236" s="9" t="n">
        <v>0</v>
      </c>
      <c r="K236" s="9" t="n">
        <v>1</v>
      </c>
      <c r="L236" s="9" t="n">
        <v>2</v>
      </c>
      <c r="M236" s="9" t="n">
        <v>1</v>
      </c>
      <c r="N236" s="9" t="n">
        <v>4</v>
      </c>
      <c r="O236" s="9" t="n">
        <v>7</v>
      </c>
      <c r="P236" s="9" t="n">
        <v>3</v>
      </c>
      <c r="Q236" s="9" t="n">
        <v>806</v>
      </c>
      <c r="R236" s="9" t="n">
        <v>0</v>
      </c>
      <c r="S236" s="9" t="n">
        <v>7</v>
      </c>
      <c r="T236" s="9" t="n">
        <v>813</v>
      </c>
      <c r="U236" s="10" t="n">
        <v>2599</v>
      </c>
      <c r="V236" s="10" t="n">
        <v>0</v>
      </c>
      <c r="W236" s="10" t="n">
        <v>0</v>
      </c>
      <c r="X236" s="10" t="n">
        <v>2599</v>
      </c>
      <c r="Y236" s="10" t="n">
        <v>0</v>
      </c>
    </row>
    <row r="237">
      <c r="A237" s="7" t="n">
        <v>237</v>
      </c>
      <c r="B237" s="8" t="inlineStr">
        <is>
          <t>Polling Station 237</t>
        </is>
      </c>
      <c r="C237" s="9" t="n">
        <v>238</v>
      </c>
      <c r="D237" s="9" t="n">
        <v>33</v>
      </c>
      <c r="E237" s="9" t="n">
        <v>2</v>
      </c>
      <c r="F237" s="9" t="n">
        <v>90</v>
      </c>
      <c r="G237" s="9" t="n">
        <v>331</v>
      </c>
      <c r="H237" s="9" t="n">
        <v>2</v>
      </c>
      <c r="I237" s="9" t="n">
        <v>0</v>
      </c>
      <c r="J237" s="9" t="n">
        <v>1</v>
      </c>
      <c r="K237" s="9" t="n">
        <v>0</v>
      </c>
      <c r="L237" s="9" t="n">
        <v>1</v>
      </c>
      <c r="M237" s="9" t="n">
        <v>0</v>
      </c>
      <c r="N237" s="9" t="n">
        <v>3</v>
      </c>
      <c r="O237" s="9" t="n">
        <v>7</v>
      </c>
      <c r="P237" s="9" t="n">
        <v>6</v>
      </c>
      <c r="Q237" s="9" t="n">
        <v>476</v>
      </c>
      <c r="R237" s="9" t="n">
        <v>0</v>
      </c>
      <c r="S237" s="9" t="n">
        <v>7</v>
      </c>
      <c r="T237" s="9" t="n">
        <v>3</v>
      </c>
      <c r="U237" s="10" t="n">
        <v>1200</v>
      </c>
      <c r="V237" s="10" t="n">
        <v>0</v>
      </c>
      <c r="W237" s="10" t="n">
        <v>0</v>
      </c>
      <c r="X237" s="10" t="n">
        <v>1200</v>
      </c>
      <c r="Y237" s="10" t="n">
        <v>0</v>
      </c>
    </row>
    <row r="238">
      <c r="A238" s="7" t="n">
        <v>238</v>
      </c>
      <c r="B238" s="8" t="inlineStr">
        <is>
          <t>Polling Station 238</t>
        </is>
      </c>
      <c r="C238" s="9" t="n">
        <v>239</v>
      </c>
      <c r="D238" s="9" t="n">
        <v>61</v>
      </c>
      <c r="E238" s="9" t="n">
        <v>2</v>
      </c>
      <c r="F238" s="9" t="n">
        <v>74</v>
      </c>
      <c r="G238" s="9" t="n">
        <v>456</v>
      </c>
      <c r="H238" s="9" t="n">
        <v>3</v>
      </c>
      <c r="I238" s="9" t="n">
        <v>0</v>
      </c>
      <c r="J238" s="9" t="n">
        <v>0</v>
      </c>
      <c r="K238" s="9" t="n">
        <v>3</v>
      </c>
      <c r="L238" s="9" t="n">
        <v>0</v>
      </c>
      <c r="M238" s="9" t="n">
        <v>1</v>
      </c>
      <c r="N238" s="9" t="n">
        <v>5</v>
      </c>
      <c r="O238" s="9" t="n">
        <v>1</v>
      </c>
      <c r="P238" s="9" t="n">
        <v>8</v>
      </c>
      <c r="Q238" s="9" t="n">
        <v>614</v>
      </c>
      <c r="R238" s="9" t="n">
        <v>0</v>
      </c>
      <c r="S238" s="9" t="n">
        <v>15</v>
      </c>
      <c r="T238" s="9" t="n">
        <v>629</v>
      </c>
      <c r="U238" s="10" t="n">
        <v>2111</v>
      </c>
      <c r="V238" s="10" t="n">
        <v>0</v>
      </c>
      <c r="W238" s="10" t="n">
        <v>0</v>
      </c>
      <c r="X238" s="10" t="n">
        <v>2111</v>
      </c>
      <c r="Y238" s="10" t="n">
        <v>0</v>
      </c>
    </row>
    <row r="239">
      <c r="A239" s="7" t="n">
        <v>239</v>
      </c>
      <c r="B239" s="8" t="inlineStr">
        <is>
          <t>Polling Station 239</t>
        </is>
      </c>
      <c r="C239" s="9" t="n">
        <v>240</v>
      </c>
      <c r="D239" s="9" t="n">
        <v>53</v>
      </c>
      <c r="E239" s="9" t="n">
        <v>4</v>
      </c>
      <c r="F239" s="9" t="n">
        <v>127</v>
      </c>
      <c r="G239" s="9" t="n">
        <v>581</v>
      </c>
      <c r="H239" s="9" t="n">
        <v>8</v>
      </c>
      <c r="I239" s="9" t="n">
        <v>4</v>
      </c>
      <c r="J239" s="9" t="n">
        <v>2</v>
      </c>
      <c r="K239" s="9" t="n">
        <v>4</v>
      </c>
      <c r="L239" s="9" t="n">
        <v>3</v>
      </c>
      <c r="M239" s="9" t="n">
        <v>7</v>
      </c>
      <c r="N239" s="9" t="n">
        <v>7</v>
      </c>
      <c r="O239" s="9" t="n">
        <v>15</v>
      </c>
      <c r="P239" s="9" t="n">
        <v>123</v>
      </c>
      <c r="Q239" s="9" t="n">
        <v>828</v>
      </c>
      <c r="R239" s="9" t="n">
        <v>0</v>
      </c>
      <c r="S239" s="9" t="n">
        <v>10</v>
      </c>
      <c r="T239" s="9" t="n">
        <v>838</v>
      </c>
      <c r="U239" s="10" t="n">
        <v>2854</v>
      </c>
      <c r="V239" s="10" t="n">
        <v>0</v>
      </c>
      <c r="W239" s="10" t="n">
        <v>0</v>
      </c>
      <c r="X239" s="10" t="n">
        <v>2854</v>
      </c>
      <c r="Y239" s="10" t="n">
        <v>0</v>
      </c>
    </row>
    <row r="240">
      <c r="A240" s="7" t="n">
        <v>240</v>
      </c>
      <c r="B240" s="8" t="inlineStr">
        <is>
          <t>Polling Station 240</t>
        </is>
      </c>
      <c r="C240" s="9" t="n">
        <v>241</v>
      </c>
      <c r="D240" s="9" t="n">
        <v>43</v>
      </c>
      <c r="E240" s="9" t="n">
        <v>1</v>
      </c>
      <c r="F240" s="9" t="n">
        <v>171</v>
      </c>
      <c r="G240" s="9" t="n">
        <v>355</v>
      </c>
      <c r="H240" s="9" t="n">
        <v>2</v>
      </c>
      <c r="I240" s="9" t="n">
        <v>3</v>
      </c>
      <c r="J240" s="9" t="n">
        <v>0</v>
      </c>
      <c r="K240" s="9" t="n">
        <v>2</v>
      </c>
      <c r="L240" s="9" t="n">
        <v>3</v>
      </c>
      <c r="M240" s="9" t="n">
        <v>0</v>
      </c>
      <c r="N240" s="9" t="n">
        <v>7</v>
      </c>
      <c r="O240" s="9" t="n">
        <v>10</v>
      </c>
      <c r="P240" s="9" t="n">
        <v>2</v>
      </c>
      <c r="Q240" s="9" t="n">
        <v>619</v>
      </c>
      <c r="R240" s="9" t="n">
        <v>0</v>
      </c>
      <c r="S240" s="9" t="n">
        <v>6</v>
      </c>
      <c r="T240" s="9" t="n">
        <v>625</v>
      </c>
      <c r="U240" s="10" t="n">
        <v>2090</v>
      </c>
      <c r="V240" s="10" t="n">
        <v>0</v>
      </c>
      <c r="W240" s="10" t="n">
        <v>0</v>
      </c>
      <c r="X240" s="10" t="n">
        <v>2090</v>
      </c>
      <c r="Y240" s="10" t="n">
        <v>0</v>
      </c>
    </row>
    <row r="241">
      <c r="A241" s="7" t="n">
        <v>241</v>
      </c>
      <c r="B241" s="8" t="inlineStr">
        <is>
          <t>Polling Station 241</t>
        </is>
      </c>
      <c r="C241" s="9" t="n">
        <v>242</v>
      </c>
      <c r="D241" s="9" t="n">
        <v>74</v>
      </c>
      <c r="E241" s="9" t="n">
        <v>2</v>
      </c>
      <c r="F241" s="9" t="n">
        <v>102</v>
      </c>
      <c r="G241" s="9" t="n">
        <v>362</v>
      </c>
      <c r="H241" s="9" t="n">
        <v>5</v>
      </c>
      <c r="I241" s="9" t="n">
        <v>2</v>
      </c>
      <c r="J241" s="9" t="n">
        <v>0</v>
      </c>
      <c r="K241" s="9" t="n">
        <v>8</v>
      </c>
      <c r="L241" s="9" t="n">
        <v>0</v>
      </c>
      <c r="M241" s="9" t="n">
        <v>3</v>
      </c>
      <c r="N241" s="9" t="n">
        <v>3</v>
      </c>
      <c r="O241" s="9" t="n">
        <v>3</v>
      </c>
      <c r="P241" s="9" t="n">
        <v>6</v>
      </c>
      <c r="Q241" s="9" t="n">
        <v>563</v>
      </c>
      <c r="R241" s="9" t="n">
        <v>0</v>
      </c>
      <c r="S241" s="9" t="n">
        <v>3</v>
      </c>
      <c r="T241" s="9" t="n">
        <v>566</v>
      </c>
      <c r="U241" s="10" t="n">
        <v>1944</v>
      </c>
      <c r="V241" s="10" t="n">
        <v>0</v>
      </c>
      <c r="W241" s="10" t="n">
        <v>0</v>
      </c>
      <c r="X241" s="10" t="n">
        <v>1944</v>
      </c>
      <c r="Y241" s="10" t="n">
        <v>0</v>
      </c>
    </row>
    <row r="242">
      <c r="A242" s="7" t="n">
        <v>242</v>
      </c>
      <c r="B242" s="8" t="inlineStr">
        <is>
          <t>| 242</t>
        </is>
      </c>
      <c r="C242" s="9" t="n">
        <v>213</v>
      </c>
      <c r="D242" s="9" t="n">
        <v>7</v>
      </c>
      <c r="E242" s="9" t="n">
        <v>1</v>
      </c>
      <c r="F242" s="9" t="n">
        <v>104</v>
      </c>
      <c r="G242" s="9" t="n">
        <v>130</v>
      </c>
      <c r="H242" s="9" t="n">
        <v>2</v>
      </c>
      <c r="I242" s="9" t="n">
        <v>1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1</v>
      </c>
      <c r="O242" s="9" t="n">
        <v>2</v>
      </c>
      <c r="P242" s="9" t="n">
        <v>1</v>
      </c>
      <c r="Q242" s="9" t="n">
        <v>249</v>
      </c>
      <c r="R242" s="9" t="n">
        <v>0</v>
      </c>
      <c r="S242" s="9" t="n">
        <v>1</v>
      </c>
      <c r="T242" s="9" t="n">
        <v>250</v>
      </c>
      <c r="U242" s="10" t="n">
        <v>962</v>
      </c>
      <c r="V242" s="10" t="n">
        <v>0</v>
      </c>
      <c r="W242" s="10" t="n">
        <v>0</v>
      </c>
      <c r="X242" s="10" t="n">
        <v>962</v>
      </c>
      <c r="Y242" s="10" t="n">
        <v>0</v>
      </c>
    </row>
    <row r="243">
      <c r="A243" s="7" t="n">
        <v>243</v>
      </c>
      <c r="B243" s="8" t="inlineStr">
        <is>
          <t>Polling Station 243</t>
        </is>
      </c>
      <c r="C243" s="9" t="n">
        <v>244</v>
      </c>
      <c r="D243" s="9" t="n">
        <v>48</v>
      </c>
      <c r="E243" s="9" t="n">
        <v>5</v>
      </c>
      <c r="F243" s="9" t="n">
        <v>176</v>
      </c>
      <c r="G243" s="9" t="n">
        <v>679</v>
      </c>
      <c r="H243" s="9" t="n">
        <v>0</v>
      </c>
      <c r="I243" s="9" t="n">
        <v>1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10</v>
      </c>
      <c r="O243" s="9" t="n">
        <v>0</v>
      </c>
      <c r="P243" s="9" t="n">
        <v>5</v>
      </c>
      <c r="Q243" s="9" t="n">
        <v>943</v>
      </c>
      <c r="R243" s="9" t="n">
        <v>0</v>
      </c>
      <c r="S243" s="9" t="n">
        <v>6</v>
      </c>
      <c r="T243" s="9" t="n">
        <v>949</v>
      </c>
      <c r="U243" s="10" t="n">
        <v>3066</v>
      </c>
      <c r="V243" s="10" t="n">
        <v>0</v>
      </c>
      <c r="W243" s="10" t="n">
        <v>0</v>
      </c>
      <c r="X243" s="10" t="n">
        <v>3066</v>
      </c>
      <c r="Y243" s="10" t="n">
        <v>0</v>
      </c>
    </row>
    <row r="244">
      <c r="A244" s="7" t="n">
        <v>244</v>
      </c>
      <c r="B244" s="8" t="inlineStr">
        <is>
          <t>Polling Station 244</t>
        </is>
      </c>
      <c r="C244" s="9" t="n">
        <v>245</v>
      </c>
      <c r="D244" s="9" t="n">
        <v>8</v>
      </c>
      <c r="E244" s="9" t="n">
        <v>6</v>
      </c>
      <c r="F244" s="9" t="n">
        <v>432</v>
      </c>
      <c r="G244" s="9" t="n">
        <v>168</v>
      </c>
      <c r="H244" s="9" t="n">
        <v>0</v>
      </c>
      <c r="I244" s="9" t="n">
        <v>1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10</v>
      </c>
      <c r="O244" s="9" t="n">
        <v>8</v>
      </c>
      <c r="P244" s="9" t="n">
        <v>5</v>
      </c>
      <c r="Q244" s="9" t="n">
        <v>343</v>
      </c>
      <c r="R244" s="9" t="n">
        <v>0</v>
      </c>
      <c r="S244" s="9" t="n">
        <v>2</v>
      </c>
      <c r="T244" s="9" t="n">
        <v>345</v>
      </c>
      <c r="U244" s="10" t="n">
        <v>1573</v>
      </c>
      <c r="V244" s="10" t="n">
        <v>0</v>
      </c>
      <c r="W244" s="10" t="n">
        <v>0</v>
      </c>
      <c r="X244" s="10" t="n">
        <v>1573</v>
      </c>
      <c r="Y244" s="10" t="n">
        <v>0</v>
      </c>
    </row>
    <row r="245">
      <c r="A245" s="7" t="n">
        <v>245</v>
      </c>
      <c r="B245" s="8" t="inlineStr">
        <is>
          <t>Polling Station 245</t>
        </is>
      </c>
      <c r="C245" s="9" t="n">
        <v>246</v>
      </c>
      <c r="D245" s="9" t="n">
        <v>23</v>
      </c>
      <c r="E245" s="9" t="n">
        <v>4</v>
      </c>
      <c r="F245" s="9" t="n">
        <v>279</v>
      </c>
      <c r="G245" s="9" t="n">
        <v>369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2</v>
      </c>
      <c r="N245" s="9" t="n">
        <v>1</v>
      </c>
      <c r="O245" s="9" t="n">
        <v>0</v>
      </c>
      <c r="P245" s="9" t="n">
        <v>9</v>
      </c>
      <c r="Q245" s="9" t="n">
        <v>0</v>
      </c>
      <c r="R245" s="9" t="n">
        <v>0</v>
      </c>
      <c r="S245" s="9" t="n">
        <v>12</v>
      </c>
      <c r="T245" s="9" t="n">
        <v>741</v>
      </c>
      <c r="U245" s="10" t="n">
        <v>1686</v>
      </c>
      <c r="V245" s="10" t="n">
        <v>0</v>
      </c>
      <c r="W245" s="10" t="n">
        <v>0</v>
      </c>
      <c r="X245" s="10" t="n">
        <v>1686</v>
      </c>
      <c r="Y245" s="10" t="n">
        <v>0</v>
      </c>
    </row>
    <row r="246">
      <c r="A246" s="7" t="n">
        <v>246</v>
      </c>
      <c r="B246" s="8" t="inlineStr">
        <is>
          <t>Polling Station 246</t>
        </is>
      </c>
      <c r="C246" s="9" t="n">
        <v>247</v>
      </c>
      <c r="D246" s="9" t="n">
        <v>0</v>
      </c>
      <c r="E246" s="9" t="n">
        <v>5</v>
      </c>
      <c r="F246" s="9" t="n">
        <v>307</v>
      </c>
      <c r="G246" s="9" t="n">
        <v>304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3</v>
      </c>
      <c r="O246" s="9" t="n">
        <v>0</v>
      </c>
      <c r="P246" s="9" t="n">
        <v>4</v>
      </c>
      <c r="Q246" s="9" t="n">
        <v>651</v>
      </c>
      <c r="R246" s="9" t="n">
        <v>0</v>
      </c>
      <c r="S246" s="9" t="n">
        <v>10</v>
      </c>
      <c r="T246" s="9" t="n">
        <v>661</v>
      </c>
      <c r="U246" s="10" t="n">
        <v>2192</v>
      </c>
      <c r="V246" s="10" t="n">
        <v>0</v>
      </c>
      <c r="W246" s="10" t="n">
        <v>0</v>
      </c>
      <c r="X246" s="10" t="n">
        <v>2192</v>
      </c>
      <c r="Y246" s="10" t="n">
        <v>0</v>
      </c>
    </row>
    <row r="247">
      <c r="A247" s="7" t="n">
        <v>247</v>
      </c>
      <c r="B247" s="8" t="inlineStr">
        <is>
          <t>Polling Station 247</t>
        </is>
      </c>
      <c r="C247" s="9" t="n">
        <v>248</v>
      </c>
      <c r="D247" s="9" t="n">
        <v>0</v>
      </c>
      <c r="E247" s="9" t="n">
        <v>2</v>
      </c>
      <c r="F247" s="9" t="n">
        <v>188</v>
      </c>
      <c r="G247" s="9" t="n">
        <v>1199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1</v>
      </c>
      <c r="N247" s="9" t="n">
        <v>10</v>
      </c>
      <c r="O247" s="9" t="n">
        <v>0</v>
      </c>
      <c r="P247" s="9" t="n">
        <v>4</v>
      </c>
      <c r="Q247" s="9" t="n">
        <v>422</v>
      </c>
      <c r="R247" s="9" t="n">
        <v>0</v>
      </c>
      <c r="S247" s="9" t="n">
        <v>5</v>
      </c>
      <c r="T247" s="9" t="n">
        <v>427</v>
      </c>
      <c r="U247" s="10" t="n">
        <v>2506</v>
      </c>
      <c r="V247" s="10" t="n">
        <v>0</v>
      </c>
      <c r="W247" s="10" t="n">
        <v>0</v>
      </c>
      <c r="X247" s="10" t="n">
        <v>2506</v>
      </c>
      <c r="Y247" s="10" t="n">
        <v>0</v>
      </c>
    </row>
    <row r="248">
      <c r="A248" s="7" t="n">
        <v>248</v>
      </c>
      <c r="B248" s="8" t="inlineStr">
        <is>
          <t>Polling Station 248</t>
        </is>
      </c>
      <c r="C248" s="9" t="n">
        <v>249</v>
      </c>
      <c r="D248" s="9" t="n">
        <v>0</v>
      </c>
      <c r="E248" s="9" t="n">
        <v>5</v>
      </c>
      <c r="F248" s="9" t="n">
        <v>415</v>
      </c>
      <c r="G248" s="9" t="n">
        <v>253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87</v>
      </c>
      <c r="M248" s="9" t="n">
        <v>0</v>
      </c>
      <c r="N248" s="9" t="n">
        <v>5</v>
      </c>
      <c r="O248" s="9" t="n">
        <v>0</v>
      </c>
      <c r="P248" s="9" t="n">
        <v>7</v>
      </c>
      <c r="Q248" s="9" t="n">
        <v>709</v>
      </c>
      <c r="R248" s="9" t="n">
        <v>0</v>
      </c>
      <c r="S248" s="9" t="n">
        <v>5</v>
      </c>
      <c r="T248" s="9" t="n">
        <v>714</v>
      </c>
      <c r="U248" s="10" t="n">
        <v>2449</v>
      </c>
      <c r="V248" s="10" t="n">
        <v>0</v>
      </c>
      <c r="W248" s="10" t="n">
        <v>0</v>
      </c>
      <c r="X248" s="10" t="n">
        <v>2449</v>
      </c>
      <c r="Y248" s="10" t="n">
        <v>0</v>
      </c>
    </row>
    <row r="249">
      <c r="A249" s="7" t="n">
        <v>249</v>
      </c>
      <c r="B249" s="8" t="inlineStr">
        <is>
          <t>Polling Station 249</t>
        </is>
      </c>
      <c r="C249" s="9" t="n">
        <v>250</v>
      </c>
      <c r="D249" s="9" t="n">
        <v>116</v>
      </c>
      <c r="E249" s="9" t="n">
        <v>8</v>
      </c>
      <c r="F249" s="9" t="n">
        <v>113</v>
      </c>
      <c r="G249" s="9" t="n">
        <v>399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3</v>
      </c>
      <c r="N249" s="9" t="n">
        <v>8</v>
      </c>
      <c r="O249" s="9" t="n">
        <v>0</v>
      </c>
      <c r="P249" s="9" t="n">
        <v>4</v>
      </c>
      <c r="Q249" s="9" t="n">
        <v>672</v>
      </c>
      <c r="R249" s="9" t="n">
        <v>0</v>
      </c>
      <c r="S249" s="9" t="n">
        <v>12</v>
      </c>
      <c r="T249" s="9" t="n">
        <v>684</v>
      </c>
      <c r="U249" s="10" t="n">
        <v>2269</v>
      </c>
      <c r="V249" s="10" t="n">
        <v>0</v>
      </c>
      <c r="W249" s="10" t="n">
        <v>0</v>
      </c>
      <c r="X249" s="10" t="n">
        <v>2269</v>
      </c>
      <c r="Y249" s="10" t="n">
        <v>0</v>
      </c>
    </row>
    <row r="250">
      <c r="A250" s="7" t="n">
        <v>250</v>
      </c>
      <c r="B250" s="8" t="inlineStr">
        <is>
          <t>| 250</t>
        </is>
      </c>
      <c r="C250" s="9" t="n">
        <v>251</v>
      </c>
      <c r="D250" s="9" t="n">
        <v>142</v>
      </c>
      <c r="E250" s="9" t="n">
        <v>0</v>
      </c>
      <c r="F250" s="9" t="n">
        <v>113</v>
      </c>
      <c r="G250" s="9" t="n">
        <v>426</v>
      </c>
      <c r="H250" s="9" t="n">
        <v>4</v>
      </c>
      <c r="I250" s="9" t="n">
        <v>2</v>
      </c>
      <c r="J250" s="9" t="n">
        <v>7</v>
      </c>
      <c r="K250" s="9" t="n">
        <v>0</v>
      </c>
      <c r="L250" s="9" t="n">
        <v>0</v>
      </c>
      <c r="M250" s="9" t="n">
        <v>2</v>
      </c>
      <c r="N250" s="9" t="n">
        <v>9</v>
      </c>
      <c r="O250" s="9" t="n">
        <v>0</v>
      </c>
      <c r="P250" s="9" t="n">
        <v>14</v>
      </c>
      <c r="Q250" s="9" t="n">
        <v>743</v>
      </c>
      <c r="R250" s="9" t="n">
        <v>0</v>
      </c>
      <c r="S250" s="9" t="n">
        <v>6</v>
      </c>
      <c r="T250" s="9" t="n">
        <v>749</v>
      </c>
      <c r="U250" s="10" t="n">
        <v>2468</v>
      </c>
      <c r="V250" s="10" t="n">
        <v>0</v>
      </c>
      <c r="W250" s="10" t="n">
        <v>0</v>
      </c>
      <c r="X250" s="10" t="n">
        <v>2468</v>
      </c>
      <c r="Y250" s="10" t="n">
        <v>0</v>
      </c>
    </row>
    <row r="251">
      <c r="A251" s="7" t="n">
        <v>251</v>
      </c>
      <c r="B251" s="8" t="inlineStr">
        <is>
          <t>| 251</t>
        </is>
      </c>
      <c r="C251" s="9" t="n">
        <v>252</v>
      </c>
      <c r="D251" s="9" t="n">
        <v>0</v>
      </c>
      <c r="E251" s="9" t="n">
        <v>0</v>
      </c>
      <c r="F251" s="9" t="n">
        <v>151</v>
      </c>
      <c r="G251" s="9" t="n">
        <v>347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123</v>
      </c>
      <c r="O251" s="9" t="n">
        <v>0</v>
      </c>
      <c r="P251" s="9" t="n">
        <v>7</v>
      </c>
      <c r="Q251" s="9" t="n">
        <v>556</v>
      </c>
      <c r="R251" s="9" t="n">
        <v>0</v>
      </c>
      <c r="S251" s="9" t="n">
        <v>5</v>
      </c>
      <c r="T251" s="9" t="n">
        <v>561</v>
      </c>
      <c r="U251" s="10" t="n">
        <v>2002</v>
      </c>
      <c r="V251" s="10" t="n">
        <v>0</v>
      </c>
      <c r="W251" s="10" t="n">
        <v>0</v>
      </c>
      <c r="X251" s="10" t="n">
        <v>2002</v>
      </c>
      <c r="Y251" s="10" t="n">
        <v>0</v>
      </c>
    </row>
    <row r="252">
      <c r="A252" s="7" t="n">
        <v>252</v>
      </c>
      <c r="B252" s="8" t="inlineStr">
        <is>
          <t>Polling Station 252</t>
        </is>
      </c>
      <c r="C252" s="9" t="n">
        <v>253</v>
      </c>
      <c r="D252" s="9" t="n">
        <v>0</v>
      </c>
      <c r="E252" s="9" t="n">
        <v>0</v>
      </c>
      <c r="F252" s="9" t="n">
        <v>180</v>
      </c>
      <c r="G252" s="9" t="n">
        <v>244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7</v>
      </c>
      <c r="O252" s="9" t="n">
        <v>0</v>
      </c>
      <c r="P252" s="9" t="n">
        <v>2</v>
      </c>
      <c r="Q252" s="9" t="n">
        <v>484</v>
      </c>
      <c r="R252" s="9" t="n">
        <v>0</v>
      </c>
      <c r="S252" s="9" t="n">
        <v>6</v>
      </c>
      <c r="T252" s="9" t="n">
        <v>490</v>
      </c>
      <c r="U252" s="10" t="n">
        <v>1666</v>
      </c>
      <c r="V252" s="10" t="n">
        <v>0</v>
      </c>
      <c r="W252" s="10" t="n">
        <v>0</v>
      </c>
      <c r="X252" s="10" t="n">
        <v>1666</v>
      </c>
      <c r="Y252" s="10" t="n">
        <v>0</v>
      </c>
    </row>
    <row r="253">
      <c r="A253" s="7" t="n">
        <v>253</v>
      </c>
      <c r="B253" s="8" t="inlineStr">
        <is>
          <t>Polling Station 253</t>
        </is>
      </c>
      <c r="C253" s="9" t="n">
        <v>254</v>
      </c>
      <c r="D253" s="9" t="n">
        <v>0</v>
      </c>
      <c r="E253" s="9" t="n">
        <v>0</v>
      </c>
      <c r="F253" s="9" t="n">
        <v>0</v>
      </c>
      <c r="G253" s="9" t="n">
        <v>104</v>
      </c>
      <c r="H253" s="9" t="n">
        <v>0</v>
      </c>
      <c r="I253" s="9" t="n">
        <v>0</v>
      </c>
      <c r="J253" s="9" t="n">
        <v>0</v>
      </c>
      <c r="K253" s="9" t="n">
        <v>1</v>
      </c>
      <c r="L253" s="9" t="n">
        <v>0</v>
      </c>
      <c r="M253" s="9" t="n">
        <v>2</v>
      </c>
      <c r="N253" s="9" t="n">
        <v>4</v>
      </c>
      <c r="O253" s="9" t="n">
        <v>0</v>
      </c>
      <c r="P253" s="9" t="n">
        <v>1</v>
      </c>
      <c r="Q253" s="9" t="n">
        <v>198</v>
      </c>
      <c r="R253" s="9" t="n">
        <v>0</v>
      </c>
      <c r="S253" s="9" t="n">
        <v>1</v>
      </c>
      <c r="T253" s="9" t="n">
        <v>199</v>
      </c>
      <c r="U253" s="10" t="n">
        <v>764</v>
      </c>
      <c r="V253" s="10" t="n">
        <v>0</v>
      </c>
      <c r="W253" s="10" t="n">
        <v>0</v>
      </c>
      <c r="X253" s="10" t="n">
        <v>764</v>
      </c>
      <c r="Y253" s="10" t="n">
        <v>0</v>
      </c>
    </row>
    <row r="254">
      <c r="A254" s="7" t="n">
        <v>254</v>
      </c>
      <c r="B254" s="8" t="inlineStr">
        <is>
          <t>Polling Station 254</t>
        </is>
      </c>
      <c r="C254" s="9" t="n">
        <v>255</v>
      </c>
      <c r="D254" s="9" t="n">
        <v>2</v>
      </c>
      <c r="E254" s="9" t="n">
        <v>0</v>
      </c>
      <c r="F254" s="9" t="n">
        <v>209</v>
      </c>
      <c r="G254" s="9" t="n">
        <v>258</v>
      </c>
      <c r="H254" s="9" t="n">
        <v>2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1</v>
      </c>
      <c r="N254" s="9" t="n">
        <v>7</v>
      </c>
      <c r="O254" s="9" t="n">
        <v>0</v>
      </c>
      <c r="P254" s="9" t="n">
        <v>4</v>
      </c>
      <c r="Q254" s="9" t="n">
        <v>504</v>
      </c>
      <c r="R254" s="9" t="n">
        <v>0</v>
      </c>
      <c r="S254" s="9" t="n">
        <v>9</v>
      </c>
      <c r="T254" s="9" t="n">
        <v>513</v>
      </c>
      <c r="U254" s="10" t="n">
        <v>1764</v>
      </c>
      <c r="V254" s="10" t="n">
        <v>0</v>
      </c>
      <c r="W254" s="10" t="n">
        <v>0</v>
      </c>
      <c r="X254" s="10" t="n">
        <v>1764</v>
      </c>
      <c r="Y254" s="10" t="n">
        <v>0</v>
      </c>
    </row>
    <row r="255">
      <c r="A255" s="7" t="n">
        <v>255</v>
      </c>
      <c r="B255" s="8" t="inlineStr">
        <is>
          <t>Polling Station 255</t>
        </is>
      </c>
      <c r="C255" s="9" t="n">
        <v>256</v>
      </c>
      <c r="D255" s="9" t="n">
        <v>46</v>
      </c>
      <c r="E255" s="9" t="n">
        <v>0</v>
      </c>
      <c r="F255" s="9" t="n">
        <v>255</v>
      </c>
      <c r="G255" s="9" t="n">
        <v>478</v>
      </c>
      <c r="H255" s="9" t="n">
        <v>0</v>
      </c>
      <c r="I255" s="9" t="n">
        <v>0</v>
      </c>
      <c r="J255" s="9" t="n">
        <v>0</v>
      </c>
      <c r="K255" s="9" t="n">
        <v>5</v>
      </c>
      <c r="L255" s="9" t="n">
        <v>0</v>
      </c>
      <c r="M255" s="9" t="n">
        <v>4</v>
      </c>
      <c r="N255" s="9" t="n">
        <v>8</v>
      </c>
      <c r="O255" s="9" t="n">
        <v>0</v>
      </c>
      <c r="P255" s="9" t="n">
        <v>7</v>
      </c>
      <c r="Q255" s="9" t="n">
        <v>826</v>
      </c>
      <c r="R255" s="9" t="n">
        <v>0</v>
      </c>
      <c r="S255" s="9" t="n">
        <v>6</v>
      </c>
      <c r="T255" s="9" t="n">
        <v>832</v>
      </c>
      <c r="U255" s="10" t="n">
        <v>2723</v>
      </c>
      <c r="V255" s="10" t="n">
        <v>0</v>
      </c>
      <c r="W255" s="10" t="n">
        <v>0</v>
      </c>
      <c r="X255" s="10" t="n">
        <v>2723</v>
      </c>
      <c r="Y255" s="10" t="n">
        <v>0</v>
      </c>
    </row>
    <row r="256">
      <c r="A256" s="7" t="n">
        <v>256</v>
      </c>
      <c r="B256" s="8" t="inlineStr">
        <is>
          <t>Polling Station 256</t>
        </is>
      </c>
      <c r="C256" s="9" t="n">
        <v>257</v>
      </c>
      <c r="D256" s="9" t="n">
        <v>24</v>
      </c>
      <c r="E256" s="9" t="n">
        <v>5</v>
      </c>
      <c r="F256" s="9" t="n">
        <v>313</v>
      </c>
      <c r="G256" s="9" t="n">
        <v>307</v>
      </c>
      <c r="H256" s="9" t="n">
        <v>7</v>
      </c>
      <c r="I256" s="9" t="n">
        <v>1</v>
      </c>
      <c r="J256" s="9" t="n">
        <v>2</v>
      </c>
      <c r="K256" s="9" t="n">
        <v>3</v>
      </c>
      <c r="L256" s="9" t="n">
        <v>1</v>
      </c>
      <c r="M256" s="9" t="n">
        <v>6</v>
      </c>
      <c r="N256" s="9" t="n">
        <v>4</v>
      </c>
      <c r="O256" s="9" t="n">
        <v>123</v>
      </c>
      <c r="P256" s="9" t="n">
        <v>5</v>
      </c>
      <c r="Q256" s="9" t="n">
        <v>691</v>
      </c>
      <c r="R256" s="9" t="n">
        <v>0</v>
      </c>
      <c r="S256" s="9" t="n">
        <v>6</v>
      </c>
      <c r="T256" s="9" t="n">
        <v>697</v>
      </c>
      <c r="U256" s="10" t="n">
        <v>2452</v>
      </c>
      <c r="V256" s="10" t="n">
        <v>0</v>
      </c>
      <c r="W256" s="10" t="n">
        <v>0</v>
      </c>
      <c r="X256" s="10" t="n">
        <v>2452</v>
      </c>
      <c r="Y256" s="10" t="n">
        <v>0</v>
      </c>
    </row>
    <row r="257">
      <c r="A257" s="7" t="n">
        <v>257</v>
      </c>
      <c r="B257" s="8" t="inlineStr">
        <is>
          <t>Polling Station 257</t>
        </is>
      </c>
      <c r="C257" s="9" t="n">
        <v>258</v>
      </c>
      <c r="D257" s="9" t="n">
        <v>19</v>
      </c>
      <c r="E257" s="9" t="n">
        <v>5</v>
      </c>
      <c r="F257" s="9" t="n">
        <v>231</v>
      </c>
      <c r="G257" s="9" t="n">
        <v>202</v>
      </c>
      <c r="H257" s="9" t="n">
        <v>1</v>
      </c>
      <c r="I257" s="9" t="n">
        <v>1</v>
      </c>
      <c r="J257" s="9" t="n">
        <v>1</v>
      </c>
      <c r="K257" s="9" t="n">
        <v>0</v>
      </c>
      <c r="L257" s="9" t="n">
        <v>1</v>
      </c>
      <c r="M257" s="9" t="n">
        <v>2</v>
      </c>
      <c r="N257" s="9" t="n">
        <v>4</v>
      </c>
      <c r="O257" s="9" t="n">
        <v>10</v>
      </c>
      <c r="P257" s="9" t="n">
        <v>4</v>
      </c>
      <c r="Q257" s="9" t="n">
        <v>481</v>
      </c>
      <c r="R257" s="9" t="n">
        <v>0</v>
      </c>
      <c r="S257" s="9" t="n">
        <v>4</v>
      </c>
      <c r="T257" s="9" t="n">
        <v>495</v>
      </c>
      <c r="U257" s="10" t="n">
        <v>1719</v>
      </c>
      <c r="V257" s="10" t="n">
        <v>0</v>
      </c>
      <c r="W257" s="10" t="n">
        <v>0</v>
      </c>
      <c r="X257" s="10" t="n">
        <v>1719</v>
      </c>
      <c r="Y257" s="10" t="n">
        <v>0</v>
      </c>
    </row>
    <row r="258">
      <c r="A258" s="7" t="n">
        <v>258</v>
      </c>
      <c r="B258" s="8" t="inlineStr">
        <is>
          <t>Polling Station 258</t>
        </is>
      </c>
      <c r="C258" s="9" t="n">
        <v>259</v>
      </c>
      <c r="D258" s="9" t="n">
        <v>88</v>
      </c>
      <c r="E258" s="9" t="n">
        <v>12</v>
      </c>
      <c r="F258" s="9" t="n">
        <v>205</v>
      </c>
      <c r="G258" s="9" t="n">
        <v>441</v>
      </c>
      <c r="H258" s="9" t="n">
        <v>6</v>
      </c>
      <c r="I258" s="9" t="n">
        <v>0</v>
      </c>
      <c r="J258" s="9" t="n">
        <v>1</v>
      </c>
      <c r="K258" s="9" t="n">
        <v>4</v>
      </c>
      <c r="L258" s="9" t="n">
        <v>4</v>
      </c>
      <c r="M258" s="9" t="n">
        <v>6</v>
      </c>
      <c r="N258" s="9" t="n">
        <v>15</v>
      </c>
      <c r="O258" s="9" t="n">
        <v>2</v>
      </c>
      <c r="P258" s="9" t="n">
        <v>1</v>
      </c>
      <c r="Q258" s="9" t="n">
        <v>815</v>
      </c>
      <c r="R258" s="9" t="n">
        <v>0</v>
      </c>
      <c r="S258" s="9" t="n">
        <v>5</v>
      </c>
      <c r="T258" s="9" t="n">
        <v>820</v>
      </c>
      <c r="U258" s="10" t="n">
        <v>2684</v>
      </c>
      <c r="V258" s="10" t="n">
        <v>0</v>
      </c>
      <c r="W258" s="10" t="n">
        <v>0</v>
      </c>
      <c r="X258" s="10" t="n">
        <v>2684</v>
      </c>
      <c r="Y258" s="10" t="n">
        <v>0</v>
      </c>
    </row>
    <row r="259">
      <c r="A259" s="7" t="n">
        <v>259</v>
      </c>
      <c r="B259" s="8" t="inlineStr">
        <is>
          <t>Polling Station 259</t>
        </is>
      </c>
      <c r="C259" s="9" t="n">
        <v>260</v>
      </c>
      <c r="D259" s="9" t="n">
        <v>43</v>
      </c>
      <c r="E259" s="9" t="n">
        <v>16</v>
      </c>
      <c r="F259" s="9" t="n">
        <v>260</v>
      </c>
      <c r="G259" s="9" t="n">
        <v>332</v>
      </c>
      <c r="H259" s="9" t="n">
        <v>0</v>
      </c>
      <c r="I259" s="9" t="n">
        <v>2</v>
      </c>
      <c r="J259" s="9" t="n">
        <v>0</v>
      </c>
      <c r="K259" s="9" t="n">
        <v>0</v>
      </c>
      <c r="L259" s="9" t="n">
        <v>1</v>
      </c>
      <c r="M259" s="9" t="n">
        <v>3</v>
      </c>
      <c r="N259" s="9" t="n">
        <v>14</v>
      </c>
      <c r="O259" s="9" t="n">
        <v>15</v>
      </c>
      <c r="P259" s="9" t="n">
        <v>6</v>
      </c>
      <c r="Q259" s="9" t="n">
        <v>692</v>
      </c>
      <c r="R259" s="9" t="n">
        <v>0</v>
      </c>
      <c r="S259" s="9" t="n">
        <v>8</v>
      </c>
      <c r="T259" s="9" t="n">
        <v>700</v>
      </c>
      <c r="U259" s="10" t="n">
        <v>2352</v>
      </c>
      <c r="V259" s="10" t="n">
        <v>0</v>
      </c>
      <c r="W259" s="10" t="n">
        <v>0</v>
      </c>
      <c r="X259" s="10" t="n">
        <v>2352</v>
      </c>
      <c r="Y259" s="10" t="n">
        <v>0</v>
      </c>
    </row>
    <row r="260">
      <c r="A260" s="7" t="n">
        <v>260</v>
      </c>
      <c r="B260" s="8" t="inlineStr">
        <is>
          <t>Polling Station 260</t>
        </is>
      </c>
      <c r="C260" s="9" t="n">
        <v>261</v>
      </c>
      <c r="D260" s="9" t="n">
        <v>8</v>
      </c>
      <c r="E260" s="9" t="n">
        <v>3</v>
      </c>
      <c r="F260" s="9" t="n">
        <v>257</v>
      </c>
      <c r="G260" s="9" t="n">
        <v>262</v>
      </c>
      <c r="H260" s="9" t="n">
        <v>1</v>
      </c>
      <c r="I260" s="9" t="n">
        <v>0</v>
      </c>
      <c r="J260" s="9" t="n">
        <v>1</v>
      </c>
      <c r="K260" s="9" t="n">
        <v>2</v>
      </c>
      <c r="L260" s="9" t="n">
        <v>0</v>
      </c>
      <c r="M260" s="9" t="n">
        <v>1</v>
      </c>
      <c r="N260" s="9" t="n">
        <v>8</v>
      </c>
      <c r="O260" s="9" t="n">
        <v>10</v>
      </c>
      <c r="P260" s="9" t="n">
        <v>3</v>
      </c>
      <c r="Q260" s="9" t="n">
        <v>557</v>
      </c>
      <c r="R260" s="9" t="n">
        <v>0</v>
      </c>
      <c r="S260" s="9" t="n">
        <v>2</v>
      </c>
      <c r="T260" s="9" t="n">
        <v>559</v>
      </c>
      <c r="U260" s="10" t="n">
        <v>1935</v>
      </c>
      <c r="V260" s="10" t="n">
        <v>0</v>
      </c>
      <c r="W260" s="10" t="n">
        <v>0</v>
      </c>
      <c r="X260" s="10" t="n">
        <v>1935</v>
      </c>
      <c r="Y260" s="10" t="n">
        <v>0</v>
      </c>
    </row>
    <row r="261">
      <c r="A261" s="11" t="inlineStr">
        <is>
          <t>TOTAL EVM VOTES</t>
        </is>
      </c>
      <c r="B261" s="12" t="n"/>
      <c r="C261" s="13">
        <f>SUM(C6:C260)</f>
        <v/>
      </c>
      <c r="D261" s="13">
        <f>SUM(D6:D260)</f>
        <v/>
      </c>
      <c r="E261" s="13">
        <f>SUM(E6:E260)</f>
        <v/>
      </c>
      <c r="F261" s="13">
        <f>SUM(F6:F260)</f>
        <v/>
      </c>
      <c r="G261" s="13">
        <f>SUM(G6:G260)</f>
        <v/>
      </c>
      <c r="H261" s="13">
        <f>SUM(H6:H260)</f>
        <v/>
      </c>
      <c r="I261" s="13">
        <f>SUM(I6:I260)</f>
        <v/>
      </c>
      <c r="J261" s="13">
        <f>SUM(J6:J260)</f>
        <v/>
      </c>
      <c r="K261" s="13">
        <f>SUM(K6:K260)</f>
        <v/>
      </c>
      <c r="L261" s="13">
        <f>SUM(L6:L260)</f>
        <v/>
      </c>
      <c r="M261" s="13">
        <f>SUM(M6:M260)</f>
        <v/>
      </c>
      <c r="N261" s="13">
        <f>SUM(N6:N260)</f>
        <v/>
      </c>
      <c r="O261" s="13">
        <f>SUM(O6:O260)</f>
        <v/>
      </c>
      <c r="P261" s="13">
        <f>SUM(P6:P260)</f>
        <v/>
      </c>
      <c r="Q261" s="13">
        <f>SUM(Q6:Q260)</f>
        <v/>
      </c>
      <c r="R261" s="13">
        <f>SUM(R6:R260)</f>
        <v/>
      </c>
      <c r="S261" s="13">
        <f>SUM(S6:S260)</f>
        <v/>
      </c>
      <c r="T261" s="13">
        <f>SUM(T6:T260)</f>
        <v/>
      </c>
      <c r="U261" s="13">
        <f>SUM(U6:U260)</f>
        <v/>
      </c>
      <c r="V261" s="13">
        <f>SUM(V6:V260)</f>
        <v/>
      </c>
      <c r="W261" s="13">
        <f>SUM(W6:W260)</f>
        <v/>
      </c>
      <c r="X261" s="13">
        <f>SUM(X6:X260)</f>
        <v/>
      </c>
      <c r="Y261" s="13">
        <f>SUM(Y6:Y260)</f>
        <v/>
      </c>
    </row>
    <row r="262">
      <c r="A262" s="11" t="inlineStr">
        <is>
          <t>POSTAL BALLOT VOTES</t>
        </is>
      </c>
      <c r="B262" s="12" t="n"/>
      <c r="C262" s="13" t="n">
        <v>0</v>
      </c>
      <c r="D262" s="13" t="n">
        <v>0</v>
      </c>
      <c r="E262" s="13" t="n">
        <v>0</v>
      </c>
      <c r="F262" s="13" t="n">
        <v>0</v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0</v>
      </c>
      <c r="R262" s="13" t="n">
        <v>0</v>
      </c>
      <c r="S262" s="13" t="n">
        <v>0</v>
      </c>
      <c r="T262" s="13" t="n">
        <v>0</v>
      </c>
      <c r="U262" s="13" t="n">
        <v>0</v>
      </c>
      <c r="V262" s="13" t="n">
        <v>0</v>
      </c>
      <c r="W262" s="13" t="n">
        <v>0</v>
      </c>
      <c r="X262" s="13" t="n">
        <v>0</v>
      </c>
      <c r="Y262" s="13" t="n">
        <v>0</v>
      </c>
    </row>
    <row r="263">
      <c r="A263" s="11" t="inlineStr">
        <is>
          <t>TOTAL VOTES POLLED</t>
        </is>
      </c>
      <c r="B263" s="12" t="n"/>
      <c r="C263" s="14">
        <f>C261+C262</f>
        <v/>
      </c>
      <c r="D263" s="14">
        <f>D261+D262</f>
        <v/>
      </c>
      <c r="E263" s="14">
        <f>E261+E262</f>
        <v/>
      </c>
      <c r="F263" s="14">
        <f>F261+F262</f>
        <v/>
      </c>
      <c r="G263" s="14">
        <f>G261+G262</f>
        <v/>
      </c>
      <c r="H263" s="14">
        <f>H261+H262</f>
        <v/>
      </c>
      <c r="I263" s="14">
        <f>I261+I262</f>
        <v/>
      </c>
      <c r="J263" s="14">
        <f>J261+J262</f>
        <v/>
      </c>
      <c r="K263" s="14">
        <f>K261+K262</f>
        <v/>
      </c>
      <c r="L263" s="14">
        <f>L261+L262</f>
        <v/>
      </c>
      <c r="M263" s="14">
        <f>M261+M262</f>
        <v/>
      </c>
      <c r="N263" s="14">
        <f>N261+N262</f>
        <v/>
      </c>
      <c r="O263" s="14">
        <f>O261+O262</f>
        <v/>
      </c>
      <c r="P263" s="14">
        <f>P261+P262</f>
        <v/>
      </c>
      <c r="Q263" s="14">
        <f>Q261+Q262</f>
        <v/>
      </c>
      <c r="R263" s="14">
        <f>R261+R262</f>
        <v/>
      </c>
      <c r="S263" s="14">
        <f>S261+S262</f>
        <v/>
      </c>
      <c r="T263" s="14">
        <f>T261+T262</f>
        <v/>
      </c>
      <c r="U263" s="14">
        <f>U261+U262</f>
        <v/>
      </c>
      <c r="V263" s="14">
        <f>V261+V262</f>
        <v/>
      </c>
      <c r="W263" s="14">
        <f>W261+W262</f>
        <v/>
      </c>
      <c r="X263" s="14">
        <f>X261+X262</f>
        <v/>
      </c>
      <c r="Y263" s="14">
        <f>Y261+Y262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5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27" customWidth="1" min="4" max="4"/>
    <col width="19" customWidth="1" min="5" max="5"/>
    <col width="28" customWidth="1" min="6" max="6"/>
    <col width="18" customWidth="1" min="7" max="7"/>
    <col width="19" customWidth="1" min="8" max="8"/>
    <col width="19" customWidth="1" min="9" max="9"/>
    <col width="21" customWidth="1" min="10" max="10"/>
    <col width="24" customWidth="1" min="11" max="11"/>
    <col width="21" customWidth="1" min="12" max="12"/>
    <col width="17" customWidth="1" min="13" max="13"/>
    <col width="20" customWidth="1" min="14" max="14"/>
    <col width="16" customWidth="1" min="15" max="15"/>
    <col width="21" customWidth="1" min="16" max="16"/>
    <col width="17" customWidth="1" min="17" max="17"/>
    <col width="20" customWidth="1" min="18" max="18"/>
    <col width="22" customWidth="1" min="19" max="19"/>
    <col width="22" customWidth="1" min="20" max="20"/>
    <col width="21" customWidth="1" min="21" max="21"/>
    <col width="20" customWidth="1" min="22" max="22"/>
    <col width="17" customWidth="1" min="23" max="23"/>
    <col width="16" customWidth="1" min="24" max="24"/>
    <col width="16" customWidth="1" min="25" max="25"/>
    <col width="17" customWidth="1" min="26" max="26"/>
  </cols>
  <sheetData>
    <row r="1">
      <c r="A1" s="1" t="inlineStr">
        <is>
          <t>Telangana Legislative Assembly General Election 2018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28-Vemulawada Assembly Constituency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Aadi Srinivas</t>
        </is>
      </c>
      <c r="D5" s="6" t="inlineStr">
        <is>
          <t>Chennamaneni Ramesh Babu</t>
        </is>
      </c>
      <c r="E5" s="6" t="inlineStr">
        <is>
          <t>Surabhi Rama Rao</t>
        </is>
      </c>
      <c r="F5" s="6" t="inlineStr">
        <is>
          <t>Kethireddy Srinivas Reddy</t>
        </is>
      </c>
      <c r="G5" s="6" t="inlineStr">
        <is>
          <t>Rudroju Bhaskar</t>
        </is>
      </c>
      <c r="H5" s="6" t="inlineStr">
        <is>
          <t>Vangara Ravinder</t>
        </is>
      </c>
      <c r="I5" s="6" t="inlineStr">
        <is>
          <t>Srihari Kotagiri</t>
        </is>
      </c>
      <c r="J5" s="6" t="inlineStr">
        <is>
          <t>Kummari Rajalingam</t>
        </is>
      </c>
      <c r="K5" s="6" t="inlineStr">
        <is>
          <t>Gollapelli Thirupathi</t>
        </is>
      </c>
      <c r="L5" s="6" t="inlineStr">
        <is>
          <t>Jujunoori Sathaiah</t>
        </is>
      </c>
      <c r="M5" s="6" t="inlineStr">
        <is>
          <t>Pasula Mallesh</t>
        </is>
      </c>
      <c r="N5" s="6" t="inlineStr">
        <is>
          <t>Raju Nayak Banoth</t>
        </is>
      </c>
      <c r="O5" s="6" t="inlineStr">
        <is>
          <t>Keesari Raju</t>
        </is>
      </c>
      <c r="P5" s="6" t="inlineStr">
        <is>
          <t>Vadapalli Srinivas</t>
        </is>
      </c>
      <c r="Q5" s="6" t="inlineStr">
        <is>
          <t>Shaik Mohammed</t>
        </is>
      </c>
      <c r="R5" s="6" t="inlineStr">
        <is>
          <t>Shanigaram Rakesh</t>
        </is>
      </c>
      <c r="S5" s="6" t="inlineStr">
        <is>
          <t>Sama Srinivas Reddy</t>
        </is>
      </c>
      <c r="T5" s="6" t="inlineStr">
        <is>
          <t>Pappula Shankaraiah</t>
        </is>
      </c>
      <c r="U5" s="6" t="inlineStr">
        <is>
          <t>Kalyanam Ravikumar</t>
        </is>
      </c>
      <c r="V5" s="5" t="inlineStr">
        <is>
          <t>Total_Valid_Votes</t>
        </is>
      </c>
      <c r="W5" s="5" t="inlineStr">
        <is>
          <t>Rejected_Votes</t>
        </is>
      </c>
      <c r="X5" s="5" t="inlineStr">
        <is>
          <t>NOTA</t>
        </is>
      </c>
      <c r="Y5" s="5" t="inlineStr">
        <is>
          <t>Total_Votes</t>
        </is>
      </c>
      <c r="Z5" s="5" t="inlineStr">
        <is>
          <t>Tendered_Votes</t>
        </is>
      </c>
    </row>
    <row r="6">
      <c r="A6" s="7" t="n">
        <v>1</v>
      </c>
      <c r="B6" s="8" t="inlineStr">
        <is>
          <t>Name of
Assembly C</t>
        </is>
      </c>
      <c r="C6" s="9" t="n">
        <v>0</v>
      </c>
      <c r="D6" s="9" t="n">
        <v>2</v>
      </c>
      <c r="E6" s="9" t="n">
        <v>3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5</v>
      </c>
      <c r="W6" s="10" t="n">
        <v>0</v>
      </c>
      <c r="X6" s="10" t="n">
        <v>0</v>
      </c>
      <c r="Y6" s="10" t="n">
        <v>5</v>
      </c>
      <c r="Z6" s="10" t="n">
        <v>0</v>
      </c>
    </row>
    <row r="7">
      <c r="A7" s="7" t="n">
        <v>2</v>
      </c>
      <c r="B7" s="8" t="inlineStr">
        <is>
          <t>Polling Station 2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</row>
    <row r="8">
      <c r="A8" s="7" t="n">
        <v>3</v>
      </c>
      <c r="B8" s="8" t="inlineStr">
        <is>
          <t>Polling Station 3</t>
        </is>
      </c>
      <c r="C8" s="9" t="n">
        <v>3</v>
      </c>
      <c r="D8" s="9" t="n">
        <v>4</v>
      </c>
      <c r="E8" s="9" t="n">
        <v>5</v>
      </c>
      <c r="F8" s="9" t="n">
        <v>6</v>
      </c>
      <c r="G8" s="9" t="n">
        <v>7</v>
      </c>
      <c r="H8" s="9" t="n">
        <v>8</v>
      </c>
      <c r="I8" s="9" t="n">
        <v>9</v>
      </c>
      <c r="J8" s="9" t="n">
        <v>10</v>
      </c>
      <c r="K8" s="9" t="n">
        <v>1</v>
      </c>
      <c r="L8" s="9" t="n">
        <v>2</v>
      </c>
      <c r="M8" s="9" t="n">
        <v>13</v>
      </c>
      <c r="N8" s="9" t="n">
        <v>4</v>
      </c>
      <c r="O8" s="9" t="n">
        <v>5</v>
      </c>
      <c r="P8" s="9" t="n">
        <v>16</v>
      </c>
      <c r="Q8" s="9" t="n">
        <v>7</v>
      </c>
      <c r="R8" s="9" t="n">
        <v>18</v>
      </c>
      <c r="S8" s="9" t="n">
        <v>19</v>
      </c>
      <c r="T8" s="9" t="n">
        <v>20</v>
      </c>
      <c r="U8" s="9" t="n">
        <v>2</v>
      </c>
      <c r="V8" s="10" t="n">
        <v>159</v>
      </c>
      <c r="W8" s="10" t="n">
        <v>0</v>
      </c>
      <c r="X8" s="10" t="n">
        <v>0</v>
      </c>
      <c r="Y8" s="10" t="n">
        <v>159</v>
      </c>
      <c r="Z8" s="10" t="n">
        <v>0</v>
      </c>
    </row>
    <row r="9">
      <c r="A9" s="7" t="n">
        <v>4</v>
      </c>
      <c r="B9" s="8">
        <f> |Porumalla</f>
        <v/>
      </c>
      <c r="C9" s="9" t="n">
        <v>134</v>
      </c>
      <c r="D9" s="9" t="n">
        <v>608</v>
      </c>
      <c r="E9" s="9" t="n">
        <v>23</v>
      </c>
      <c r="F9" s="9" t="n">
        <v>5</v>
      </c>
      <c r="G9" s="9" t="n">
        <v>3</v>
      </c>
      <c r="H9" s="9" t="n">
        <v>2</v>
      </c>
      <c r="I9" s="9" t="n">
        <v>3</v>
      </c>
      <c r="J9" s="9" t="n">
        <v>1</v>
      </c>
      <c r="K9" s="9" t="n">
        <v>0</v>
      </c>
      <c r="L9" s="9" t="n">
        <v>3</v>
      </c>
      <c r="M9" s="9" t="n">
        <v>2</v>
      </c>
      <c r="N9" s="9" t="n">
        <v>0</v>
      </c>
      <c r="O9" s="9" t="n">
        <v>6</v>
      </c>
      <c r="P9" s="9" t="n">
        <v>0</v>
      </c>
      <c r="Q9" s="9" t="n">
        <v>13</v>
      </c>
      <c r="R9" s="9" t="n">
        <v>814</v>
      </c>
      <c r="S9" s="9" t="n">
        <v>16</v>
      </c>
      <c r="T9" s="9" t="n">
        <v>0</v>
      </c>
      <c r="U9" s="9" t="n">
        <v>830</v>
      </c>
      <c r="V9" s="10" t="n">
        <v>2463</v>
      </c>
      <c r="W9" s="10" t="n">
        <v>0</v>
      </c>
      <c r="X9" s="10" t="n">
        <v>0</v>
      </c>
      <c r="Y9" s="10" t="n">
        <v>2463</v>
      </c>
      <c r="Z9" s="10" t="n">
        <v>0</v>
      </c>
    </row>
    <row r="10">
      <c r="A10" s="7" t="n">
        <v>5</v>
      </c>
      <c r="B10" s="8" t="inlineStr">
        <is>
          <t>Polling Station 5</t>
        </is>
      </c>
      <c r="C10" s="9" t="n">
        <v>227</v>
      </c>
      <c r="D10" s="9" t="n">
        <v>433</v>
      </c>
      <c r="E10" s="9" t="n">
        <v>4</v>
      </c>
      <c r="F10" s="9" t="n">
        <v>10</v>
      </c>
      <c r="G10" s="9" t="n">
        <v>0</v>
      </c>
      <c r="H10" s="9" t="n">
        <v>1</v>
      </c>
      <c r="I10" s="9" t="n">
        <v>0</v>
      </c>
      <c r="J10" s="9" t="n">
        <v>0</v>
      </c>
      <c r="K10" s="9" t="n">
        <v>1</v>
      </c>
      <c r="L10" s="9" t="n">
        <v>0</v>
      </c>
      <c r="M10" s="9" t="n">
        <v>0</v>
      </c>
      <c r="N10" s="9" t="n">
        <v>4</v>
      </c>
      <c r="O10" s="9" t="n">
        <v>2</v>
      </c>
      <c r="P10" s="9" t="n">
        <v>1</v>
      </c>
      <c r="Q10" s="9" t="n">
        <v>5</v>
      </c>
      <c r="R10" s="9" t="n">
        <v>738</v>
      </c>
      <c r="S10" s="9" t="n">
        <v>2</v>
      </c>
      <c r="T10" s="9" t="n">
        <v>0</v>
      </c>
      <c r="U10" s="9" t="n">
        <v>740</v>
      </c>
      <c r="V10" s="10" t="n">
        <v>2168</v>
      </c>
      <c r="W10" s="10" t="n">
        <v>0</v>
      </c>
      <c r="X10" s="10" t="n">
        <v>0</v>
      </c>
      <c r="Y10" s="10" t="n">
        <v>2168</v>
      </c>
      <c r="Z10" s="10" t="n">
        <v>0</v>
      </c>
    </row>
    <row r="11">
      <c r="A11" s="7" t="n">
        <v>6</v>
      </c>
      <c r="B11" s="8" t="inlineStr">
        <is>
          <t>~~ = |Katlakunta</t>
        </is>
      </c>
      <c r="C11" s="9" t="n">
        <v>139</v>
      </c>
      <c r="D11" s="9" t="n">
        <v>294</v>
      </c>
      <c r="E11" s="9" t="n">
        <v>37</v>
      </c>
      <c r="F11" s="9" t="n">
        <v>5</v>
      </c>
      <c r="G11" s="9" t="n">
        <v>1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1</v>
      </c>
      <c r="N11" s="9" t="n">
        <v>7</v>
      </c>
      <c r="O11" s="9" t="n">
        <v>2</v>
      </c>
      <c r="P11" s="9" t="n">
        <v>2</v>
      </c>
      <c r="Q11" s="9" t="n">
        <v>0</v>
      </c>
      <c r="R11" s="9" t="n">
        <v>504</v>
      </c>
      <c r="S11" s="9" t="n">
        <v>1</v>
      </c>
      <c r="T11" s="9" t="n">
        <v>0</v>
      </c>
      <c r="U11" s="9" t="n">
        <v>505</v>
      </c>
      <c r="V11" s="10" t="n">
        <v>1498</v>
      </c>
      <c r="W11" s="10" t="n">
        <v>0</v>
      </c>
      <c r="X11" s="10" t="n">
        <v>0</v>
      </c>
      <c r="Y11" s="10" t="n">
        <v>1498</v>
      </c>
      <c r="Z11" s="10" t="n">
        <v>0</v>
      </c>
    </row>
    <row r="12">
      <c r="A12" s="7" t="n">
        <v>7</v>
      </c>
      <c r="B12" s="8" t="inlineStr">
        <is>
          <t>|Katlakunta</t>
        </is>
      </c>
      <c r="C12" s="9" t="n">
        <v>103</v>
      </c>
      <c r="D12" s="9" t="n">
        <v>275</v>
      </c>
      <c r="E12" s="9" t="n">
        <v>37</v>
      </c>
      <c r="F12" s="9" t="n">
        <v>6</v>
      </c>
      <c r="G12" s="9" t="n">
        <v>1</v>
      </c>
      <c r="H12" s="9" t="n">
        <v>3</v>
      </c>
      <c r="I12" s="9" t="n">
        <v>1</v>
      </c>
      <c r="J12" s="9" t="n">
        <v>1</v>
      </c>
      <c r="K12" s="9" t="n">
        <v>1</v>
      </c>
      <c r="L12" s="9" t="n">
        <v>2</v>
      </c>
      <c r="M12" s="9" t="n">
        <v>0</v>
      </c>
      <c r="N12" s="9" t="n">
        <v>6</v>
      </c>
      <c r="O12" s="9" t="n">
        <v>0</v>
      </c>
      <c r="P12" s="9" t="n">
        <v>0</v>
      </c>
      <c r="Q12" s="9" t="n">
        <v>6</v>
      </c>
      <c r="R12" s="9" t="n">
        <v>442</v>
      </c>
      <c r="S12" s="9" t="n">
        <v>6</v>
      </c>
      <c r="T12" s="9" t="n">
        <v>0</v>
      </c>
      <c r="U12" s="9" t="n">
        <v>448</v>
      </c>
      <c r="V12" s="10" t="n">
        <v>1338</v>
      </c>
      <c r="W12" s="10" t="n">
        <v>0</v>
      </c>
      <c r="X12" s="10" t="n">
        <v>0</v>
      </c>
      <c r="Y12" s="10" t="n">
        <v>1338</v>
      </c>
      <c r="Z12" s="10" t="n">
        <v>0</v>
      </c>
    </row>
    <row r="13">
      <c r="A13" s="7" t="n">
        <v>8</v>
      </c>
      <c r="B13" s="8">
        <f> [Katlakunta ©</f>
        <v/>
      </c>
      <c r="C13" s="9" t="n">
        <v>262</v>
      </c>
      <c r="D13" s="9" t="n">
        <v>330</v>
      </c>
      <c r="E13" s="9" t="n">
        <v>46</v>
      </c>
      <c r="F13" s="9" t="n">
        <v>3</v>
      </c>
      <c r="G13" s="9" t="n">
        <v>2</v>
      </c>
      <c r="H13" s="9" t="n">
        <v>3</v>
      </c>
      <c r="I13" s="9" t="n">
        <v>1</v>
      </c>
      <c r="J13" s="9" t="n">
        <v>2</v>
      </c>
      <c r="K13" s="9" t="n">
        <v>0</v>
      </c>
      <c r="L13" s="9" t="n">
        <v>1</v>
      </c>
      <c r="M13" s="9" t="n">
        <v>0</v>
      </c>
      <c r="N13" s="9" t="n">
        <v>4</v>
      </c>
      <c r="O13" s="9" t="n">
        <v>5</v>
      </c>
      <c r="P13" s="9" t="n">
        <v>1</v>
      </c>
      <c r="Q13" s="9" t="n">
        <v>3</v>
      </c>
      <c r="R13" s="9" t="n">
        <v>665</v>
      </c>
      <c r="S13" s="9" t="n">
        <v>13</v>
      </c>
      <c r="T13" s="9" t="n">
        <v>0</v>
      </c>
      <c r="U13" s="9" t="n">
        <v>678</v>
      </c>
      <c r="V13" s="10" t="n">
        <v>2019</v>
      </c>
      <c r="W13" s="10" t="n">
        <v>0</v>
      </c>
      <c r="X13" s="10" t="n">
        <v>0</v>
      </c>
      <c r="Y13" s="10" t="n">
        <v>2019</v>
      </c>
      <c r="Z13" s="10" t="n">
        <v>0</v>
      </c>
    </row>
    <row r="14">
      <c r="A14" s="7" t="n">
        <v>9</v>
      </c>
      <c r="B14" s="8" t="inlineStr">
        <is>
          <t>|Tombaraopet</t>
        </is>
      </c>
      <c r="C14" s="9" t="n">
        <v>420</v>
      </c>
      <c r="D14" s="9" t="n">
        <v>430</v>
      </c>
      <c r="E14" s="9" t="n">
        <v>24</v>
      </c>
      <c r="F14" s="9" t="n">
        <v>5</v>
      </c>
      <c r="G14" s="9" t="n">
        <v>1</v>
      </c>
      <c r="H14" s="9" t="n">
        <v>1</v>
      </c>
      <c r="I14" s="9" t="n">
        <v>2</v>
      </c>
      <c r="J14" s="9" t="n">
        <v>1</v>
      </c>
      <c r="K14" s="9" t="n">
        <v>0</v>
      </c>
      <c r="L14" s="9" t="n">
        <v>0</v>
      </c>
      <c r="M14" s="9" t="n">
        <v>3</v>
      </c>
      <c r="N14" s="9" t="n">
        <v>0</v>
      </c>
      <c r="O14" s="9" t="n">
        <v>6</v>
      </c>
      <c r="P14" s="9" t="n">
        <v>0</v>
      </c>
      <c r="Q14" s="9" t="n">
        <v>5</v>
      </c>
      <c r="R14" s="9" t="n">
        <v>905</v>
      </c>
      <c r="S14" s="9" t="n">
        <v>12</v>
      </c>
      <c r="T14" s="9" t="n">
        <v>0</v>
      </c>
      <c r="U14" s="9" t="n">
        <v>917</v>
      </c>
      <c r="V14" s="10" t="n">
        <v>2732</v>
      </c>
      <c r="W14" s="10" t="n">
        <v>0</v>
      </c>
      <c r="X14" s="10" t="n">
        <v>0</v>
      </c>
      <c r="Y14" s="10" t="n">
        <v>2732</v>
      </c>
      <c r="Z14" s="10" t="n">
        <v>0</v>
      </c>
    </row>
    <row r="15">
      <c r="A15" s="7" t="n">
        <v>10</v>
      </c>
      <c r="B15" s="8">
        <f> |Medipally</f>
        <v/>
      </c>
      <c r="C15" s="9" t="n">
        <v>213</v>
      </c>
      <c r="D15" s="9" t="n">
        <v>522</v>
      </c>
      <c r="E15" s="9" t="n">
        <v>33</v>
      </c>
      <c r="F15" s="9" t="n">
        <v>6</v>
      </c>
      <c r="G15" s="9" t="n">
        <v>0</v>
      </c>
      <c r="H15" s="9" t="n">
        <v>3</v>
      </c>
      <c r="I15" s="9" t="n">
        <v>4</v>
      </c>
      <c r="J15" s="9" t="n">
        <v>2</v>
      </c>
      <c r="K15" s="9" t="n">
        <v>2</v>
      </c>
      <c r="L15" s="9" t="n">
        <v>1</v>
      </c>
      <c r="M15" s="9" t="n">
        <v>2</v>
      </c>
      <c r="N15" s="9" t="n">
        <v>15</v>
      </c>
      <c r="O15" s="9" t="n">
        <v>3</v>
      </c>
      <c r="P15" s="9" t="n">
        <v>2</v>
      </c>
      <c r="Q15" s="9" t="n">
        <v>5</v>
      </c>
      <c r="R15" s="9" t="n">
        <v>816</v>
      </c>
      <c r="S15" s="9" t="n">
        <v>5</v>
      </c>
      <c r="T15" s="9" t="n">
        <v>0</v>
      </c>
      <c r="U15" s="9" t="n">
        <v>821</v>
      </c>
      <c r="V15" s="10" t="n">
        <v>2455</v>
      </c>
      <c r="W15" s="10" t="n">
        <v>0</v>
      </c>
      <c r="X15" s="10" t="n">
        <v>0</v>
      </c>
      <c r="Y15" s="10" t="n">
        <v>2455</v>
      </c>
      <c r="Z15" s="10" t="n">
        <v>0</v>
      </c>
    </row>
    <row r="16">
      <c r="A16" s="7" t="n">
        <v>11</v>
      </c>
      <c r="B16" s="8" t="inlineStr">
        <is>
          <t>{[Medipally</t>
        </is>
      </c>
      <c r="C16" s="9" t="n">
        <v>169</v>
      </c>
      <c r="D16" s="9" t="n">
        <v>421</v>
      </c>
      <c r="E16" s="9" t="n">
        <v>40</v>
      </c>
      <c r="F16" s="9" t="n">
        <v>0</v>
      </c>
      <c r="G16" s="9" t="n">
        <v>1</v>
      </c>
      <c r="H16" s="9" t="n">
        <v>1</v>
      </c>
      <c r="I16" s="9" t="n">
        <v>1</v>
      </c>
      <c r="J16" s="9" t="n">
        <v>1</v>
      </c>
      <c r="K16" s="9" t="n">
        <v>0</v>
      </c>
      <c r="L16" s="9" t="n">
        <v>2</v>
      </c>
      <c r="M16" s="9" t="n">
        <v>2</v>
      </c>
      <c r="N16" s="9" t="n">
        <v>5</v>
      </c>
      <c r="O16" s="9" t="n">
        <v>0</v>
      </c>
      <c r="P16" s="9" t="n">
        <v>2</v>
      </c>
      <c r="Q16" s="9" t="n">
        <v>3</v>
      </c>
      <c r="R16" s="9" t="n">
        <v>651</v>
      </c>
      <c r="S16" s="9" t="n">
        <v>5</v>
      </c>
      <c r="T16" s="9" t="n">
        <v>0</v>
      </c>
      <c r="U16" s="9" t="n">
        <v>656</v>
      </c>
      <c r="V16" s="10" t="n">
        <v>1960</v>
      </c>
      <c r="W16" s="10" t="n">
        <v>0</v>
      </c>
      <c r="X16" s="10" t="n">
        <v>0</v>
      </c>
      <c r="Y16" s="10" t="n">
        <v>1960</v>
      </c>
      <c r="Z16" s="10" t="n">
        <v>0</v>
      </c>
    </row>
    <row r="17">
      <c r="A17" s="7" t="n">
        <v>12</v>
      </c>
      <c r="B17" s="8" t="inlineStr">
        <is>
          <t>|MEDIPALLI</t>
        </is>
      </c>
      <c r="C17" s="9" t="n">
        <v>131</v>
      </c>
      <c r="D17" s="9" t="n">
        <v>316</v>
      </c>
      <c r="E17" s="9" t="n">
        <v>36</v>
      </c>
      <c r="F17" s="9" t="n">
        <v>4</v>
      </c>
      <c r="G17" s="9" t="n">
        <v>1</v>
      </c>
      <c r="H17" s="9" t="n">
        <v>1</v>
      </c>
      <c r="I17" s="9" t="n">
        <v>0</v>
      </c>
      <c r="J17" s="9" t="n">
        <v>0</v>
      </c>
      <c r="K17" s="9" t="n">
        <v>0</v>
      </c>
      <c r="L17" s="9" t="n">
        <v>2</v>
      </c>
      <c r="M17" s="9" t="n">
        <v>0</v>
      </c>
      <c r="N17" s="9" t="n">
        <v>0</v>
      </c>
      <c r="O17" s="9" t="n">
        <v>0</v>
      </c>
      <c r="P17" s="9" t="n">
        <v>1</v>
      </c>
      <c r="Q17" s="9" t="n">
        <v>0</v>
      </c>
      <c r="R17" s="9" t="n">
        <v>497</v>
      </c>
      <c r="S17" s="9" t="n">
        <v>5</v>
      </c>
      <c r="T17" s="9" t="n">
        <v>0</v>
      </c>
      <c r="U17" s="9" t="n">
        <v>502</v>
      </c>
      <c r="V17" s="10" t="n">
        <v>1496</v>
      </c>
      <c r="W17" s="10" t="n">
        <v>0</v>
      </c>
      <c r="X17" s="10" t="n">
        <v>0</v>
      </c>
      <c r="Y17" s="10" t="n">
        <v>1496</v>
      </c>
      <c r="Z17" s="10" t="n">
        <v>0</v>
      </c>
    </row>
    <row r="18">
      <c r="A18" s="7" t="n">
        <v>13</v>
      </c>
      <c r="B18" s="8" t="inlineStr">
        <is>
          <t>~+|Medipally</t>
        </is>
      </c>
      <c r="C18" s="9" t="n">
        <v>12</v>
      </c>
      <c r="D18" s="9" t="n">
        <v>219</v>
      </c>
      <c r="E18" s="9" t="n">
        <v>15</v>
      </c>
      <c r="F18" s="9" t="n">
        <v>0</v>
      </c>
      <c r="G18" s="9" t="n">
        <v>1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1</v>
      </c>
      <c r="M18" s="9" t="n">
        <v>1</v>
      </c>
      <c r="N18" s="9" t="n">
        <v>2</v>
      </c>
      <c r="O18" s="9" t="n">
        <v>1</v>
      </c>
      <c r="P18" s="9" t="n">
        <v>3</v>
      </c>
      <c r="Q18" s="9" t="n">
        <v>5</v>
      </c>
      <c r="R18" s="9" t="n">
        <v>362</v>
      </c>
      <c r="S18" s="9" t="n">
        <v>5</v>
      </c>
      <c r="T18" s="9" t="n">
        <v>0</v>
      </c>
      <c r="U18" s="9" t="n">
        <v>367</v>
      </c>
      <c r="V18" s="10" t="n">
        <v>994</v>
      </c>
      <c r="W18" s="10" t="n">
        <v>0</v>
      </c>
      <c r="X18" s="10" t="n">
        <v>0</v>
      </c>
      <c r="Y18" s="10" t="n">
        <v>994</v>
      </c>
      <c r="Z18" s="10" t="n">
        <v>0</v>
      </c>
    </row>
    <row r="19">
      <c r="A19" s="7" t="n">
        <v>14</v>
      </c>
      <c r="B19" s="8" t="inlineStr">
        <is>
          <t>«+|Medipalli</t>
        </is>
      </c>
      <c r="C19" s="9" t="n">
        <v>210</v>
      </c>
      <c r="D19" s="9" t="n">
        <v>391</v>
      </c>
      <c r="E19" s="9" t="n">
        <v>7</v>
      </c>
      <c r="F19" s="9" t="n">
        <v>5</v>
      </c>
      <c r="G19" s="9" t="n">
        <v>1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1</v>
      </c>
      <c r="M19" s="9" t="n">
        <v>4</v>
      </c>
      <c r="N19" s="9" t="n">
        <v>3</v>
      </c>
      <c r="O19" s="9" t="n">
        <v>2</v>
      </c>
      <c r="P19" s="9" t="n">
        <v>4</v>
      </c>
      <c r="Q19" s="9" t="n">
        <v>6</v>
      </c>
      <c r="R19" s="9" t="n">
        <v>644</v>
      </c>
      <c r="S19" s="9" t="n">
        <v>6</v>
      </c>
      <c r="T19" s="9" t="n">
        <v>0</v>
      </c>
      <c r="U19" s="9" t="n">
        <v>650</v>
      </c>
      <c r="V19" s="10" t="n">
        <v>1934</v>
      </c>
      <c r="W19" s="10" t="n">
        <v>0</v>
      </c>
      <c r="X19" s="10" t="n">
        <v>0</v>
      </c>
      <c r="Y19" s="10" t="n">
        <v>1934</v>
      </c>
      <c r="Z19" s="10" t="n">
        <v>0</v>
      </c>
    </row>
    <row r="20">
      <c r="A20" s="7" t="n">
        <v>15</v>
      </c>
      <c r="B20" s="8" t="inlineStr">
        <is>
          <t>|Konda pur</t>
        </is>
      </c>
      <c r="C20" s="9" t="n">
        <v>204</v>
      </c>
      <c r="D20" s="9" t="n">
        <v>6</v>
      </c>
      <c r="E20" s="9" t="n">
        <v>46</v>
      </c>
      <c r="F20" s="9" t="n">
        <v>13</v>
      </c>
      <c r="G20" s="9" t="n">
        <v>1</v>
      </c>
      <c r="H20" s="9" t="n">
        <v>0</v>
      </c>
      <c r="I20" s="9" t="n">
        <v>0</v>
      </c>
      <c r="J20" s="9" t="n">
        <v>0</v>
      </c>
      <c r="K20" s="9" t="n">
        <v>4</v>
      </c>
      <c r="L20" s="9" t="n">
        <v>3</v>
      </c>
      <c r="M20" s="9" t="n">
        <v>2</v>
      </c>
      <c r="N20" s="9" t="n">
        <v>4</v>
      </c>
      <c r="O20" s="9" t="n">
        <v>4</v>
      </c>
      <c r="P20" s="9" t="n">
        <v>2</v>
      </c>
      <c r="Q20" s="9" t="n">
        <v>11</v>
      </c>
      <c r="R20" s="9" t="n">
        <v>658</v>
      </c>
      <c r="S20" s="9" t="n">
        <v>9</v>
      </c>
      <c r="T20" s="9" t="n">
        <v>0</v>
      </c>
      <c r="U20" s="9" t="n">
        <v>667</v>
      </c>
      <c r="V20" s="10" t="n">
        <v>1634</v>
      </c>
      <c r="W20" s="10" t="n">
        <v>0</v>
      </c>
      <c r="X20" s="10" t="n">
        <v>0</v>
      </c>
      <c r="Y20" s="10" t="n">
        <v>1634</v>
      </c>
      <c r="Z20" s="10" t="n">
        <v>0</v>
      </c>
    </row>
    <row r="21">
      <c r="A21" s="7" t="n">
        <v>16</v>
      </c>
      <c r="B21" s="8" t="inlineStr">
        <is>
          <t>~=|Konda puur</t>
        </is>
      </c>
      <c r="C21" s="9" t="n">
        <v>189</v>
      </c>
      <c r="D21" s="9" t="n">
        <v>337</v>
      </c>
      <c r="E21" s="9" t="n">
        <v>34</v>
      </c>
      <c r="F21" s="9" t="n">
        <v>8</v>
      </c>
      <c r="G21" s="9" t="n">
        <v>1</v>
      </c>
      <c r="H21" s="9" t="n">
        <v>1</v>
      </c>
      <c r="I21" s="9" t="n">
        <v>0</v>
      </c>
      <c r="J21" s="9" t="n">
        <v>9</v>
      </c>
      <c r="K21" s="9" t="n">
        <v>1</v>
      </c>
      <c r="L21" s="9" t="n">
        <v>0</v>
      </c>
      <c r="M21" s="9" t="n">
        <v>0</v>
      </c>
      <c r="N21" s="9" t="n">
        <v>0</v>
      </c>
      <c r="O21" s="9" t="n">
        <v>2</v>
      </c>
      <c r="P21" s="9" t="n">
        <v>3</v>
      </c>
      <c r="Q21" s="9" t="n">
        <v>3</v>
      </c>
      <c r="R21" s="9" t="n">
        <v>601</v>
      </c>
      <c r="S21" s="9" t="n">
        <v>5</v>
      </c>
      <c r="T21" s="9" t="n">
        <v>0</v>
      </c>
      <c r="U21" s="9" t="n">
        <v>606</v>
      </c>
      <c r="V21" s="10" t="n">
        <v>1800</v>
      </c>
      <c r="W21" s="10" t="n">
        <v>0</v>
      </c>
      <c r="X21" s="10" t="n">
        <v>0</v>
      </c>
      <c r="Y21" s="10" t="n">
        <v>1800</v>
      </c>
      <c r="Z21" s="10" t="n">
        <v>0</v>
      </c>
    </row>
    <row r="22">
      <c r="A22" s="7" t="n">
        <v>17</v>
      </c>
      <c r="B22" s="8" t="inlineStr">
        <is>
          <t>Polling Station 17</t>
        </is>
      </c>
      <c r="C22" s="9" t="n">
        <v>4</v>
      </c>
      <c r="D22" s="9" t="n">
        <v>374</v>
      </c>
      <c r="E22" s="9" t="n">
        <v>49</v>
      </c>
      <c r="F22" s="9" t="n">
        <v>0</v>
      </c>
      <c r="G22" s="9" t="n">
        <v>0</v>
      </c>
      <c r="H22" s="9" t="n">
        <v>3</v>
      </c>
      <c r="I22" s="9" t="n">
        <v>1</v>
      </c>
      <c r="J22" s="9" t="n">
        <v>0</v>
      </c>
      <c r="K22" s="9" t="n">
        <v>0</v>
      </c>
      <c r="L22" s="9" t="n">
        <v>0</v>
      </c>
      <c r="M22" s="9" t="n">
        <v>6</v>
      </c>
      <c r="N22" s="9" t="n">
        <v>6</v>
      </c>
      <c r="O22" s="9" t="n">
        <v>2</v>
      </c>
      <c r="P22" s="9" t="n">
        <v>6</v>
      </c>
      <c r="Q22" s="9" t="n">
        <v>6</v>
      </c>
      <c r="R22" s="9" t="n">
        <v>697</v>
      </c>
      <c r="S22" s="9" t="n">
        <v>5</v>
      </c>
      <c r="T22" s="9" t="n">
        <v>0</v>
      </c>
      <c r="U22" s="9" t="n">
        <v>702</v>
      </c>
      <c r="V22" s="10" t="n">
        <v>1861</v>
      </c>
      <c r="W22" s="10" t="n">
        <v>0</v>
      </c>
      <c r="X22" s="10" t="n">
        <v>0</v>
      </c>
      <c r="Y22" s="10" t="n">
        <v>1861</v>
      </c>
      <c r="Z22" s="10" t="n">
        <v>0</v>
      </c>
    </row>
    <row r="23">
      <c r="A23" s="7" t="n">
        <v>18</v>
      </c>
      <c r="B23" s="8">
        <f> |Konda puur</f>
        <v/>
      </c>
      <c r="C23" s="9" t="n">
        <v>52</v>
      </c>
      <c r="D23" s="9" t="n">
        <v>121</v>
      </c>
      <c r="E23" s="9" t="n">
        <v>19</v>
      </c>
      <c r="F23" s="9" t="n">
        <v>4</v>
      </c>
      <c r="G23" s="9" t="n">
        <v>1</v>
      </c>
      <c r="H23" s="9" t="n">
        <v>0</v>
      </c>
      <c r="I23" s="9" t="n">
        <v>1</v>
      </c>
      <c r="J23" s="9" t="n">
        <v>1</v>
      </c>
      <c r="K23" s="9" t="n">
        <v>0</v>
      </c>
      <c r="L23" s="9" t="n">
        <v>0</v>
      </c>
      <c r="M23" s="9" t="n">
        <v>0</v>
      </c>
      <c r="N23" s="9" t="n">
        <v>7</v>
      </c>
      <c r="O23" s="9" t="n">
        <v>2</v>
      </c>
      <c r="P23" s="9" t="n">
        <v>0</v>
      </c>
      <c r="Q23" s="9" t="n">
        <v>2</v>
      </c>
      <c r="R23" s="9" t="n">
        <v>204</v>
      </c>
      <c r="S23" s="9" t="n">
        <v>1</v>
      </c>
      <c r="T23" s="9" t="n">
        <v>0</v>
      </c>
      <c r="U23" s="9" t="n">
        <v>205</v>
      </c>
      <c r="V23" s="10" t="n">
        <v>620</v>
      </c>
      <c r="W23" s="10" t="n">
        <v>0</v>
      </c>
      <c r="X23" s="10" t="n">
        <v>0</v>
      </c>
      <c r="Y23" s="10" t="n">
        <v>620</v>
      </c>
      <c r="Z23" s="10" t="n">
        <v>0</v>
      </c>
    </row>
    <row r="24">
      <c r="A24" s="7" t="n">
        <v>19</v>
      </c>
      <c r="B24" s="8" t="inlineStr">
        <is>
          <t>~=[Vilyathabad</t>
        </is>
      </c>
      <c r="C24" s="9" t="n">
        <v>7</v>
      </c>
      <c r="D24" s="9" t="n">
        <v>237</v>
      </c>
      <c r="E24" s="9" t="n">
        <v>0</v>
      </c>
      <c r="F24" s="9" t="n">
        <v>1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</v>
      </c>
      <c r="L24" s="9" t="n">
        <v>1</v>
      </c>
      <c r="M24" s="9" t="n">
        <v>0</v>
      </c>
      <c r="N24" s="9" t="n">
        <v>2</v>
      </c>
      <c r="O24" s="9" t="n">
        <v>1</v>
      </c>
      <c r="P24" s="9" t="n">
        <v>0</v>
      </c>
      <c r="Q24" s="9" t="n">
        <v>1</v>
      </c>
      <c r="R24" s="9" t="n">
        <v>282</v>
      </c>
      <c r="S24" s="9" t="n">
        <v>2</v>
      </c>
      <c r="T24" s="9" t="n">
        <v>0</v>
      </c>
      <c r="U24" s="9" t="n">
        <v>284</v>
      </c>
      <c r="V24" s="10" t="n">
        <v>819</v>
      </c>
      <c r="W24" s="10" t="n">
        <v>0</v>
      </c>
      <c r="X24" s="10" t="n">
        <v>0</v>
      </c>
      <c r="Y24" s="10" t="n">
        <v>819</v>
      </c>
      <c r="Z24" s="10" t="n">
        <v>0</v>
      </c>
    </row>
    <row r="25">
      <c r="A25" s="7" t="n">
        <v>20</v>
      </c>
      <c r="B25" s="8" t="inlineStr">
        <is>
          <t>— 20 |Vallampally</t>
        </is>
      </c>
      <c r="C25" s="9" t="n">
        <v>268</v>
      </c>
      <c r="D25" s="9" t="n">
        <v>304</v>
      </c>
      <c r="E25" s="9" t="n">
        <v>37</v>
      </c>
      <c r="F25" s="9" t="n">
        <v>4</v>
      </c>
      <c r="G25" s="9" t="n">
        <v>1</v>
      </c>
      <c r="H25" s="9" t="n">
        <v>0</v>
      </c>
      <c r="I25" s="9" t="n">
        <v>0</v>
      </c>
      <c r="J25" s="9" t="n">
        <v>2</v>
      </c>
      <c r="K25" s="9" t="n">
        <v>0</v>
      </c>
      <c r="L25" s="9" t="n">
        <v>2</v>
      </c>
      <c r="M25" s="9" t="n">
        <v>0</v>
      </c>
      <c r="N25" s="9" t="n">
        <v>1</v>
      </c>
      <c r="O25" s="9" t="n">
        <v>2</v>
      </c>
      <c r="P25" s="9" t="n">
        <v>1</v>
      </c>
      <c r="Q25" s="9" t="n">
        <v>8</v>
      </c>
      <c r="R25" s="9" t="n">
        <v>721</v>
      </c>
      <c r="S25" s="9" t="n">
        <v>6</v>
      </c>
      <c r="T25" s="9" t="n">
        <v>0</v>
      </c>
      <c r="U25" s="9" t="n">
        <v>727</v>
      </c>
      <c r="V25" s="10" t="n">
        <v>2084</v>
      </c>
      <c r="W25" s="10" t="n">
        <v>0</v>
      </c>
      <c r="X25" s="10" t="n">
        <v>0</v>
      </c>
      <c r="Y25" s="10" t="n">
        <v>2084</v>
      </c>
      <c r="Z25" s="10" t="n">
        <v>0</v>
      </c>
    </row>
    <row r="26">
      <c r="A26" s="7" t="n">
        <v>21</v>
      </c>
      <c r="B26" s="8" t="inlineStr">
        <is>
          <t>~~ |[Vallampally</t>
        </is>
      </c>
      <c r="C26" s="9" t="n">
        <v>221</v>
      </c>
      <c r="D26" s="9" t="n">
        <v>289</v>
      </c>
      <c r="E26" s="9" t="n">
        <v>7</v>
      </c>
      <c r="F26" s="9" t="n">
        <v>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1</v>
      </c>
      <c r="N26" s="9" t="n">
        <v>0</v>
      </c>
      <c r="O26" s="9" t="n">
        <v>2</v>
      </c>
      <c r="P26" s="9" t="n">
        <v>0</v>
      </c>
      <c r="Q26" s="9" t="n">
        <v>2</v>
      </c>
      <c r="R26" s="9" t="n">
        <v>548</v>
      </c>
      <c r="S26" s="9" t="n">
        <v>12</v>
      </c>
      <c r="T26" s="9" t="n">
        <v>0</v>
      </c>
      <c r="U26" s="9" t="n">
        <v>560</v>
      </c>
      <c r="V26" s="10" t="n">
        <v>1647</v>
      </c>
      <c r="W26" s="10" t="n">
        <v>0</v>
      </c>
      <c r="X26" s="10" t="n">
        <v>0</v>
      </c>
      <c r="Y26" s="10" t="n">
        <v>1647</v>
      </c>
      <c r="Z26" s="10" t="n">
        <v>0</v>
      </c>
    </row>
    <row r="27">
      <c r="A27" s="7" t="n">
        <v>22</v>
      </c>
      <c r="B27" s="8" t="inlineStr">
        <is>
          <t>|Machaapuur</t>
        </is>
      </c>
      <c r="C27" s="9" t="n">
        <v>188</v>
      </c>
      <c r="D27" s="9" t="n">
        <v>239</v>
      </c>
      <c r="E27" s="9" t="n">
        <v>0</v>
      </c>
      <c r="F27" s="9" t="n">
        <v>4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0</v>
      </c>
      <c r="L27" s="9" t="n">
        <v>0</v>
      </c>
      <c r="M27" s="9" t="n">
        <v>0</v>
      </c>
      <c r="N27" s="9" t="n">
        <v>1</v>
      </c>
      <c r="O27" s="9" t="n">
        <v>3</v>
      </c>
      <c r="P27" s="9" t="n">
        <v>3</v>
      </c>
      <c r="Q27" s="9" t="n">
        <v>7</v>
      </c>
      <c r="R27" s="9" t="n">
        <v>462</v>
      </c>
      <c r="S27" s="9" t="n">
        <v>8</v>
      </c>
      <c r="T27" s="9" t="n">
        <v>0</v>
      </c>
      <c r="U27" s="9" t="n">
        <v>470</v>
      </c>
      <c r="V27" s="10" t="n">
        <v>1389</v>
      </c>
      <c r="W27" s="10" t="n">
        <v>0</v>
      </c>
      <c r="X27" s="10" t="n">
        <v>0</v>
      </c>
      <c r="Y27" s="10" t="n">
        <v>1389</v>
      </c>
      <c r="Z27" s="10" t="n">
        <v>0</v>
      </c>
    </row>
    <row r="28">
      <c r="A28" s="7" t="n">
        <v>23</v>
      </c>
      <c r="B28" s="8" t="inlineStr">
        <is>
          <t>|Dammannapeta</t>
        </is>
      </c>
      <c r="C28" s="9" t="n">
        <v>313</v>
      </c>
      <c r="D28" s="9" t="n">
        <v>499</v>
      </c>
      <c r="E28" s="9" t="n">
        <v>4</v>
      </c>
      <c r="F28" s="9" t="n">
        <v>0</v>
      </c>
      <c r="G28" s="9" t="n">
        <v>3</v>
      </c>
      <c r="H28" s="9" t="n">
        <v>1</v>
      </c>
      <c r="I28" s="9" t="n">
        <v>0</v>
      </c>
      <c r="J28" s="9" t="n">
        <v>1</v>
      </c>
      <c r="K28" s="9" t="n">
        <v>4</v>
      </c>
      <c r="L28" s="9" t="n">
        <v>2</v>
      </c>
      <c r="M28" s="9" t="n">
        <v>0</v>
      </c>
      <c r="N28" s="9" t="n">
        <v>0</v>
      </c>
      <c r="O28" s="9" t="n">
        <v>4</v>
      </c>
      <c r="P28" s="9" t="n">
        <v>6</v>
      </c>
      <c r="Q28" s="9" t="n">
        <v>18</v>
      </c>
      <c r="R28" s="9" t="n">
        <v>916</v>
      </c>
      <c r="S28" s="9" t="n">
        <v>14</v>
      </c>
      <c r="T28" s="9" t="n">
        <v>0</v>
      </c>
      <c r="U28" s="9" t="n">
        <v>930</v>
      </c>
      <c r="V28" s="10" t="n">
        <v>2715</v>
      </c>
      <c r="W28" s="10" t="n">
        <v>0</v>
      </c>
      <c r="X28" s="10" t="n">
        <v>0</v>
      </c>
      <c r="Y28" s="10" t="n">
        <v>2715</v>
      </c>
      <c r="Z28" s="10" t="n">
        <v>0</v>
      </c>
    </row>
    <row r="29">
      <c r="A29" s="7" t="n">
        <v>24</v>
      </c>
      <c r="B29" s="8">
        <f> |Kalva kota</f>
        <v/>
      </c>
      <c r="C29" s="9" t="n">
        <v>251</v>
      </c>
      <c r="D29" s="9" t="n">
        <v>227</v>
      </c>
      <c r="E29" s="9" t="n">
        <v>51</v>
      </c>
      <c r="F29" s="9" t="n">
        <v>1</v>
      </c>
      <c r="G29" s="9" t="n">
        <v>2</v>
      </c>
      <c r="H29" s="9" t="n">
        <v>3</v>
      </c>
      <c r="I29" s="9" t="n">
        <v>0</v>
      </c>
      <c r="J29" s="9" t="n">
        <v>2</v>
      </c>
      <c r="K29" s="9" t="n">
        <v>0</v>
      </c>
      <c r="L29" s="9" t="n">
        <v>0</v>
      </c>
      <c r="M29" s="9" t="n">
        <v>1</v>
      </c>
      <c r="N29" s="9" t="n">
        <v>2</v>
      </c>
      <c r="O29" s="9" t="n">
        <v>4</v>
      </c>
      <c r="P29" s="9" t="n">
        <v>2</v>
      </c>
      <c r="Q29" s="9" t="n">
        <v>4</v>
      </c>
      <c r="R29" s="9" t="n">
        <v>552</v>
      </c>
      <c r="S29" s="9" t="n">
        <v>7</v>
      </c>
      <c r="T29" s="9" t="n">
        <v>0</v>
      </c>
      <c r="U29" s="9" t="n">
        <v>559</v>
      </c>
      <c r="V29" s="10" t="n">
        <v>1668</v>
      </c>
      <c r="W29" s="10" t="n">
        <v>0</v>
      </c>
      <c r="X29" s="10" t="n">
        <v>0</v>
      </c>
      <c r="Y29" s="10" t="n">
        <v>1668</v>
      </c>
      <c r="Z29" s="10" t="n">
        <v>0</v>
      </c>
    </row>
    <row r="30">
      <c r="A30" s="7" t="n">
        <v>25</v>
      </c>
      <c r="B30" s="8" t="inlineStr">
        <is>
          <t>|Kalva kota</t>
        </is>
      </c>
      <c r="C30" s="9" t="n">
        <v>161</v>
      </c>
      <c r="D30" s="9" t="n">
        <v>353</v>
      </c>
      <c r="E30" s="9" t="n">
        <v>25</v>
      </c>
      <c r="F30" s="9" t="n">
        <v>10</v>
      </c>
      <c r="G30" s="9" t="n">
        <v>1</v>
      </c>
      <c r="H30" s="9" t="n">
        <v>2</v>
      </c>
      <c r="I30" s="9" t="n">
        <v>0</v>
      </c>
      <c r="J30" s="9" t="n">
        <v>0</v>
      </c>
      <c r="K30" s="9" t="n">
        <v>0</v>
      </c>
      <c r="L30" s="9" t="n">
        <v>1</v>
      </c>
      <c r="M30" s="9" t="n">
        <v>2</v>
      </c>
      <c r="N30" s="9" t="n">
        <v>2</v>
      </c>
      <c r="O30" s="9" t="n">
        <v>4</v>
      </c>
      <c r="P30" s="9" t="n">
        <v>7</v>
      </c>
      <c r="Q30" s="9" t="n">
        <v>7</v>
      </c>
      <c r="R30" s="9" t="n">
        <v>575</v>
      </c>
      <c r="S30" s="9" t="n">
        <v>1</v>
      </c>
      <c r="T30" s="9" t="n">
        <v>0</v>
      </c>
      <c r="U30" s="9" t="n">
        <v>586</v>
      </c>
      <c r="V30" s="10" t="n">
        <v>1737</v>
      </c>
      <c r="W30" s="10" t="n">
        <v>0</v>
      </c>
      <c r="X30" s="10" t="n">
        <v>0</v>
      </c>
      <c r="Y30" s="10" t="n">
        <v>1737</v>
      </c>
      <c r="Z30" s="10" t="n">
        <v>0</v>
      </c>
    </row>
    <row r="31">
      <c r="A31" s="7" t="n">
        <v>26</v>
      </c>
      <c r="B31" s="8" t="inlineStr">
        <is>
          <t>Polling Station 26</t>
        </is>
      </c>
      <c r="C31" s="9" t="n">
        <v>3</v>
      </c>
      <c r="D31" s="9" t="n">
        <v>4</v>
      </c>
      <c r="E31" s="9" t="n">
        <v>5</v>
      </c>
      <c r="F31" s="9" t="n">
        <v>6</v>
      </c>
      <c r="G31" s="9" t="n">
        <v>7</v>
      </c>
      <c r="H31" s="9" t="n">
        <v>8</v>
      </c>
      <c r="I31" s="9" t="n">
        <v>9</v>
      </c>
      <c r="J31" s="9" t="n">
        <v>10</v>
      </c>
      <c r="K31" s="9" t="n">
        <v>0</v>
      </c>
      <c r="L31" s="9" t="n">
        <v>2</v>
      </c>
      <c r="M31" s="9" t="n">
        <v>13</v>
      </c>
      <c r="N31" s="9" t="n">
        <v>4</v>
      </c>
      <c r="O31" s="9" t="n">
        <v>15</v>
      </c>
      <c r="P31" s="9" t="n">
        <v>16</v>
      </c>
      <c r="Q31" s="9" t="n">
        <v>7</v>
      </c>
      <c r="R31" s="9" t="n">
        <v>18</v>
      </c>
      <c r="S31" s="9" t="n">
        <v>19</v>
      </c>
      <c r="T31" s="9" t="n">
        <v>20</v>
      </c>
      <c r="U31" s="9" t="n">
        <v>1</v>
      </c>
      <c r="V31" s="10" t="n">
        <v>167</v>
      </c>
      <c r="W31" s="10" t="n">
        <v>0</v>
      </c>
      <c r="X31" s="10" t="n">
        <v>0</v>
      </c>
      <c r="Y31" s="10" t="n">
        <v>167</v>
      </c>
      <c r="Z31" s="10" t="n">
        <v>0</v>
      </c>
    </row>
    <row r="32">
      <c r="A32" s="7" t="n">
        <v>27</v>
      </c>
      <c r="B32" s="8" t="inlineStr">
        <is>
          <t>~=|Kacharam</t>
        </is>
      </c>
      <c r="C32" s="9" t="n">
        <v>37</v>
      </c>
      <c r="D32" s="9" t="n">
        <v>200</v>
      </c>
      <c r="E32" s="9" t="n">
        <v>31</v>
      </c>
      <c r="F32" s="9" t="n">
        <v>5</v>
      </c>
      <c r="G32" s="9" t="n">
        <v>2</v>
      </c>
      <c r="H32" s="9" t="n">
        <v>1</v>
      </c>
      <c r="I32" s="9" t="n">
        <v>1</v>
      </c>
      <c r="J32" s="9" t="n">
        <v>0</v>
      </c>
      <c r="K32" s="9" t="n">
        <v>2</v>
      </c>
      <c r="L32" s="9" t="n">
        <v>1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3</v>
      </c>
      <c r="R32" s="9" t="n">
        <v>303</v>
      </c>
      <c r="S32" s="9" t="n">
        <v>1</v>
      </c>
      <c r="T32" s="9" t="n">
        <v>0</v>
      </c>
      <c r="U32" s="9" t="n">
        <v>304</v>
      </c>
      <c r="V32" s="10" t="n">
        <v>891</v>
      </c>
      <c r="W32" s="10" t="n">
        <v>0</v>
      </c>
      <c r="X32" s="10" t="n">
        <v>0</v>
      </c>
      <c r="Y32" s="10" t="n">
        <v>891</v>
      </c>
      <c r="Z32" s="10" t="n">
        <v>0</v>
      </c>
    </row>
    <row r="33">
      <c r="A33" s="7" t="n">
        <v>28</v>
      </c>
      <c r="B33" s="8" t="inlineStr">
        <is>
          <t>|Kacharam</t>
        </is>
      </c>
      <c r="C33" s="9" t="n">
        <v>361</v>
      </c>
      <c r="D33" s="9" t="n">
        <v>353</v>
      </c>
      <c r="E33" s="9" t="n">
        <v>8</v>
      </c>
      <c r="F33" s="9" t="n">
        <v>14</v>
      </c>
      <c r="G33" s="9" t="n">
        <v>2</v>
      </c>
      <c r="H33" s="9" t="n">
        <v>1</v>
      </c>
      <c r="I33" s="9" t="n">
        <v>1</v>
      </c>
      <c r="J33" s="9" t="n">
        <v>1</v>
      </c>
      <c r="K33" s="9" t="n">
        <v>0</v>
      </c>
      <c r="L33" s="9" t="n">
        <v>1</v>
      </c>
      <c r="M33" s="9" t="n">
        <v>4</v>
      </c>
      <c r="N33" s="9" t="n">
        <v>12</v>
      </c>
      <c r="O33" s="9" t="n">
        <v>3</v>
      </c>
      <c r="P33" s="9" t="n">
        <v>5</v>
      </c>
      <c r="Q33" s="9" t="n">
        <v>8</v>
      </c>
      <c r="R33" s="9" t="n">
        <v>824</v>
      </c>
      <c r="S33" s="9" t="n">
        <v>16</v>
      </c>
      <c r="T33" s="9" t="n">
        <v>0</v>
      </c>
      <c r="U33" s="9" t="n">
        <v>840</v>
      </c>
      <c r="V33" s="10" t="n">
        <v>2454</v>
      </c>
      <c r="W33" s="10" t="n">
        <v>0</v>
      </c>
      <c r="X33" s="10" t="n">
        <v>0</v>
      </c>
      <c r="Y33" s="10" t="n">
        <v>2454</v>
      </c>
      <c r="Z33" s="10" t="n">
        <v>0</v>
      </c>
    </row>
    <row r="34">
      <c r="A34" s="7" t="n">
        <v>29</v>
      </c>
      <c r="B34" s="8" t="inlineStr">
        <is>
          <t>|Venkatravu peta</t>
        </is>
      </c>
      <c r="C34" s="9" t="n">
        <v>253</v>
      </c>
      <c r="D34" s="9" t="n">
        <v>530</v>
      </c>
      <c r="E34" s="9" t="n">
        <v>104</v>
      </c>
      <c r="F34" s="9" t="n">
        <v>13</v>
      </c>
      <c r="G34" s="9" t="n">
        <v>0</v>
      </c>
      <c r="H34" s="9" t="n">
        <v>3</v>
      </c>
      <c r="I34" s="9" t="n">
        <v>0</v>
      </c>
      <c r="J34" s="9" t="n">
        <v>0</v>
      </c>
      <c r="K34" s="9" t="n">
        <v>3</v>
      </c>
      <c r="L34" s="9" t="n">
        <v>1</v>
      </c>
      <c r="M34" s="9" t="n">
        <v>2</v>
      </c>
      <c r="N34" s="9" t="n">
        <v>5</v>
      </c>
      <c r="O34" s="9" t="n">
        <v>2</v>
      </c>
      <c r="P34" s="9" t="n">
        <v>2</v>
      </c>
      <c r="Q34" s="9" t="n">
        <v>10</v>
      </c>
      <c r="R34" s="9" t="n">
        <v>930</v>
      </c>
      <c r="S34" s="9" t="n">
        <v>15</v>
      </c>
      <c r="T34" s="9" t="n">
        <v>0</v>
      </c>
      <c r="U34" s="9" t="n">
        <v>945</v>
      </c>
      <c r="V34" s="10" t="n">
        <v>2818</v>
      </c>
      <c r="W34" s="10" t="n">
        <v>0</v>
      </c>
      <c r="X34" s="10" t="n">
        <v>0</v>
      </c>
      <c r="Y34" s="10" t="n">
        <v>2818</v>
      </c>
      <c r="Z34" s="10" t="n">
        <v>0</v>
      </c>
    </row>
    <row r="35">
      <c r="A35" s="7" t="n">
        <v>30</v>
      </c>
      <c r="B35" s="8" t="inlineStr">
        <is>
          <t>|Venkatravu peta</t>
        </is>
      </c>
      <c r="C35" s="9" t="n">
        <v>85</v>
      </c>
      <c r="D35" s="9" t="n">
        <v>333</v>
      </c>
      <c r="E35" s="9" t="n">
        <v>46</v>
      </c>
      <c r="F35" s="9" t="n">
        <v>3</v>
      </c>
      <c r="G35" s="9" t="n">
        <v>1</v>
      </c>
      <c r="H35" s="9" t="n">
        <v>1</v>
      </c>
      <c r="I35" s="9" t="n">
        <v>0</v>
      </c>
      <c r="J35" s="9" t="n">
        <v>1</v>
      </c>
      <c r="K35" s="9" t="n">
        <v>0</v>
      </c>
      <c r="L35" s="9" t="n">
        <v>1</v>
      </c>
      <c r="M35" s="9" t="n">
        <v>0</v>
      </c>
      <c r="N35" s="9" t="n">
        <v>1</v>
      </c>
      <c r="O35" s="9" t="n">
        <v>0</v>
      </c>
      <c r="P35" s="9" t="n">
        <v>1</v>
      </c>
      <c r="Q35" s="9" t="n">
        <v>6</v>
      </c>
      <c r="R35" s="9" t="n">
        <v>480</v>
      </c>
      <c r="S35" s="9" t="n">
        <v>3</v>
      </c>
      <c r="T35" s="9" t="n">
        <v>0</v>
      </c>
      <c r="U35" s="9" t="n">
        <v>483</v>
      </c>
      <c r="V35" s="10" t="n">
        <v>1445</v>
      </c>
      <c r="W35" s="10" t="n">
        <v>0</v>
      </c>
      <c r="X35" s="10" t="n">
        <v>0</v>
      </c>
      <c r="Y35" s="10" t="n">
        <v>1445</v>
      </c>
      <c r="Z35" s="10" t="n">
        <v>0</v>
      </c>
    </row>
    <row r="36">
      <c r="A36" s="7" t="n">
        <v>31</v>
      </c>
      <c r="B36" s="8" t="inlineStr">
        <is>
          <t>Polling Station 31</t>
        </is>
      </c>
      <c r="C36" s="9" t="n">
        <v>8</v>
      </c>
      <c r="D36" s="9" t="n">
        <v>321</v>
      </c>
      <c r="E36" s="9" t="n">
        <v>32</v>
      </c>
      <c r="F36" s="9" t="n">
        <v>19</v>
      </c>
      <c r="G36" s="9" t="n">
        <v>7</v>
      </c>
      <c r="H36" s="9" t="n">
        <v>1</v>
      </c>
      <c r="I36" s="9" t="n">
        <v>0</v>
      </c>
      <c r="J36" s="9" t="n">
        <v>1</v>
      </c>
      <c r="K36" s="9" t="n">
        <v>1</v>
      </c>
      <c r="L36" s="9" t="n">
        <v>3</v>
      </c>
      <c r="M36" s="9" t="n">
        <v>0</v>
      </c>
      <c r="N36" s="9" t="n">
        <v>5</v>
      </c>
      <c r="O36" s="9" t="n">
        <v>3</v>
      </c>
      <c r="P36" s="9" t="n">
        <v>4</v>
      </c>
      <c r="Q36" s="9" t="n">
        <v>5</v>
      </c>
      <c r="R36" s="9" t="n">
        <v>689</v>
      </c>
      <c r="S36" s="9" t="n">
        <v>5</v>
      </c>
      <c r="T36" s="9" t="n">
        <v>0</v>
      </c>
      <c r="U36" s="9" t="n">
        <v>694</v>
      </c>
      <c r="V36" s="10" t="n">
        <v>1798</v>
      </c>
      <c r="W36" s="10" t="n">
        <v>0</v>
      </c>
      <c r="X36" s="10" t="n">
        <v>0</v>
      </c>
      <c r="Y36" s="10" t="n">
        <v>1798</v>
      </c>
      <c r="Z36" s="10" t="n">
        <v>0</v>
      </c>
    </row>
    <row r="37">
      <c r="A37" s="7" t="n">
        <v>32</v>
      </c>
      <c r="B37" s="8" t="inlineStr">
        <is>
          <t>|Bheemaram</t>
        </is>
      </c>
      <c r="C37" s="9" t="n">
        <v>290</v>
      </c>
      <c r="D37" s="9" t="n">
        <v>393</v>
      </c>
      <c r="E37" s="9" t="n">
        <v>37</v>
      </c>
      <c r="F37" s="9" t="n">
        <v>14</v>
      </c>
      <c r="G37" s="9" t="n">
        <v>1</v>
      </c>
      <c r="H37" s="9" t="n">
        <v>1</v>
      </c>
      <c r="I37" s="9" t="n">
        <v>2</v>
      </c>
      <c r="J37" s="9" t="n">
        <v>0</v>
      </c>
      <c r="K37" s="9" t="n">
        <v>0</v>
      </c>
      <c r="L37" s="9" t="n">
        <v>5</v>
      </c>
      <c r="M37" s="9" t="n">
        <v>4</v>
      </c>
      <c r="N37" s="9" t="n">
        <v>4</v>
      </c>
      <c r="O37" s="9" t="n">
        <v>7</v>
      </c>
      <c r="P37" s="9" t="n">
        <v>6</v>
      </c>
      <c r="Q37" s="9" t="n">
        <v>22</v>
      </c>
      <c r="R37" s="9" t="n">
        <v>796</v>
      </c>
      <c r="S37" s="9" t="n">
        <v>23</v>
      </c>
      <c r="T37" s="9" t="n">
        <v>0</v>
      </c>
      <c r="U37" s="9" t="n">
        <v>819</v>
      </c>
      <c r="V37" s="10" t="n">
        <v>2424</v>
      </c>
      <c r="W37" s="10" t="n">
        <v>0</v>
      </c>
      <c r="X37" s="10" t="n">
        <v>0</v>
      </c>
      <c r="Y37" s="10" t="n">
        <v>2424</v>
      </c>
      <c r="Z37" s="10" t="n">
        <v>0</v>
      </c>
    </row>
    <row r="38">
      <c r="A38" s="7" t="n">
        <v>33</v>
      </c>
      <c r="B38" s="8" t="inlineStr">
        <is>
          <t>«©|Bheemaram</t>
        </is>
      </c>
      <c r="C38" s="9" t="n">
        <v>245</v>
      </c>
      <c r="D38" s="9" t="n">
        <v>405</v>
      </c>
      <c r="E38" s="9" t="n">
        <v>60</v>
      </c>
      <c r="F38" s="9" t="n">
        <v>9</v>
      </c>
      <c r="G38" s="9" t="n">
        <v>2</v>
      </c>
      <c r="H38" s="9" t="n">
        <v>2</v>
      </c>
      <c r="I38" s="9" t="n">
        <v>2</v>
      </c>
      <c r="J38" s="9" t="n">
        <v>4</v>
      </c>
      <c r="K38" s="9" t="n">
        <v>4</v>
      </c>
      <c r="L38" s="9" t="n">
        <v>2</v>
      </c>
      <c r="M38" s="9" t="n">
        <v>3</v>
      </c>
      <c r="N38" s="9" t="n">
        <v>3</v>
      </c>
      <c r="O38" s="9" t="n">
        <v>8</v>
      </c>
      <c r="P38" s="9" t="n">
        <v>3</v>
      </c>
      <c r="Q38" s="9" t="n">
        <v>8</v>
      </c>
      <c r="R38" s="9" t="n">
        <v>760</v>
      </c>
      <c r="S38" s="9" t="n">
        <v>13</v>
      </c>
      <c r="T38" s="9" t="n">
        <v>0</v>
      </c>
      <c r="U38" s="9" t="n">
        <v>773</v>
      </c>
      <c r="V38" s="10" t="n">
        <v>2306</v>
      </c>
      <c r="W38" s="10" t="n">
        <v>0</v>
      </c>
      <c r="X38" s="10" t="n">
        <v>0</v>
      </c>
      <c r="Y38" s="10" t="n">
        <v>2306</v>
      </c>
      <c r="Z38" s="10" t="n">
        <v>0</v>
      </c>
    </row>
    <row r="39">
      <c r="A39" s="7" t="n">
        <v>34</v>
      </c>
      <c r="B39" s="8" t="inlineStr">
        <is>
          <t>|Bheemaram</t>
        </is>
      </c>
      <c r="C39" s="9" t="n">
        <v>196</v>
      </c>
      <c r="D39" s="9" t="n">
        <v>263</v>
      </c>
      <c r="E39" s="9" t="n">
        <v>56</v>
      </c>
      <c r="F39" s="9" t="n">
        <v>3</v>
      </c>
      <c r="G39" s="9" t="n">
        <v>2</v>
      </c>
      <c r="H39" s="9" t="n">
        <v>0</v>
      </c>
      <c r="I39" s="9" t="n">
        <v>0</v>
      </c>
      <c r="J39" s="9" t="n">
        <v>0</v>
      </c>
      <c r="K39" s="9" t="n">
        <v>2</v>
      </c>
      <c r="L39" s="9" t="n">
        <v>2</v>
      </c>
      <c r="M39" s="9" t="n">
        <v>0</v>
      </c>
      <c r="N39" s="9" t="n">
        <v>1</v>
      </c>
      <c r="O39" s="9" t="n">
        <v>0</v>
      </c>
      <c r="P39" s="9" t="n">
        <v>0</v>
      </c>
      <c r="Q39" s="9" t="n">
        <v>2</v>
      </c>
      <c r="R39" s="9" t="n">
        <v>527</v>
      </c>
      <c r="S39" s="9" t="n">
        <v>4</v>
      </c>
      <c r="T39" s="9" t="n">
        <v>0</v>
      </c>
      <c r="U39" s="9" t="n">
        <v>531</v>
      </c>
      <c r="V39" s="10" t="n">
        <v>1589</v>
      </c>
      <c r="W39" s="10" t="n">
        <v>0</v>
      </c>
      <c r="X39" s="10" t="n">
        <v>0</v>
      </c>
      <c r="Y39" s="10" t="n">
        <v>1589</v>
      </c>
      <c r="Z39" s="10" t="n">
        <v>0</v>
      </c>
    </row>
    <row r="40">
      <c r="A40" s="7" t="n">
        <v>35</v>
      </c>
      <c r="B40" s="8">
        <f>|Mannegudem</f>
        <v/>
      </c>
      <c r="C40" s="9" t="n">
        <v>160</v>
      </c>
      <c r="D40" s="9" t="n">
        <v>8</v>
      </c>
      <c r="E40" s="9" t="n">
        <v>17</v>
      </c>
      <c r="F40" s="9" t="n">
        <v>2</v>
      </c>
      <c r="G40" s="9" t="n">
        <v>1</v>
      </c>
      <c r="H40" s="9" t="n">
        <v>0</v>
      </c>
      <c r="I40" s="9" t="n">
        <v>0</v>
      </c>
      <c r="J40" s="9" t="n">
        <v>2</v>
      </c>
      <c r="K40" s="9" t="n">
        <v>0</v>
      </c>
      <c r="L40" s="9" t="n">
        <v>2</v>
      </c>
      <c r="M40" s="9" t="n">
        <v>2</v>
      </c>
      <c r="N40" s="9" t="n">
        <v>0</v>
      </c>
      <c r="O40" s="9" t="n">
        <v>0</v>
      </c>
      <c r="P40" s="9" t="n">
        <v>2</v>
      </c>
      <c r="Q40" s="9" t="n">
        <v>4</v>
      </c>
      <c r="R40" s="9" t="n">
        <v>420</v>
      </c>
      <c r="S40" s="9" t="n">
        <v>4</v>
      </c>
      <c r="T40" s="9" t="n">
        <v>0</v>
      </c>
      <c r="U40" s="9" t="n">
        <v>424</v>
      </c>
      <c r="V40" s="10" t="n">
        <v>1048</v>
      </c>
      <c r="W40" s="10" t="n">
        <v>0</v>
      </c>
      <c r="X40" s="10" t="n">
        <v>0</v>
      </c>
      <c r="Y40" s="10" t="n">
        <v>1048</v>
      </c>
      <c r="Z40" s="10" t="n">
        <v>0</v>
      </c>
    </row>
    <row r="41">
      <c r="A41" s="7" t="n">
        <v>36</v>
      </c>
      <c r="B41" s="8" t="inlineStr">
        <is>
          <t>©|Mannegudem</t>
        </is>
      </c>
      <c r="C41" s="9" t="n">
        <v>112</v>
      </c>
      <c r="D41" s="9" t="n">
        <v>282</v>
      </c>
      <c r="E41" s="9" t="n">
        <v>33</v>
      </c>
      <c r="F41" s="9" t="n">
        <v>5</v>
      </c>
      <c r="G41" s="9" t="n">
        <v>5</v>
      </c>
      <c r="H41" s="9" t="n">
        <v>2</v>
      </c>
      <c r="I41" s="9" t="n">
        <v>0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3</v>
      </c>
      <c r="O41" s="9" t="n">
        <v>5</v>
      </c>
      <c r="P41" s="9" t="n">
        <v>1</v>
      </c>
      <c r="Q41" s="9" t="n">
        <v>0</v>
      </c>
      <c r="R41" s="9" t="n">
        <v>452</v>
      </c>
      <c r="S41" s="9" t="n">
        <v>3</v>
      </c>
      <c r="T41" s="9" t="n">
        <v>0</v>
      </c>
      <c r="U41" s="9" t="n">
        <v>4</v>
      </c>
      <c r="V41" s="10" t="n">
        <v>911</v>
      </c>
      <c r="W41" s="10" t="n">
        <v>0</v>
      </c>
      <c r="X41" s="10" t="n">
        <v>0</v>
      </c>
      <c r="Y41" s="10" t="n">
        <v>911</v>
      </c>
      <c r="Z41" s="10" t="n">
        <v>0</v>
      </c>
    </row>
    <row r="42">
      <c r="A42" s="7" t="n">
        <v>37</v>
      </c>
      <c r="B42" s="8" t="inlineStr">
        <is>
          <t>|Mannegudem</t>
        </is>
      </c>
      <c r="C42" s="9" t="n">
        <v>173</v>
      </c>
      <c r="D42" s="9" t="n">
        <v>347</v>
      </c>
      <c r="E42" s="9" t="n">
        <v>50</v>
      </c>
      <c r="F42" s="9" t="n">
        <v>7</v>
      </c>
      <c r="G42" s="9" t="n">
        <v>3</v>
      </c>
      <c r="H42" s="9" t="n">
        <v>2</v>
      </c>
      <c r="I42" s="9" t="n">
        <v>0</v>
      </c>
      <c r="J42" s="9" t="n">
        <v>2</v>
      </c>
      <c r="K42" s="9" t="n">
        <v>0</v>
      </c>
      <c r="L42" s="9" t="n">
        <v>4</v>
      </c>
      <c r="M42" s="9" t="n">
        <v>0</v>
      </c>
      <c r="N42" s="9" t="n">
        <v>2</v>
      </c>
      <c r="O42" s="9" t="n">
        <v>7</v>
      </c>
      <c r="P42" s="9" t="n">
        <v>1</v>
      </c>
      <c r="Q42" s="9" t="n">
        <v>5</v>
      </c>
      <c r="R42" s="9" t="n">
        <v>600</v>
      </c>
      <c r="S42" s="9" t="n">
        <v>8</v>
      </c>
      <c r="T42" s="9" t="n">
        <v>0</v>
      </c>
      <c r="U42" s="9" t="n">
        <v>608</v>
      </c>
      <c r="V42" s="10" t="n">
        <v>1819</v>
      </c>
      <c r="W42" s="10" t="n">
        <v>0</v>
      </c>
      <c r="X42" s="10" t="n">
        <v>0</v>
      </c>
      <c r="Y42" s="10" t="n">
        <v>1819</v>
      </c>
      <c r="Z42" s="10" t="n">
        <v>0</v>
      </c>
    </row>
    <row r="43">
      <c r="A43" s="7" t="n">
        <v>38</v>
      </c>
      <c r="B43" s="8" t="inlineStr">
        <is>
          <t>|Mannegudem</t>
        </is>
      </c>
      <c r="C43" s="9" t="n">
        <v>215</v>
      </c>
      <c r="D43" s="9" t="n">
        <v>329</v>
      </c>
      <c r="E43" s="9" t="n">
        <v>39</v>
      </c>
      <c r="F43" s="9" t="n">
        <v>8</v>
      </c>
      <c r="G43" s="9" t="n">
        <v>0</v>
      </c>
      <c r="H43" s="9" t="n">
        <v>0</v>
      </c>
      <c r="I43" s="9" t="n">
        <v>1</v>
      </c>
      <c r="J43" s="9" t="n">
        <v>2</v>
      </c>
      <c r="K43" s="9" t="n">
        <v>0</v>
      </c>
      <c r="L43" s="9" t="n">
        <v>4</v>
      </c>
      <c r="M43" s="9" t="n">
        <v>0</v>
      </c>
      <c r="N43" s="9" t="n">
        <v>4</v>
      </c>
      <c r="O43" s="9" t="n">
        <v>3</v>
      </c>
      <c r="P43" s="9" t="n">
        <v>0</v>
      </c>
      <c r="Q43" s="9" t="n">
        <v>4</v>
      </c>
      <c r="R43" s="9" t="n">
        <v>608</v>
      </c>
      <c r="S43" s="9" t="n">
        <v>3</v>
      </c>
      <c r="T43" s="9" t="n">
        <v>0</v>
      </c>
      <c r="U43" s="9" t="n">
        <v>11</v>
      </c>
      <c r="V43" s="10" t="n">
        <v>1231</v>
      </c>
      <c r="W43" s="10" t="n">
        <v>0</v>
      </c>
      <c r="X43" s="10" t="n">
        <v>0</v>
      </c>
      <c r="Y43" s="10" t="n">
        <v>1231</v>
      </c>
      <c r="Z43" s="10" t="n">
        <v>0</v>
      </c>
    </row>
    <row r="44">
      <c r="A44" s="7" t="n">
        <v>39</v>
      </c>
      <c r="B44" s="8" t="inlineStr">
        <is>
          <t>|Lingampeta</t>
        </is>
      </c>
      <c r="C44" s="9" t="n">
        <v>189</v>
      </c>
      <c r="D44" s="9" t="n">
        <v>243</v>
      </c>
      <c r="E44" s="9" t="n">
        <v>1</v>
      </c>
      <c r="F44" s="9" t="n">
        <v>14</v>
      </c>
      <c r="G44" s="9" t="n">
        <v>1</v>
      </c>
      <c r="H44" s="9" t="n">
        <v>3</v>
      </c>
      <c r="I44" s="9" t="n">
        <v>0</v>
      </c>
      <c r="J44" s="9" t="n">
        <v>1</v>
      </c>
      <c r="K44" s="9" t="n">
        <v>0</v>
      </c>
      <c r="L44" s="9" t="n">
        <v>2</v>
      </c>
      <c r="M44" s="9" t="n">
        <v>4</v>
      </c>
      <c r="N44" s="9" t="n">
        <v>4</v>
      </c>
      <c r="O44" s="9" t="n">
        <v>13</v>
      </c>
      <c r="P44" s="9" t="n">
        <v>4</v>
      </c>
      <c r="Q44" s="9" t="n">
        <v>6</v>
      </c>
      <c r="R44" s="9" t="n">
        <v>479</v>
      </c>
      <c r="S44" s="9" t="n">
        <v>5</v>
      </c>
      <c r="T44" s="9" t="n">
        <v>0</v>
      </c>
      <c r="U44" s="9" t="n">
        <v>484</v>
      </c>
      <c r="V44" s="10" t="n">
        <v>1453</v>
      </c>
      <c r="W44" s="10" t="n">
        <v>0</v>
      </c>
      <c r="X44" s="10" t="n">
        <v>0</v>
      </c>
      <c r="Y44" s="10" t="n">
        <v>1453</v>
      </c>
      <c r="Z44" s="10" t="n">
        <v>0</v>
      </c>
    </row>
    <row r="45">
      <c r="A45" s="7" t="n">
        <v>40</v>
      </c>
      <c r="B45" s="8" t="inlineStr">
        <is>
          <t>|LIngampeta</t>
        </is>
      </c>
      <c r="C45" s="9" t="n">
        <v>125</v>
      </c>
      <c r="D45" s="9" t="n">
        <v>272</v>
      </c>
      <c r="E45" s="9" t="n">
        <v>18</v>
      </c>
      <c r="F45" s="9" t="n">
        <v>4</v>
      </c>
      <c r="G45" s="9" t="n">
        <v>4</v>
      </c>
      <c r="H45" s="9" t="n">
        <v>0</v>
      </c>
      <c r="I45" s="9" t="n">
        <v>4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1</v>
      </c>
      <c r="O45" s="9" t="n">
        <v>4</v>
      </c>
      <c r="P45" s="9" t="n">
        <v>0</v>
      </c>
      <c r="Q45" s="9" t="n">
        <v>4</v>
      </c>
      <c r="R45" s="9" t="n">
        <v>430</v>
      </c>
      <c r="S45" s="9" t="n">
        <v>6</v>
      </c>
      <c r="T45" s="9" t="n">
        <v>0</v>
      </c>
      <c r="U45" s="9" t="n">
        <v>436</v>
      </c>
      <c r="V45" s="10" t="n">
        <v>1308</v>
      </c>
      <c r="W45" s="10" t="n">
        <v>0</v>
      </c>
      <c r="X45" s="10" t="n">
        <v>0</v>
      </c>
      <c r="Y45" s="10" t="n">
        <v>1308</v>
      </c>
      <c r="Z45" s="10" t="n">
        <v>0</v>
      </c>
    </row>
    <row r="46">
      <c r="A46" s="7" t="n">
        <v>41</v>
      </c>
      <c r="B46" s="8" t="inlineStr">
        <is>
          <t>|Govindaram</t>
        </is>
      </c>
      <c r="C46" s="9" t="n">
        <v>149</v>
      </c>
      <c r="D46" s="9" t="n">
        <v>212</v>
      </c>
      <c r="E46" s="9" t="n">
        <v>8</v>
      </c>
      <c r="F46" s="9" t="n">
        <v>6</v>
      </c>
      <c r="G46" s="9" t="n">
        <v>4</v>
      </c>
      <c r="H46" s="9" t="n">
        <v>0</v>
      </c>
      <c r="I46" s="9" t="n">
        <v>0</v>
      </c>
      <c r="J46" s="9" t="n">
        <v>1</v>
      </c>
      <c r="K46" s="9" t="n">
        <v>0</v>
      </c>
      <c r="L46" s="9" t="n">
        <v>4</v>
      </c>
      <c r="M46" s="9" t="n">
        <v>0</v>
      </c>
      <c r="N46" s="9" t="n">
        <v>2</v>
      </c>
      <c r="O46" s="9" t="n">
        <v>2</v>
      </c>
      <c r="P46" s="9" t="n">
        <v>2</v>
      </c>
      <c r="Q46" s="9" t="n">
        <v>5</v>
      </c>
      <c r="R46" s="9" t="n">
        <v>466</v>
      </c>
      <c r="S46" s="9" t="n">
        <v>6</v>
      </c>
      <c r="T46" s="9" t="n">
        <v>0</v>
      </c>
      <c r="U46" s="9" t="n">
        <v>472</v>
      </c>
      <c r="V46" s="10" t="n">
        <v>1339</v>
      </c>
      <c r="W46" s="10" t="n">
        <v>0</v>
      </c>
      <c r="X46" s="10" t="n">
        <v>0</v>
      </c>
      <c r="Y46" s="10" t="n">
        <v>1339</v>
      </c>
      <c r="Z46" s="10" t="n">
        <v>0</v>
      </c>
    </row>
    <row r="47">
      <c r="A47" s="7" t="n">
        <v>42</v>
      </c>
      <c r="B47" s="8" t="inlineStr">
        <is>
          <t>|Govindaram</t>
        </is>
      </c>
      <c r="C47" s="9" t="n">
        <v>168</v>
      </c>
      <c r="D47" s="9" t="n">
        <v>332</v>
      </c>
      <c r="E47" s="9" t="n">
        <v>103</v>
      </c>
      <c r="F47" s="9" t="n">
        <v>10</v>
      </c>
      <c r="G47" s="9" t="n">
        <v>4</v>
      </c>
      <c r="H47" s="9" t="n">
        <v>0</v>
      </c>
      <c r="I47" s="9" t="n">
        <v>0</v>
      </c>
      <c r="J47" s="9" t="n">
        <v>1</v>
      </c>
      <c r="K47" s="9" t="n">
        <v>0</v>
      </c>
      <c r="L47" s="9" t="n">
        <v>0</v>
      </c>
      <c r="M47" s="9" t="n">
        <v>12</v>
      </c>
      <c r="N47" s="9" t="n">
        <v>2</v>
      </c>
      <c r="O47" s="9" t="n">
        <v>4</v>
      </c>
      <c r="P47" s="9" t="n">
        <v>4</v>
      </c>
      <c r="Q47" s="9" t="n">
        <v>10</v>
      </c>
      <c r="R47" s="9" t="n">
        <v>634</v>
      </c>
      <c r="S47" s="9" t="n">
        <v>5</v>
      </c>
      <c r="T47" s="9" t="n">
        <v>0</v>
      </c>
      <c r="U47" s="9" t="n">
        <v>639</v>
      </c>
      <c r="V47" s="10" t="n">
        <v>1928</v>
      </c>
      <c r="W47" s="10" t="n">
        <v>0</v>
      </c>
      <c r="X47" s="10" t="n">
        <v>0</v>
      </c>
      <c r="Y47" s="10" t="n">
        <v>1928</v>
      </c>
      <c r="Z47" s="10" t="n">
        <v>0</v>
      </c>
    </row>
    <row r="48">
      <c r="A48" s="7" t="n">
        <v>43</v>
      </c>
      <c r="B48" s="8" t="inlineStr">
        <is>
          <t>| 43 |GOVINDARAM.</t>
        </is>
      </c>
      <c r="C48" s="9" t="n">
        <v>352</v>
      </c>
      <c r="D48" s="9" t="n">
        <v>307</v>
      </c>
      <c r="E48" s="9" t="n">
        <v>8</v>
      </c>
      <c r="F48" s="9" t="n">
        <v>12</v>
      </c>
      <c r="G48" s="9" t="n">
        <v>5</v>
      </c>
      <c r="H48" s="9" t="n">
        <v>1</v>
      </c>
      <c r="I48" s="9" t="n">
        <v>1</v>
      </c>
      <c r="J48" s="9" t="n">
        <v>5</v>
      </c>
      <c r="K48" s="9" t="n">
        <v>0</v>
      </c>
      <c r="L48" s="9" t="n">
        <v>2</v>
      </c>
      <c r="M48" s="9" t="n">
        <v>2</v>
      </c>
      <c r="N48" s="9" t="n">
        <v>6</v>
      </c>
      <c r="O48" s="9" t="n">
        <v>1</v>
      </c>
      <c r="P48" s="9" t="n">
        <v>3</v>
      </c>
      <c r="Q48" s="9" t="n">
        <v>15</v>
      </c>
      <c r="R48" s="9" t="n">
        <v>760</v>
      </c>
      <c r="S48" s="9" t="n">
        <v>7</v>
      </c>
      <c r="T48" s="9" t="n">
        <v>0</v>
      </c>
      <c r="U48" s="9" t="n">
        <v>77</v>
      </c>
      <c r="V48" s="10" t="n">
        <v>1564</v>
      </c>
      <c r="W48" s="10" t="n">
        <v>0</v>
      </c>
      <c r="X48" s="10" t="n">
        <v>0</v>
      </c>
      <c r="Y48" s="10" t="n">
        <v>1564</v>
      </c>
      <c r="Z48" s="10" t="n">
        <v>0</v>
      </c>
    </row>
    <row r="49">
      <c r="A49" s="7" t="n">
        <v>44</v>
      </c>
      <c r="B49" s="8" t="inlineStr">
        <is>
          <t>|Pesayipeta H/o
|Govindaram</t>
        </is>
      </c>
      <c r="C49" s="9" t="n">
        <v>391</v>
      </c>
      <c r="D49" s="9" t="n">
        <v>424</v>
      </c>
      <c r="E49" s="9" t="n">
        <v>48</v>
      </c>
      <c r="F49" s="9" t="n">
        <v>10</v>
      </c>
      <c r="G49" s="9" t="n">
        <v>4</v>
      </c>
      <c r="H49" s="9" t="n">
        <v>0</v>
      </c>
      <c r="I49" s="9" t="n">
        <v>0</v>
      </c>
      <c r="J49" s="9" t="n">
        <v>0</v>
      </c>
      <c r="K49" s="9" t="n">
        <v>1</v>
      </c>
      <c r="L49" s="9" t="n">
        <v>3</v>
      </c>
      <c r="M49" s="9" t="n">
        <v>0</v>
      </c>
      <c r="N49" s="9" t="n">
        <v>0</v>
      </c>
      <c r="O49" s="9" t="n">
        <v>0</v>
      </c>
      <c r="P49" s="9" t="n">
        <v>4</v>
      </c>
      <c r="Q49" s="9" t="n">
        <v>1</v>
      </c>
      <c r="R49" s="9" t="n">
        <v>900</v>
      </c>
      <c r="S49" s="9" t="n">
        <v>9</v>
      </c>
      <c r="T49" s="9" t="n">
        <v>0</v>
      </c>
      <c r="U49" s="9" t="n">
        <v>0</v>
      </c>
      <c r="V49" s="10" t="n">
        <v>1795</v>
      </c>
      <c r="W49" s="10" t="n">
        <v>0</v>
      </c>
      <c r="X49" s="10" t="n">
        <v>0</v>
      </c>
      <c r="Y49" s="10" t="n">
        <v>1795</v>
      </c>
      <c r="Z49" s="10" t="n">
        <v>0</v>
      </c>
    </row>
    <row r="50">
      <c r="A50" s="7" t="n">
        <v>45</v>
      </c>
      <c r="B50" s="8" t="inlineStr">
        <is>
          <t>Mothkurraopet H/o
Pasnur</t>
        </is>
      </c>
      <c r="C50" s="9" t="n">
        <v>270</v>
      </c>
      <c r="D50" s="9" t="n">
        <v>28</v>
      </c>
      <c r="E50" s="9" t="n">
        <v>45</v>
      </c>
      <c r="F50" s="9" t="n">
        <v>4</v>
      </c>
      <c r="G50" s="9" t="n">
        <v>0</v>
      </c>
      <c r="H50" s="9" t="n">
        <v>1</v>
      </c>
      <c r="I50" s="9" t="n">
        <v>1</v>
      </c>
      <c r="J50" s="9" t="n">
        <v>1</v>
      </c>
      <c r="K50" s="9" t="n">
        <v>4</v>
      </c>
      <c r="L50" s="9" t="n">
        <v>1</v>
      </c>
      <c r="M50" s="9" t="n">
        <v>1</v>
      </c>
      <c r="N50" s="9" t="n">
        <v>2</v>
      </c>
      <c r="O50" s="9" t="n">
        <v>1</v>
      </c>
      <c r="P50" s="9" t="n">
        <v>0</v>
      </c>
      <c r="Q50" s="9" t="n">
        <v>8</v>
      </c>
      <c r="R50" s="9" t="n">
        <v>604</v>
      </c>
      <c r="S50" s="9" t="n">
        <v>7</v>
      </c>
      <c r="T50" s="9" t="n">
        <v>0</v>
      </c>
      <c r="U50" s="9" t="n">
        <v>611</v>
      </c>
      <c r="V50" s="10" t="n">
        <v>1589</v>
      </c>
      <c r="W50" s="10" t="n">
        <v>0</v>
      </c>
      <c r="X50" s="10" t="n">
        <v>0</v>
      </c>
      <c r="Y50" s="10" t="n">
        <v>1589</v>
      </c>
      <c r="Z50" s="10" t="n">
        <v>0</v>
      </c>
    </row>
    <row r="51">
      <c r="A51" s="7" t="n">
        <v>46</v>
      </c>
      <c r="B51" s="8" t="inlineStr">
        <is>
          <t>~=|Pasunoor</t>
        </is>
      </c>
      <c r="C51" s="9" t="n">
        <v>311</v>
      </c>
      <c r="D51" s="9" t="n">
        <v>103</v>
      </c>
      <c r="E51" s="9" t="n">
        <v>5</v>
      </c>
      <c r="F51" s="9" t="n">
        <v>13</v>
      </c>
      <c r="G51" s="9" t="n">
        <v>4</v>
      </c>
      <c r="H51" s="9" t="n">
        <v>1</v>
      </c>
      <c r="I51" s="9" t="n">
        <v>0</v>
      </c>
      <c r="J51" s="9" t="n">
        <v>7</v>
      </c>
      <c r="K51" s="9" t="n">
        <v>0</v>
      </c>
      <c r="L51" s="9" t="n">
        <v>0</v>
      </c>
      <c r="M51" s="9" t="n">
        <v>0</v>
      </c>
      <c r="N51" s="9" t="n">
        <v>1</v>
      </c>
      <c r="O51" s="9" t="n">
        <v>4</v>
      </c>
      <c r="P51" s="9" t="n">
        <v>4</v>
      </c>
      <c r="Q51" s="9" t="n">
        <v>12</v>
      </c>
      <c r="R51" s="9" t="n">
        <v>446</v>
      </c>
      <c r="S51" s="9" t="n">
        <v>8</v>
      </c>
      <c r="T51" s="9" t="n">
        <v>0</v>
      </c>
      <c r="U51" s="9" t="n">
        <v>454</v>
      </c>
      <c r="V51" s="10" t="n">
        <v>1373</v>
      </c>
      <c r="W51" s="10" t="n">
        <v>0</v>
      </c>
      <c r="X51" s="10" t="n">
        <v>0</v>
      </c>
      <c r="Y51" s="10" t="n">
        <v>1373</v>
      </c>
      <c r="Z51" s="10" t="n">
        <v>0</v>
      </c>
    </row>
    <row r="52">
      <c r="A52" s="7" t="n">
        <v>47</v>
      </c>
      <c r="B52" s="8">
        <f>|\Oddadu</f>
        <v/>
      </c>
      <c r="C52" s="9" t="n">
        <v>202</v>
      </c>
      <c r="D52" s="9" t="n">
        <v>316</v>
      </c>
      <c r="E52" s="9" t="n">
        <v>2</v>
      </c>
      <c r="F52" s="9" t="n">
        <v>7</v>
      </c>
      <c r="G52" s="9" t="n">
        <v>4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2</v>
      </c>
      <c r="M52" s="9" t="n">
        <v>12</v>
      </c>
      <c r="N52" s="9" t="n">
        <v>5</v>
      </c>
      <c r="O52" s="9" t="n">
        <v>4</v>
      </c>
      <c r="P52" s="9" t="n">
        <v>12</v>
      </c>
      <c r="Q52" s="9" t="n">
        <v>16</v>
      </c>
      <c r="R52" s="9" t="n">
        <v>556</v>
      </c>
      <c r="S52" s="9" t="n">
        <v>9</v>
      </c>
      <c r="T52" s="9" t="n">
        <v>0</v>
      </c>
      <c r="U52" s="9" t="n">
        <v>565</v>
      </c>
      <c r="V52" s="10" t="n">
        <v>1712</v>
      </c>
      <c r="W52" s="10" t="n">
        <v>0</v>
      </c>
      <c r="X52" s="10" t="n">
        <v>0</v>
      </c>
      <c r="Y52" s="10" t="n">
        <v>1712</v>
      </c>
      <c r="Z52" s="10" t="n">
        <v>0</v>
      </c>
    </row>
    <row r="53">
      <c r="A53" s="7" t="n">
        <v>48</v>
      </c>
      <c r="B53" s="8" t="inlineStr">
        <is>
          <t>|Sirikonda</t>
        </is>
      </c>
      <c r="C53" s="9" t="n">
        <v>173</v>
      </c>
      <c r="D53" s="9" t="n">
        <v>129</v>
      </c>
      <c r="E53" s="9" t="n">
        <v>51</v>
      </c>
      <c r="F53" s="9" t="n">
        <v>1</v>
      </c>
      <c r="G53" s="9" t="n">
        <v>0</v>
      </c>
      <c r="H53" s="9" t="n">
        <v>2</v>
      </c>
      <c r="I53" s="9" t="n">
        <v>4</v>
      </c>
      <c r="J53" s="9" t="n">
        <v>0</v>
      </c>
      <c r="K53" s="9" t="n">
        <v>0</v>
      </c>
      <c r="L53" s="9" t="n">
        <v>4</v>
      </c>
      <c r="M53" s="9" t="n">
        <v>0</v>
      </c>
      <c r="N53" s="9" t="n">
        <v>12</v>
      </c>
      <c r="O53" s="9" t="n">
        <v>14</v>
      </c>
      <c r="P53" s="9" t="n">
        <v>12</v>
      </c>
      <c r="Q53" s="9" t="n">
        <v>12</v>
      </c>
      <c r="R53" s="9" t="n">
        <v>365</v>
      </c>
      <c r="S53" s="9" t="n">
        <v>13</v>
      </c>
      <c r="T53" s="9" t="n">
        <v>0</v>
      </c>
      <c r="U53" s="9" t="n">
        <v>368</v>
      </c>
      <c r="V53" s="10" t="n">
        <v>1160</v>
      </c>
      <c r="W53" s="10" t="n">
        <v>0</v>
      </c>
      <c r="X53" s="10" t="n">
        <v>0</v>
      </c>
      <c r="Y53" s="10" t="n">
        <v>1160</v>
      </c>
      <c r="Z53" s="10" t="n">
        <v>0</v>
      </c>
    </row>
    <row r="54">
      <c r="A54" s="7" t="n">
        <v>49</v>
      </c>
      <c r="B54" s="8" t="inlineStr">
        <is>
          <t>| 49 |Sirikonda</t>
        </is>
      </c>
      <c r="C54" s="9" t="n">
        <v>291</v>
      </c>
      <c r="D54" s="9" t="n">
        <v>167</v>
      </c>
      <c r="E54" s="9" t="n">
        <v>139</v>
      </c>
      <c r="F54" s="9" t="n">
        <v>13</v>
      </c>
      <c r="G54" s="9" t="n">
        <v>2</v>
      </c>
      <c r="H54" s="9" t="n">
        <v>0</v>
      </c>
      <c r="I54" s="9" t="n">
        <v>1</v>
      </c>
      <c r="J54" s="9" t="n">
        <v>0</v>
      </c>
      <c r="K54" s="9" t="n">
        <v>0</v>
      </c>
      <c r="L54" s="9" t="n">
        <v>1</v>
      </c>
      <c r="M54" s="9" t="n">
        <v>4</v>
      </c>
      <c r="N54" s="9" t="n">
        <v>2</v>
      </c>
      <c r="O54" s="9" t="n">
        <v>1</v>
      </c>
      <c r="P54" s="9" t="n">
        <v>1</v>
      </c>
      <c r="Q54" s="9" t="n">
        <v>4</v>
      </c>
      <c r="R54" s="9" t="n">
        <v>625</v>
      </c>
      <c r="S54" s="9" t="n">
        <v>9</v>
      </c>
      <c r="T54" s="9" t="n">
        <v>0</v>
      </c>
      <c r="U54" s="9" t="n">
        <v>634</v>
      </c>
      <c r="V54" s="10" t="n">
        <v>1894</v>
      </c>
      <c r="W54" s="10" t="n">
        <v>0</v>
      </c>
      <c r="X54" s="10" t="n">
        <v>0</v>
      </c>
      <c r="Y54" s="10" t="n">
        <v>1894</v>
      </c>
      <c r="Z54" s="10" t="n">
        <v>0</v>
      </c>
    </row>
    <row r="55">
      <c r="A55" s="7" t="n">
        <v>50</v>
      </c>
      <c r="B55" s="8">
        <f>|Sirikonda</f>
        <v/>
      </c>
      <c r="C55" s="9" t="n">
        <v>226</v>
      </c>
      <c r="D55" s="9" t="n">
        <v>280</v>
      </c>
      <c r="E55" s="9" t="n">
        <v>6</v>
      </c>
      <c r="F55" s="9" t="n">
        <v>5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7</v>
      </c>
      <c r="O55" s="9" t="n">
        <v>2</v>
      </c>
      <c r="P55" s="9" t="n">
        <v>3</v>
      </c>
      <c r="Q55" s="9" t="n">
        <v>4</v>
      </c>
      <c r="R55" s="9" t="n">
        <v>591</v>
      </c>
      <c r="S55" s="9" t="n">
        <v>7</v>
      </c>
      <c r="T55" s="9" t="n">
        <v>0</v>
      </c>
      <c r="U55" s="9" t="n">
        <v>598</v>
      </c>
      <c r="V55" s="10" t="n">
        <v>1729</v>
      </c>
      <c r="W55" s="10" t="n">
        <v>0</v>
      </c>
      <c r="X55" s="10" t="n">
        <v>0</v>
      </c>
      <c r="Y55" s="10" t="n">
        <v>1729</v>
      </c>
      <c r="Z55" s="10" t="n">
        <v>0</v>
      </c>
    </row>
    <row r="56">
      <c r="A56" s="7" t="n">
        <v>51</v>
      </c>
      <c r="B56" s="8" t="inlineStr">
        <is>
          <t>~=|Sirikonda</t>
        </is>
      </c>
      <c r="C56" s="9" t="n">
        <v>191</v>
      </c>
      <c r="D56" s="9" t="n">
        <v>328</v>
      </c>
      <c r="E56" s="9" t="n">
        <v>6</v>
      </c>
      <c r="F56" s="9" t="n">
        <v>2</v>
      </c>
      <c r="G56" s="9" t="n">
        <v>4</v>
      </c>
      <c r="H56" s="9" t="n">
        <v>4</v>
      </c>
      <c r="I56" s="9" t="n">
        <v>0</v>
      </c>
      <c r="J56" s="9" t="n">
        <v>0</v>
      </c>
      <c r="K56" s="9" t="n">
        <v>0</v>
      </c>
      <c r="L56" s="9" t="n">
        <v>4</v>
      </c>
      <c r="M56" s="9" t="n">
        <v>0</v>
      </c>
      <c r="N56" s="9" t="n">
        <v>3</v>
      </c>
      <c r="O56" s="9" t="n">
        <v>12</v>
      </c>
      <c r="P56" s="9" t="n">
        <v>12</v>
      </c>
      <c r="Q56" s="9" t="n">
        <v>10</v>
      </c>
      <c r="R56" s="9" t="n">
        <v>0</v>
      </c>
      <c r="S56" s="9" t="n">
        <v>5</v>
      </c>
      <c r="T56" s="9" t="n">
        <v>0</v>
      </c>
      <c r="U56" s="9" t="n">
        <v>610</v>
      </c>
      <c r="V56" s="10" t="n">
        <v>1191</v>
      </c>
      <c r="W56" s="10" t="n">
        <v>0</v>
      </c>
      <c r="X56" s="10" t="n">
        <v>0</v>
      </c>
      <c r="Y56" s="10" t="n">
        <v>1191</v>
      </c>
      <c r="Z56" s="10" t="n">
        <v>0</v>
      </c>
    </row>
    <row r="57">
      <c r="A57" s="7" t="n">
        <v>52</v>
      </c>
      <c r="B57" s="8">
        <f> |Sirikonda</f>
        <v/>
      </c>
      <c r="C57" s="9" t="n">
        <v>210</v>
      </c>
      <c r="D57" s="9" t="n">
        <v>147</v>
      </c>
      <c r="E57" s="9" t="n">
        <v>30</v>
      </c>
      <c r="F57" s="9" t="n">
        <v>2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4</v>
      </c>
      <c r="L57" s="9" t="n">
        <v>0</v>
      </c>
      <c r="M57" s="9" t="n">
        <v>3</v>
      </c>
      <c r="N57" s="9" t="n">
        <v>4</v>
      </c>
      <c r="O57" s="9" t="n">
        <v>0</v>
      </c>
      <c r="P57" s="9" t="n">
        <v>0</v>
      </c>
      <c r="Q57" s="9" t="n">
        <v>5</v>
      </c>
      <c r="R57" s="9" t="n">
        <v>399</v>
      </c>
      <c r="S57" s="9" t="n">
        <v>5</v>
      </c>
      <c r="T57" s="9" t="n">
        <v>0</v>
      </c>
      <c r="U57" s="9" t="n">
        <v>404</v>
      </c>
      <c r="V57" s="10" t="n">
        <v>1213</v>
      </c>
      <c r="W57" s="10" t="n">
        <v>0</v>
      </c>
      <c r="X57" s="10" t="n">
        <v>0</v>
      </c>
      <c r="Y57" s="10" t="n">
        <v>1213</v>
      </c>
      <c r="Z57" s="10" t="n">
        <v>0</v>
      </c>
    </row>
    <row r="58">
      <c r="A58" s="7" t="n">
        <v>53</v>
      </c>
      <c r="B58" s="8" t="inlineStr">
        <is>
          <t>| 53 |Takkallapally</t>
        </is>
      </c>
      <c r="C58" s="9" t="n">
        <v>276</v>
      </c>
      <c r="D58" s="9" t="n">
        <v>382</v>
      </c>
      <c r="E58" s="9" t="n">
        <v>19</v>
      </c>
      <c r="F58" s="9" t="n">
        <v>2</v>
      </c>
      <c r="G58" s="9" t="n">
        <v>0</v>
      </c>
      <c r="H58" s="9" t="n">
        <v>2</v>
      </c>
      <c r="I58" s="9" t="n">
        <v>4</v>
      </c>
      <c r="J58" s="9" t="n">
        <v>0</v>
      </c>
      <c r="K58" s="9" t="n">
        <v>0</v>
      </c>
      <c r="L58" s="9" t="n">
        <v>4</v>
      </c>
      <c r="M58" s="9" t="n">
        <v>4</v>
      </c>
      <c r="N58" s="9" t="n">
        <v>15</v>
      </c>
      <c r="O58" s="9" t="n">
        <v>6</v>
      </c>
      <c r="P58" s="9" t="n">
        <v>2</v>
      </c>
      <c r="Q58" s="9" t="n">
        <v>6</v>
      </c>
      <c r="R58" s="9" t="n">
        <v>723</v>
      </c>
      <c r="S58" s="9" t="n">
        <v>8</v>
      </c>
      <c r="T58" s="9" t="n">
        <v>0</v>
      </c>
      <c r="U58" s="9" t="n">
        <v>731</v>
      </c>
      <c r="V58" s="10" t="n">
        <v>2184</v>
      </c>
      <c r="W58" s="10" t="n">
        <v>0</v>
      </c>
      <c r="X58" s="10" t="n">
        <v>0</v>
      </c>
      <c r="Y58" s="10" t="n">
        <v>2184</v>
      </c>
      <c r="Z58" s="10" t="n">
        <v>0</v>
      </c>
    </row>
    <row r="59">
      <c r="A59" s="7" t="n">
        <v>54</v>
      </c>
      <c r="B59" s="8" t="inlineStr">
        <is>
          <t>| 54 |Takkallapally</t>
        </is>
      </c>
      <c r="C59" s="9" t="n">
        <v>135</v>
      </c>
      <c r="D59" s="9" t="n">
        <v>267</v>
      </c>
      <c r="E59" s="9" t="n">
        <v>2</v>
      </c>
      <c r="F59" s="9" t="n">
        <v>10</v>
      </c>
      <c r="G59" s="9" t="n">
        <v>0</v>
      </c>
      <c r="H59" s="9" t="n">
        <v>0</v>
      </c>
      <c r="I59" s="9" t="n">
        <v>0</v>
      </c>
      <c r="J59" s="9" t="n">
        <v>4</v>
      </c>
      <c r="K59" s="9" t="n">
        <v>12</v>
      </c>
      <c r="L59" s="9" t="n">
        <v>2</v>
      </c>
      <c r="M59" s="9" t="n">
        <v>0</v>
      </c>
      <c r="N59" s="9" t="n">
        <v>6</v>
      </c>
      <c r="O59" s="9" t="n">
        <v>3</v>
      </c>
      <c r="P59" s="9" t="n">
        <v>3</v>
      </c>
      <c r="Q59" s="9" t="n">
        <v>6</v>
      </c>
      <c r="R59" s="9" t="n">
        <v>457</v>
      </c>
      <c r="S59" s="9" t="n">
        <v>3</v>
      </c>
      <c r="T59" s="9" t="n">
        <v>0</v>
      </c>
      <c r="U59" s="9" t="n">
        <v>460</v>
      </c>
      <c r="V59" s="10" t="n">
        <v>1370</v>
      </c>
      <c r="W59" s="10" t="n">
        <v>0</v>
      </c>
      <c r="X59" s="10" t="n">
        <v>0</v>
      </c>
      <c r="Y59" s="10" t="n">
        <v>1370</v>
      </c>
      <c r="Z59" s="10" t="n">
        <v>0</v>
      </c>
    </row>
    <row r="60">
      <c r="A60" s="7" t="n">
        <v>55</v>
      </c>
      <c r="B60" s="8" t="inlineStr">
        <is>
          <t>|Takkalapalli.</t>
        </is>
      </c>
      <c r="C60" s="9" t="n">
        <v>126</v>
      </c>
      <c r="D60" s="9" t="n">
        <v>286</v>
      </c>
      <c r="E60" s="9" t="n">
        <v>18</v>
      </c>
      <c r="F60" s="9" t="n">
        <v>5</v>
      </c>
      <c r="G60" s="9" t="n">
        <v>0</v>
      </c>
      <c r="H60" s="9" t="n">
        <v>2</v>
      </c>
      <c r="I60" s="9" t="n">
        <v>1</v>
      </c>
      <c r="J60" s="9" t="n">
        <v>0</v>
      </c>
      <c r="K60" s="9" t="n">
        <v>1</v>
      </c>
      <c r="L60" s="9" t="n">
        <v>1</v>
      </c>
      <c r="M60" s="9" t="n">
        <v>0</v>
      </c>
      <c r="N60" s="9" t="n">
        <v>7</v>
      </c>
      <c r="O60" s="9" t="n">
        <v>5</v>
      </c>
      <c r="P60" s="9" t="n">
        <v>4</v>
      </c>
      <c r="Q60" s="9" t="n">
        <v>15</v>
      </c>
      <c r="R60" s="9" t="n">
        <v>471</v>
      </c>
      <c r="S60" s="9" t="n">
        <v>6</v>
      </c>
      <c r="T60" s="9" t="n">
        <v>0</v>
      </c>
      <c r="U60" s="9" t="n">
        <v>477</v>
      </c>
      <c r="V60" s="10" t="n">
        <v>1425</v>
      </c>
      <c r="W60" s="10" t="n">
        <v>0</v>
      </c>
      <c r="X60" s="10" t="n">
        <v>0</v>
      </c>
      <c r="Y60" s="10" t="n">
        <v>1425</v>
      </c>
      <c r="Z60" s="10" t="n">
        <v>0</v>
      </c>
    </row>
    <row r="61">
      <c r="A61" s="7" t="n">
        <v>56</v>
      </c>
      <c r="B61" s="8" t="inlineStr">
        <is>
          <t>Polling Station 56</t>
        </is>
      </c>
      <c r="C61" s="9" t="n">
        <v>3</v>
      </c>
      <c r="D61" s="9" t="n">
        <v>4</v>
      </c>
      <c r="E61" s="9" t="n">
        <v>5</v>
      </c>
      <c r="F61" s="9" t="n">
        <v>6</v>
      </c>
      <c r="G61" s="9" t="n">
        <v>7</v>
      </c>
      <c r="H61" s="9" t="n">
        <v>8</v>
      </c>
      <c r="I61" s="9" t="n">
        <v>9</v>
      </c>
      <c r="J61" s="9" t="n">
        <v>10</v>
      </c>
      <c r="K61" s="9" t="n">
        <v>0</v>
      </c>
      <c r="L61" s="9" t="n">
        <v>12</v>
      </c>
      <c r="M61" s="9" t="n">
        <v>13</v>
      </c>
      <c r="N61" s="9" t="n">
        <v>4</v>
      </c>
      <c r="O61" s="9" t="n">
        <v>15</v>
      </c>
      <c r="P61" s="9" t="n">
        <v>16</v>
      </c>
      <c r="Q61" s="9" t="n">
        <v>0</v>
      </c>
      <c r="R61" s="9" t="n">
        <v>18</v>
      </c>
      <c r="S61" s="9" t="n">
        <v>19</v>
      </c>
      <c r="T61" s="9" t="n">
        <v>20</v>
      </c>
      <c r="U61" s="9" t="n">
        <v>0</v>
      </c>
      <c r="V61" s="10" t="n">
        <v>169</v>
      </c>
      <c r="W61" s="10" t="n">
        <v>0</v>
      </c>
      <c r="X61" s="10" t="n">
        <v>0</v>
      </c>
      <c r="Y61" s="10" t="n">
        <v>169</v>
      </c>
      <c r="Z61" s="10" t="n">
        <v>0</v>
      </c>
    </row>
    <row r="62">
      <c r="A62" s="7" t="n">
        <v>57</v>
      </c>
      <c r="B62" s="8" t="inlineStr">
        <is>
          <t>|Bommena</t>
        </is>
      </c>
      <c r="C62" s="9" t="n">
        <v>206</v>
      </c>
      <c r="D62" s="9" t="n">
        <v>432</v>
      </c>
      <c r="E62" s="9" t="n">
        <v>14</v>
      </c>
      <c r="F62" s="9" t="n">
        <v>14</v>
      </c>
      <c r="G62" s="9" t="n">
        <v>1</v>
      </c>
      <c r="H62" s="9" t="n">
        <v>0</v>
      </c>
      <c r="I62" s="9" t="n">
        <v>0</v>
      </c>
      <c r="J62" s="9" t="n">
        <v>1</v>
      </c>
      <c r="K62" s="9" t="n">
        <v>0</v>
      </c>
      <c r="L62" s="9" t="n">
        <v>0</v>
      </c>
      <c r="M62" s="9" t="n">
        <v>0</v>
      </c>
      <c r="N62" s="9" t="n">
        <v>2</v>
      </c>
      <c r="O62" s="9" t="n">
        <v>0</v>
      </c>
      <c r="P62" s="9" t="n">
        <v>1</v>
      </c>
      <c r="Q62" s="9" t="n">
        <v>4</v>
      </c>
      <c r="R62" s="9" t="n">
        <v>675</v>
      </c>
      <c r="S62" s="9" t="n">
        <v>3</v>
      </c>
      <c r="T62" s="9" t="n">
        <v>0</v>
      </c>
      <c r="U62" s="9" t="n">
        <v>678</v>
      </c>
      <c r="V62" s="10" t="n">
        <v>2031</v>
      </c>
      <c r="W62" s="10" t="n">
        <v>0</v>
      </c>
      <c r="X62" s="10" t="n">
        <v>0</v>
      </c>
      <c r="Y62" s="10" t="n">
        <v>2031</v>
      </c>
      <c r="Z62" s="10" t="n">
        <v>0</v>
      </c>
    </row>
    <row r="63">
      <c r="A63" s="7" t="n">
        <v>58</v>
      </c>
      <c r="B63" s="8" t="inlineStr">
        <is>
          <t>(|Duluur</t>
        </is>
      </c>
      <c r="C63" s="9" t="n">
        <v>224</v>
      </c>
      <c r="D63" s="9" t="n">
        <v>250</v>
      </c>
      <c r="E63" s="9" t="n">
        <v>51</v>
      </c>
      <c r="F63" s="9" t="n">
        <v>6</v>
      </c>
      <c r="G63" s="9" t="n">
        <v>1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3</v>
      </c>
      <c r="M63" s="9" t="n">
        <v>2</v>
      </c>
      <c r="N63" s="9" t="n">
        <v>3</v>
      </c>
      <c r="O63" s="9" t="n">
        <v>6</v>
      </c>
      <c r="P63" s="9" t="n">
        <v>6</v>
      </c>
      <c r="Q63" s="9" t="n">
        <v>8</v>
      </c>
      <c r="R63" s="9" t="n">
        <v>560</v>
      </c>
      <c r="S63" s="9" t="n">
        <v>7</v>
      </c>
      <c r="T63" s="9" t="n">
        <v>0</v>
      </c>
      <c r="U63" s="9" t="n">
        <v>567</v>
      </c>
      <c r="V63" s="10" t="n">
        <v>1694</v>
      </c>
      <c r="W63" s="10" t="n">
        <v>0</v>
      </c>
      <c r="X63" s="10" t="n">
        <v>0</v>
      </c>
      <c r="Y63" s="10" t="n">
        <v>1694</v>
      </c>
      <c r="Z63" s="10" t="n">
        <v>0</v>
      </c>
    </row>
    <row r="64">
      <c r="A64" s="7" t="n">
        <v>59</v>
      </c>
      <c r="B64" s="8" t="inlineStr">
        <is>
          <t>|Duluur</t>
        </is>
      </c>
      <c r="C64" s="9" t="n">
        <v>190</v>
      </c>
      <c r="D64" s="9" t="n">
        <v>236</v>
      </c>
      <c r="E64" s="9" t="n">
        <v>25</v>
      </c>
      <c r="F64" s="9" t="n">
        <v>6</v>
      </c>
      <c r="G64" s="9" t="n">
        <v>2</v>
      </c>
      <c r="H64" s="9" t="n">
        <v>1</v>
      </c>
      <c r="I64" s="9" t="n">
        <v>3</v>
      </c>
      <c r="J64" s="9" t="n">
        <v>0</v>
      </c>
      <c r="K64" s="9" t="n">
        <v>6</v>
      </c>
      <c r="L64" s="9" t="n">
        <v>1</v>
      </c>
      <c r="M64" s="9" t="n">
        <v>1</v>
      </c>
      <c r="N64" s="9" t="n">
        <v>2</v>
      </c>
      <c r="O64" s="9" t="n">
        <v>2</v>
      </c>
      <c r="P64" s="9" t="n">
        <v>1</v>
      </c>
      <c r="Q64" s="9" t="n">
        <v>2</v>
      </c>
      <c r="R64" s="9" t="n">
        <v>476</v>
      </c>
      <c r="S64" s="9" t="n">
        <v>2</v>
      </c>
      <c r="T64" s="9" t="n">
        <v>0</v>
      </c>
      <c r="U64" s="9" t="n">
        <v>478</v>
      </c>
      <c r="V64" s="10" t="n">
        <v>1434</v>
      </c>
      <c r="W64" s="10" t="n">
        <v>0</v>
      </c>
      <c r="X64" s="10" t="n">
        <v>0</v>
      </c>
      <c r="Y64" s="10" t="n">
        <v>1434</v>
      </c>
      <c r="Z64" s="10" t="n">
        <v>0</v>
      </c>
    </row>
    <row r="65">
      <c r="A65" s="7" t="n">
        <v>60</v>
      </c>
      <c r="B65" s="8" t="inlineStr">
        <is>
          <t>|Kathalapoor</t>
        </is>
      </c>
      <c r="C65" s="9" t="n">
        <v>3</v>
      </c>
      <c r="D65" s="9" t="n">
        <v>240</v>
      </c>
      <c r="E65" s="9" t="n">
        <v>15</v>
      </c>
      <c r="F65" s="9" t="n">
        <v>4</v>
      </c>
      <c r="G65" s="9" t="n">
        <v>0</v>
      </c>
      <c r="H65" s="9" t="n">
        <v>1</v>
      </c>
      <c r="I65" s="9" t="n">
        <v>1</v>
      </c>
      <c r="J65" s="9" t="n">
        <v>0</v>
      </c>
      <c r="K65" s="9" t="n">
        <v>0</v>
      </c>
      <c r="L65" s="9" t="n">
        <v>4</v>
      </c>
      <c r="M65" s="9" t="n">
        <v>0</v>
      </c>
      <c r="N65" s="9" t="n">
        <v>2</v>
      </c>
      <c r="O65" s="9" t="n">
        <v>2</v>
      </c>
      <c r="P65" s="9" t="n">
        <v>0</v>
      </c>
      <c r="Q65" s="9" t="n">
        <v>0</v>
      </c>
      <c r="R65" s="9" t="n">
        <v>575</v>
      </c>
      <c r="S65" s="9" t="n">
        <v>8</v>
      </c>
      <c r="T65" s="9" t="n">
        <v>0</v>
      </c>
      <c r="U65" s="9" t="n">
        <v>583</v>
      </c>
      <c r="V65" s="10" t="n">
        <v>1438</v>
      </c>
      <c r="W65" s="10" t="n">
        <v>0</v>
      </c>
      <c r="X65" s="10" t="n">
        <v>0</v>
      </c>
      <c r="Y65" s="10" t="n">
        <v>1438</v>
      </c>
      <c r="Z65" s="10" t="n">
        <v>0</v>
      </c>
    </row>
    <row r="66">
      <c r="A66" s="7" t="n">
        <v>61</v>
      </c>
      <c r="B66" s="8" t="inlineStr">
        <is>
          <t>~=|Kathlapur</t>
        </is>
      </c>
      <c r="C66" s="9" t="n">
        <v>323</v>
      </c>
      <c r="D66" s="9" t="n">
        <v>346</v>
      </c>
      <c r="E66" s="9" t="n">
        <v>20</v>
      </c>
      <c r="F66" s="9" t="n">
        <v>4</v>
      </c>
      <c r="G66" s="9" t="n">
        <v>1</v>
      </c>
      <c r="H66" s="9" t="n">
        <v>0</v>
      </c>
      <c r="I66" s="9" t="n">
        <v>1</v>
      </c>
      <c r="J66" s="9" t="n">
        <v>0</v>
      </c>
      <c r="K66" s="9" t="n">
        <v>0</v>
      </c>
      <c r="L66" s="9" t="n">
        <v>1</v>
      </c>
      <c r="M66" s="9" t="n">
        <v>2</v>
      </c>
      <c r="N66" s="9" t="n">
        <v>4</v>
      </c>
      <c r="O66" s="9" t="n">
        <v>4</v>
      </c>
      <c r="P66" s="9" t="n">
        <v>2</v>
      </c>
      <c r="Q66" s="9" t="n">
        <v>6</v>
      </c>
      <c r="R66" s="9" t="n">
        <v>714</v>
      </c>
      <c r="S66" s="9" t="n">
        <v>7</v>
      </c>
      <c r="T66" s="9" t="n">
        <v>0</v>
      </c>
      <c r="U66" s="9" t="n">
        <v>731</v>
      </c>
      <c r="V66" s="10" t="n">
        <v>2166</v>
      </c>
      <c r="W66" s="10" t="n">
        <v>0</v>
      </c>
      <c r="X66" s="10" t="n">
        <v>0</v>
      </c>
      <c r="Y66" s="10" t="n">
        <v>2166</v>
      </c>
      <c r="Z66" s="10" t="n">
        <v>0</v>
      </c>
    </row>
    <row r="67">
      <c r="A67" s="7" t="n">
        <v>62</v>
      </c>
      <c r="B67" s="8">
        <f> |Kathalapoor</f>
        <v/>
      </c>
      <c r="C67" s="9" t="n">
        <v>260</v>
      </c>
      <c r="D67" s="9" t="n">
        <v>395</v>
      </c>
      <c r="E67" s="9" t="n">
        <v>20</v>
      </c>
      <c r="F67" s="9" t="n">
        <v>40</v>
      </c>
      <c r="G67" s="9" t="n">
        <v>3</v>
      </c>
      <c r="H67" s="9" t="n">
        <v>1</v>
      </c>
      <c r="I67" s="9" t="n">
        <v>3</v>
      </c>
      <c r="J67" s="9" t="n">
        <v>4</v>
      </c>
      <c r="K67" s="9" t="n">
        <v>1</v>
      </c>
      <c r="L67" s="9" t="n">
        <v>0</v>
      </c>
      <c r="M67" s="9" t="n">
        <v>3</v>
      </c>
      <c r="N67" s="9" t="n">
        <v>6</v>
      </c>
      <c r="O67" s="9" t="n">
        <v>7</v>
      </c>
      <c r="P67" s="9" t="n">
        <v>1</v>
      </c>
      <c r="Q67" s="9" t="n">
        <v>4</v>
      </c>
      <c r="R67" s="9" t="n">
        <v>8</v>
      </c>
      <c r="S67" s="9" t="n">
        <v>16</v>
      </c>
      <c r="T67" s="9" t="n">
        <v>0</v>
      </c>
      <c r="U67" s="9" t="n">
        <v>774</v>
      </c>
      <c r="V67" s="10" t="n">
        <v>1546</v>
      </c>
      <c r="W67" s="10" t="n">
        <v>0</v>
      </c>
      <c r="X67" s="10" t="n">
        <v>0</v>
      </c>
      <c r="Y67" s="10" t="n">
        <v>1546</v>
      </c>
      <c r="Z67" s="10" t="n">
        <v>0</v>
      </c>
    </row>
    <row r="68">
      <c r="A68" s="7" t="n">
        <v>63</v>
      </c>
      <c r="B68" s="8">
        <f> |Peggarla</f>
        <v/>
      </c>
      <c r="C68" s="9" t="n">
        <v>359</v>
      </c>
      <c r="D68" s="9" t="n">
        <v>536</v>
      </c>
      <c r="E68" s="9" t="n">
        <v>23</v>
      </c>
      <c r="F68" s="9" t="n">
        <v>9</v>
      </c>
      <c r="G68" s="9" t="n">
        <v>0</v>
      </c>
      <c r="H68" s="9" t="n">
        <v>3</v>
      </c>
      <c r="I68" s="9" t="n">
        <v>2</v>
      </c>
      <c r="J68" s="9" t="n">
        <v>1</v>
      </c>
      <c r="K68" s="9" t="n">
        <v>0</v>
      </c>
      <c r="L68" s="9" t="n">
        <v>1</v>
      </c>
      <c r="M68" s="9" t="n">
        <v>0</v>
      </c>
      <c r="N68" s="9" t="n">
        <v>2</v>
      </c>
      <c r="O68" s="9" t="n">
        <v>4</v>
      </c>
      <c r="P68" s="9" t="n">
        <v>0</v>
      </c>
      <c r="Q68" s="9" t="n">
        <v>23</v>
      </c>
      <c r="R68" s="9" t="n">
        <v>96</v>
      </c>
      <c r="S68" s="9" t="n">
        <v>7</v>
      </c>
      <c r="T68" s="9" t="n">
        <v>0</v>
      </c>
      <c r="U68" s="9" t="n">
        <v>970</v>
      </c>
      <c r="V68" s="10" t="n">
        <v>2036</v>
      </c>
      <c r="W68" s="10" t="n">
        <v>0</v>
      </c>
      <c r="X68" s="10" t="n">
        <v>0</v>
      </c>
      <c r="Y68" s="10" t="n">
        <v>2036</v>
      </c>
      <c r="Z68" s="10" t="n">
        <v>0</v>
      </c>
    </row>
    <row r="69">
      <c r="A69" s="7" t="n">
        <v>64</v>
      </c>
      <c r="B69" s="8">
        <f> |Ootpalli</f>
        <v/>
      </c>
      <c r="C69" s="9" t="n">
        <v>183</v>
      </c>
      <c r="D69" s="9" t="n">
        <v>486</v>
      </c>
      <c r="E69" s="9" t="n">
        <v>30</v>
      </c>
      <c r="F69" s="9" t="n">
        <v>0</v>
      </c>
      <c r="G69" s="9" t="n">
        <v>0</v>
      </c>
      <c r="H69" s="9" t="n">
        <v>0</v>
      </c>
      <c r="I69" s="9" t="n">
        <v>1</v>
      </c>
      <c r="J69" s="9" t="n">
        <v>4</v>
      </c>
      <c r="K69" s="9" t="n">
        <v>0</v>
      </c>
      <c r="L69" s="9" t="n">
        <v>0</v>
      </c>
      <c r="M69" s="9" t="n">
        <v>2</v>
      </c>
      <c r="N69" s="9" t="n">
        <v>6</v>
      </c>
      <c r="O69" s="9" t="n">
        <v>6</v>
      </c>
      <c r="P69" s="9" t="n">
        <v>3</v>
      </c>
      <c r="Q69" s="9" t="n">
        <v>3</v>
      </c>
      <c r="R69" s="9" t="n">
        <v>729</v>
      </c>
      <c r="S69" s="9" t="n">
        <v>5</v>
      </c>
      <c r="T69" s="9" t="n">
        <v>0</v>
      </c>
      <c r="U69" s="9" t="n">
        <v>734</v>
      </c>
      <c r="V69" s="10" t="n">
        <v>2192</v>
      </c>
      <c r="W69" s="10" t="n">
        <v>0</v>
      </c>
      <c r="X69" s="10" t="n">
        <v>0</v>
      </c>
      <c r="Y69" s="10" t="n">
        <v>2192</v>
      </c>
      <c r="Z69" s="10" t="n">
        <v>0</v>
      </c>
    </row>
    <row r="70">
      <c r="A70" s="7" t="n">
        <v>65</v>
      </c>
      <c r="B70" s="8" t="inlineStr">
        <is>
          <t>|Bhushanrao peta</t>
        </is>
      </c>
      <c r="C70" s="9" t="n">
        <v>382</v>
      </c>
      <c r="D70" s="9" t="n">
        <v>225</v>
      </c>
      <c r="E70" s="9" t="n">
        <v>28</v>
      </c>
      <c r="F70" s="9" t="n">
        <v>10</v>
      </c>
      <c r="G70" s="9" t="n">
        <v>0</v>
      </c>
      <c r="H70" s="9" t="n">
        <v>0</v>
      </c>
      <c r="I70" s="9" t="n">
        <v>0</v>
      </c>
      <c r="J70" s="9" t="n">
        <v>4</v>
      </c>
      <c r="K70" s="9" t="n">
        <v>0</v>
      </c>
      <c r="L70" s="9" t="n">
        <v>1</v>
      </c>
      <c r="M70" s="9" t="n">
        <v>0</v>
      </c>
      <c r="N70" s="9" t="n">
        <v>0</v>
      </c>
      <c r="O70" s="9" t="n">
        <v>1</v>
      </c>
      <c r="P70" s="9" t="n">
        <v>2</v>
      </c>
      <c r="Q70" s="9" t="n">
        <v>2</v>
      </c>
      <c r="R70" s="9" t="n">
        <v>652</v>
      </c>
      <c r="S70" s="9" t="n">
        <v>7</v>
      </c>
      <c r="T70" s="9" t="n">
        <v>0</v>
      </c>
      <c r="U70" s="9" t="n">
        <v>659</v>
      </c>
      <c r="V70" s="10" t="n">
        <v>1973</v>
      </c>
      <c r="W70" s="10" t="n">
        <v>0</v>
      </c>
      <c r="X70" s="10" t="n">
        <v>0</v>
      </c>
      <c r="Y70" s="10" t="n">
        <v>1973</v>
      </c>
      <c r="Z70" s="10" t="n">
        <v>0</v>
      </c>
    </row>
    <row r="71">
      <c r="A71" s="7" t="n">
        <v>66</v>
      </c>
      <c r="B71" s="8" t="inlineStr">
        <is>
          <t>|Bhushanrao peta</t>
        </is>
      </c>
      <c r="C71" s="9" t="n">
        <v>350</v>
      </c>
      <c r="D71" s="9" t="n">
        <v>393</v>
      </c>
      <c r="E71" s="9" t="n">
        <v>25</v>
      </c>
      <c r="F71" s="9" t="n">
        <v>4</v>
      </c>
      <c r="G71" s="9" t="n">
        <v>4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4</v>
      </c>
      <c r="N71" s="9" t="n">
        <v>2</v>
      </c>
      <c r="O71" s="9" t="n">
        <v>0</v>
      </c>
      <c r="P71" s="9" t="n">
        <v>2</v>
      </c>
      <c r="Q71" s="9" t="n">
        <v>6</v>
      </c>
      <c r="R71" s="9" t="n">
        <v>784</v>
      </c>
      <c r="S71" s="9" t="n">
        <v>3</v>
      </c>
      <c r="T71" s="9" t="n">
        <v>0</v>
      </c>
      <c r="U71" s="9" t="n">
        <v>787</v>
      </c>
      <c r="V71" s="10" t="n">
        <v>2364</v>
      </c>
      <c r="W71" s="10" t="n">
        <v>0</v>
      </c>
      <c r="X71" s="10" t="n">
        <v>0</v>
      </c>
      <c r="Y71" s="10" t="n">
        <v>2364</v>
      </c>
      <c r="Z71" s="10" t="n">
        <v>0</v>
      </c>
    </row>
    <row r="72">
      <c r="A72" s="7" t="n">
        <v>67</v>
      </c>
      <c r="B72" s="8" t="inlineStr">
        <is>
          <t>~=|Chinthakunta</t>
        </is>
      </c>
      <c r="C72" s="9" t="n">
        <v>241</v>
      </c>
      <c r="D72" s="9" t="n">
        <v>369</v>
      </c>
      <c r="E72" s="9" t="n">
        <v>2</v>
      </c>
      <c r="F72" s="9" t="n">
        <v>4</v>
      </c>
      <c r="G72" s="9" t="n">
        <v>2</v>
      </c>
      <c r="H72" s="9" t="n">
        <v>0</v>
      </c>
      <c r="I72" s="9" t="n">
        <v>0</v>
      </c>
      <c r="J72" s="9" t="n">
        <v>0</v>
      </c>
      <c r="K72" s="9" t="n">
        <v>1</v>
      </c>
      <c r="L72" s="9" t="n">
        <v>0</v>
      </c>
      <c r="M72" s="9" t="n">
        <v>0</v>
      </c>
      <c r="N72" s="9" t="n">
        <v>4</v>
      </c>
      <c r="O72" s="9" t="n">
        <v>2</v>
      </c>
      <c r="P72" s="9" t="n">
        <v>2</v>
      </c>
      <c r="Q72" s="9" t="n">
        <v>16</v>
      </c>
      <c r="R72" s="9" t="n">
        <v>6</v>
      </c>
      <c r="S72" s="9" t="n">
        <v>13</v>
      </c>
      <c r="T72" s="9" t="n">
        <v>0</v>
      </c>
      <c r="U72" s="9" t="n">
        <v>666</v>
      </c>
      <c r="V72" s="10" t="n">
        <v>1328</v>
      </c>
      <c r="W72" s="10" t="n">
        <v>0</v>
      </c>
      <c r="X72" s="10" t="n">
        <v>0</v>
      </c>
      <c r="Y72" s="10" t="n">
        <v>1328</v>
      </c>
      <c r="Z72" s="10" t="n">
        <v>0</v>
      </c>
    </row>
    <row r="73">
      <c r="A73" s="7" t="n">
        <v>68</v>
      </c>
      <c r="B73" s="8" t="inlineStr">
        <is>
          <t>|Chinthakunta</t>
        </is>
      </c>
      <c r="C73" s="9" t="n">
        <v>17</v>
      </c>
      <c r="D73" s="9" t="n">
        <v>413</v>
      </c>
      <c r="E73" s="9" t="n">
        <v>2</v>
      </c>
      <c r="F73" s="9" t="n">
        <v>5</v>
      </c>
      <c r="G73" s="9" t="n">
        <v>0</v>
      </c>
      <c r="H73" s="9" t="n">
        <v>2</v>
      </c>
      <c r="I73" s="9" t="n">
        <v>0</v>
      </c>
      <c r="J73" s="9" t="n">
        <v>4</v>
      </c>
      <c r="K73" s="9" t="n">
        <v>0</v>
      </c>
      <c r="L73" s="9" t="n">
        <v>0</v>
      </c>
      <c r="M73" s="9" t="n">
        <v>0</v>
      </c>
      <c r="N73" s="9" t="n">
        <v>1</v>
      </c>
      <c r="O73" s="9" t="n">
        <v>4</v>
      </c>
      <c r="P73" s="9" t="n">
        <v>3</v>
      </c>
      <c r="Q73" s="9" t="n">
        <v>5</v>
      </c>
      <c r="R73" s="9" t="n">
        <v>60</v>
      </c>
      <c r="S73" s="9" t="n">
        <v>2</v>
      </c>
      <c r="T73" s="9" t="n">
        <v>0</v>
      </c>
      <c r="U73" s="9" t="n">
        <v>60</v>
      </c>
      <c r="V73" s="10" t="n">
        <v>578</v>
      </c>
      <c r="W73" s="10" t="n">
        <v>0</v>
      </c>
      <c r="X73" s="10" t="n">
        <v>0</v>
      </c>
      <c r="Y73" s="10" t="n">
        <v>578</v>
      </c>
      <c r="Z73" s="10" t="n">
        <v>0</v>
      </c>
    </row>
    <row r="74">
      <c r="A74" s="7" t="n">
        <v>69</v>
      </c>
      <c r="B74" s="8" t="inlineStr">
        <is>
          <t>~=|Chinthakunta</t>
        </is>
      </c>
      <c r="C74" s="9" t="n">
        <v>169</v>
      </c>
      <c r="D74" s="9" t="n">
        <v>349</v>
      </c>
      <c r="E74" s="9" t="n">
        <v>3</v>
      </c>
      <c r="F74" s="9" t="n">
        <v>4</v>
      </c>
      <c r="G74" s="9" t="n">
        <v>4</v>
      </c>
      <c r="H74" s="9" t="n">
        <v>1</v>
      </c>
      <c r="I74" s="9" t="n">
        <v>0</v>
      </c>
      <c r="J74" s="9" t="n">
        <v>0</v>
      </c>
      <c r="K74" s="9" t="n">
        <v>0</v>
      </c>
      <c r="L74" s="9" t="n">
        <v>4</v>
      </c>
      <c r="M74" s="9" t="n">
        <v>0</v>
      </c>
      <c r="N74" s="9" t="n">
        <v>3</v>
      </c>
      <c r="O74" s="9" t="n">
        <v>4</v>
      </c>
      <c r="P74" s="9" t="n">
        <v>6</v>
      </c>
      <c r="Q74" s="9" t="n">
        <v>4</v>
      </c>
      <c r="R74" s="9" t="n">
        <v>545</v>
      </c>
      <c r="S74" s="9" t="n">
        <v>6</v>
      </c>
      <c r="T74" s="9" t="n">
        <v>0</v>
      </c>
      <c r="U74" s="9" t="n">
        <v>551</v>
      </c>
      <c r="V74" s="10" t="n">
        <v>1653</v>
      </c>
      <c r="W74" s="10" t="n">
        <v>0</v>
      </c>
      <c r="X74" s="10" t="n">
        <v>0</v>
      </c>
      <c r="Y74" s="10" t="n">
        <v>1653</v>
      </c>
      <c r="Z74" s="10" t="n">
        <v>0</v>
      </c>
    </row>
    <row r="75">
      <c r="A75" s="7" t="n">
        <v>70</v>
      </c>
      <c r="B75" s="8" t="inlineStr">
        <is>
          <t>+ |Dum peta</t>
        </is>
      </c>
      <c r="C75" s="9" t="n">
        <v>234</v>
      </c>
      <c r="D75" s="9" t="n">
        <v>252</v>
      </c>
      <c r="E75" s="9" t="n">
        <v>40</v>
      </c>
      <c r="F75" s="9" t="n">
        <v>8</v>
      </c>
      <c r="G75" s="9" t="n">
        <v>0</v>
      </c>
      <c r="H75" s="9" t="n">
        <v>0</v>
      </c>
      <c r="I75" s="9" t="n">
        <v>2</v>
      </c>
      <c r="J75" s="9" t="n">
        <v>0</v>
      </c>
      <c r="K75" s="9" t="n">
        <v>1</v>
      </c>
      <c r="L75" s="9" t="n">
        <v>4</v>
      </c>
      <c r="M75" s="9" t="n">
        <v>0</v>
      </c>
      <c r="N75" s="9" t="n">
        <v>3</v>
      </c>
      <c r="O75" s="9" t="n">
        <v>3</v>
      </c>
      <c r="P75" s="9" t="n">
        <v>1</v>
      </c>
      <c r="Q75" s="9" t="n">
        <v>9</v>
      </c>
      <c r="R75" s="9" t="n">
        <v>554</v>
      </c>
      <c r="S75" s="9" t="n">
        <v>3</v>
      </c>
      <c r="T75" s="9" t="n">
        <v>0</v>
      </c>
      <c r="U75" s="9" t="n">
        <v>557</v>
      </c>
      <c r="V75" s="10" t="n">
        <v>1671</v>
      </c>
      <c r="W75" s="10" t="n">
        <v>0</v>
      </c>
      <c r="X75" s="10" t="n">
        <v>0</v>
      </c>
      <c r="Y75" s="10" t="n">
        <v>1671</v>
      </c>
      <c r="Z75" s="10" t="n">
        <v>0</v>
      </c>
    </row>
    <row r="76">
      <c r="A76" s="7" t="n">
        <v>71</v>
      </c>
      <c r="B76" s="8" t="inlineStr">
        <is>
          <t>+ |Dum peta</t>
        </is>
      </c>
      <c r="C76" s="9" t="n">
        <v>301</v>
      </c>
      <c r="D76" s="9" t="n">
        <v>243</v>
      </c>
      <c r="E76" s="9" t="n">
        <v>23</v>
      </c>
      <c r="F76" s="9" t="n">
        <v>1</v>
      </c>
      <c r="G76" s="9" t="n">
        <v>3</v>
      </c>
      <c r="H76" s="9" t="n">
        <v>0</v>
      </c>
      <c r="I76" s="9" t="n">
        <v>4</v>
      </c>
      <c r="J76" s="9" t="n">
        <v>4</v>
      </c>
      <c r="K76" s="9" t="n">
        <v>0</v>
      </c>
      <c r="L76" s="9" t="n">
        <v>4</v>
      </c>
      <c r="M76" s="9" t="n">
        <v>4</v>
      </c>
      <c r="N76" s="9" t="n">
        <v>2</v>
      </c>
      <c r="O76" s="9" t="n">
        <v>15</v>
      </c>
      <c r="P76" s="9" t="n">
        <v>4</v>
      </c>
      <c r="Q76" s="9" t="n">
        <v>1</v>
      </c>
      <c r="R76" s="9" t="n">
        <v>397</v>
      </c>
      <c r="S76" s="9" t="n">
        <v>7</v>
      </c>
      <c r="T76" s="9" t="n">
        <v>0</v>
      </c>
      <c r="U76" s="9" t="n">
        <v>604</v>
      </c>
      <c r="V76" s="10" t="n">
        <v>1617</v>
      </c>
      <c r="W76" s="10" t="n">
        <v>0</v>
      </c>
      <c r="X76" s="10" t="n">
        <v>0</v>
      </c>
      <c r="Y76" s="10" t="n">
        <v>1617</v>
      </c>
      <c r="Z76" s="10" t="n">
        <v>0</v>
      </c>
    </row>
    <row r="77">
      <c r="A77" s="7" t="n">
        <v>72</v>
      </c>
      <c r="B77" s="8" t="inlineStr">
        <is>
          <t>~#|Posani peta</t>
        </is>
      </c>
      <c r="C77" s="9" t="n">
        <v>214</v>
      </c>
      <c r="D77" s="9" t="n">
        <v>548</v>
      </c>
      <c r="E77" s="9" t="n">
        <v>69</v>
      </c>
      <c r="F77" s="9" t="n">
        <v>12</v>
      </c>
      <c r="G77" s="9" t="n">
        <v>0</v>
      </c>
      <c r="H77" s="9" t="n">
        <v>2</v>
      </c>
      <c r="I77" s="9" t="n">
        <v>0</v>
      </c>
      <c r="J77" s="9" t="n">
        <v>12</v>
      </c>
      <c r="K77" s="9" t="n">
        <v>1</v>
      </c>
      <c r="L77" s="9" t="n">
        <v>4</v>
      </c>
      <c r="M77" s="9" t="n">
        <v>4</v>
      </c>
      <c r="N77" s="9" t="n">
        <v>3</v>
      </c>
      <c r="O77" s="9" t="n">
        <v>12</v>
      </c>
      <c r="P77" s="9" t="n">
        <v>13</v>
      </c>
      <c r="Q77" s="9" t="n">
        <v>3</v>
      </c>
      <c r="R77" s="9" t="n">
        <v>865</v>
      </c>
      <c r="S77" s="9" t="n">
        <v>9</v>
      </c>
      <c r="T77" s="9" t="n">
        <v>0</v>
      </c>
      <c r="U77" s="9" t="n">
        <v>874</v>
      </c>
      <c r="V77" s="10" t="n">
        <v>2645</v>
      </c>
      <c r="W77" s="10" t="n">
        <v>0</v>
      </c>
      <c r="X77" s="10" t="n">
        <v>0</v>
      </c>
      <c r="Y77" s="10" t="n">
        <v>2645</v>
      </c>
      <c r="Z77" s="10" t="n">
        <v>0</v>
      </c>
    </row>
    <row r="78">
      <c r="A78" s="7" t="n">
        <v>73</v>
      </c>
      <c r="B78" s="8" t="inlineStr">
        <is>
          <t>\|gambheer puur</t>
        </is>
      </c>
      <c r="C78" s="9" t="n">
        <v>316</v>
      </c>
      <c r="D78" s="9" t="n">
        <v>362</v>
      </c>
      <c r="E78" s="9" t="n">
        <v>0</v>
      </c>
      <c r="F78" s="9" t="n">
        <v>7</v>
      </c>
      <c r="G78" s="9" t="n">
        <v>2</v>
      </c>
      <c r="H78" s="9" t="n">
        <v>4</v>
      </c>
      <c r="I78" s="9" t="n">
        <v>0</v>
      </c>
      <c r="J78" s="9" t="n">
        <v>4</v>
      </c>
      <c r="K78" s="9" t="n">
        <v>1</v>
      </c>
      <c r="L78" s="9" t="n">
        <v>1</v>
      </c>
      <c r="M78" s="9" t="n">
        <v>4</v>
      </c>
      <c r="N78" s="9" t="n">
        <v>7</v>
      </c>
      <c r="O78" s="9" t="n">
        <v>6</v>
      </c>
      <c r="P78" s="9" t="n">
        <v>4</v>
      </c>
      <c r="Q78" s="9" t="n">
        <v>0</v>
      </c>
      <c r="R78" s="9" t="n">
        <v>731</v>
      </c>
      <c r="S78" s="9" t="n">
        <v>15</v>
      </c>
      <c r="T78" s="9" t="n">
        <v>0</v>
      </c>
      <c r="U78" s="9" t="n">
        <v>746</v>
      </c>
      <c r="V78" s="10" t="n">
        <v>2210</v>
      </c>
      <c r="W78" s="10" t="n">
        <v>0</v>
      </c>
      <c r="X78" s="10" t="n">
        <v>0</v>
      </c>
      <c r="Y78" s="10" t="n">
        <v>2210</v>
      </c>
      <c r="Z78" s="10" t="n">
        <v>0</v>
      </c>
    </row>
    <row r="79">
      <c r="A79" s="7" t="n">
        <v>74</v>
      </c>
      <c r="B79" s="8" t="inlineStr">
        <is>
          <t>|Gambheer puur</t>
        </is>
      </c>
      <c r="C79" s="9" t="n">
        <v>234</v>
      </c>
      <c r="D79" s="9" t="n">
        <v>530</v>
      </c>
      <c r="E79" s="9" t="n">
        <v>55</v>
      </c>
      <c r="F79" s="9" t="n">
        <v>12</v>
      </c>
      <c r="G79" s="9" t="n">
        <v>4</v>
      </c>
      <c r="H79" s="9" t="n">
        <v>0</v>
      </c>
      <c r="I79" s="9" t="n">
        <v>4</v>
      </c>
      <c r="J79" s="9" t="n">
        <v>5</v>
      </c>
      <c r="K79" s="9" t="n">
        <v>2</v>
      </c>
      <c r="L79" s="9" t="n">
        <v>2</v>
      </c>
      <c r="M79" s="9" t="n">
        <v>2</v>
      </c>
      <c r="N79" s="9" t="n">
        <v>6</v>
      </c>
      <c r="O79" s="9" t="n">
        <v>3</v>
      </c>
      <c r="P79" s="9" t="n">
        <v>13</v>
      </c>
      <c r="Q79" s="9" t="n">
        <v>7</v>
      </c>
      <c r="R79" s="9" t="n">
        <v>868</v>
      </c>
      <c r="S79" s="9" t="n">
        <v>8</v>
      </c>
      <c r="T79" s="9" t="n">
        <v>0</v>
      </c>
      <c r="U79" s="9" t="n">
        <v>876</v>
      </c>
      <c r="V79" s="10" t="n">
        <v>2631</v>
      </c>
      <c r="W79" s="10" t="n">
        <v>0</v>
      </c>
      <c r="X79" s="10" t="n">
        <v>0</v>
      </c>
      <c r="Y79" s="10" t="n">
        <v>2631</v>
      </c>
      <c r="Z79" s="10" t="n">
        <v>0</v>
      </c>
    </row>
    <row r="80">
      <c r="A80" s="7" t="n">
        <v>75</v>
      </c>
      <c r="B80" s="8" t="inlineStr">
        <is>
          <t>|Gambheer puur</t>
        </is>
      </c>
      <c r="C80" s="9" t="n">
        <v>8</v>
      </c>
      <c r="D80" s="9" t="n">
        <v>304</v>
      </c>
      <c r="E80" s="9" t="n">
        <v>12</v>
      </c>
      <c r="F80" s="9" t="n">
        <v>8</v>
      </c>
      <c r="G80" s="9" t="n">
        <v>12</v>
      </c>
      <c r="H80" s="9" t="n">
        <v>4</v>
      </c>
      <c r="I80" s="9" t="n">
        <v>4</v>
      </c>
      <c r="J80" s="9" t="n">
        <v>4</v>
      </c>
      <c r="K80" s="9" t="n">
        <v>4</v>
      </c>
      <c r="L80" s="9" t="n">
        <v>4</v>
      </c>
      <c r="M80" s="9" t="n">
        <v>9</v>
      </c>
      <c r="N80" s="9" t="n">
        <v>0</v>
      </c>
      <c r="O80" s="9" t="n">
        <v>15</v>
      </c>
      <c r="P80" s="9" t="n">
        <v>4</v>
      </c>
      <c r="Q80" s="9" t="n">
        <v>9</v>
      </c>
      <c r="R80" s="9" t="n">
        <v>596</v>
      </c>
      <c r="S80" s="9" t="n">
        <v>2</v>
      </c>
      <c r="T80" s="9" t="n">
        <v>0</v>
      </c>
      <c r="U80" s="9" t="n">
        <v>609</v>
      </c>
      <c r="V80" s="10" t="n">
        <v>1608</v>
      </c>
      <c r="W80" s="10" t="n">
        <v>0</v>
      </c>
      <c r="X80" s="10" t="n">
        <v>0</v>
      </c>
      <c r="Y80" s="10" t="n">
        <v>1608</v>
      </c>
      <c r="Z80" s="10" t="n">
        <v>0</v>
      </c>
    </row>
    <row r="81">
      <c r="A81" s="7" t="n">
        <v>76</v>
      </c>
      <c r="B81" s="8" t="inlineStr">
        <is>
          <t>| 76 |Tandriyal</t>
        </is>
      </c>
      <c r="C81" s="9" t="n">
        <v>100</v>
      </c>
      <c r="D81" s="9" t="n">
        <v>384</v>
      </c>
      <c r="E81" s="9" t="n">
        <v>30</v>
      </c>
      <c r="F81" s="9" t="n">
        <v>4</v>
      </c>
      <c r="G81" s="9" t="n">
        <v>12</v>
      </c>
      <c r="H81" s="9" t="n">
        <v>4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2</v>
      </c>
      <c r="N81" s="9" t="n">
        <v>2</v>
      </c>
      <c r="O81" s="9" t="n">
        <v>4</v>
      </c>
      <c r="P81" s="9" t="n">
        <v>4</v>
      </c>
      <c r="Q81" s="9" t="n">
        <v>15</v>
      </c>
      <c r="R81" s="9" t="n">
        <v>536</v>
      </c>
      <c r="S81" s="9" t="n">
        <v>5</v>
      </c>
      <c r="T81" s="9" t="n">
        <v>0</v>
      </c>
      <c r="U81" s="9" t="n">
        <v>541</v>
      </c>
      <c r="V81" s="10" t="n">
        <v>1643</v>
      </c>
      <c r="W81" s="10" t="n">
        <v>0</v>
      </c>
      <c r="X81" s="10" t="n">
        <v>0</v>
      </c>
      <c r="Y81" s="10" t="n">
        <v>1643</v>
      </c>
      <c r="Z81" s="10" t="n">
        <v>0</v>
      </c>
    </row>
    <row r="82">
      <c r="A82" s="7" t="n">
        <v>78</v>
      </c>
      <c r="B82" s="8" t="inlineStr">
        <is>
          <t>| 78 |Tandriyal</t>
        </is>
      </c>
      <c r="C82" s="9" t="n">
        <v>145</v>
      </c>
      <c r="D82" s="9" t="n">
        <v>291</v>
      </c>
      <c r="E82" s="9" t="n">
        <v>26</v>
      </c>
      <c r="F82" s="9" t="n">
        <v>5</v>
      </c>
      <c r="G82" s="9" t="n">
        <v>2</v>
      </c>
      <c r="H82" s="9" t="n">
        <v>4</v>
      </c>
      <c r="I82" s="9" t="n">
        <v>0</v>
      </c>
      <c r="J82" s="9" t="n">
        <v>2</v>
      </c>
      <c r="K82" s="9" t="n">
        <v>2</v>
      </c>
      <c r="L82" s="9" t="n">
        <v>3</v>
      </c>
      <c r="M82" s="9" t="n">
        <v>4</v>
      </c>
      <c r="N82" s="9" t="n">
        <v>4</v>
      </c>
      <c r="O82" s="9" t="n">
        <v>0</v>
      </c>
      <c r="P82" s="9" t="n">
        <v>4</v>
      </c>
      <c r="Q82" s="9" t="n">
        <v>2</v>
      </c>
      <c r="R82" s="9" t="n">
        <v>482</v>
      </c>
      <c r="S82" s="9" t="n">
        <v>12</v>
      </c>
      <c r="T82" s="9" t="n">
        <v>0</v>
      </c>
      <c r="U82" s="9" t="n">
        <v>434</v>
      </c>
      <c r="V82" s="10" t="n">
        <v>1422</v>
      </c>
      <c r="W82" s="10" t="n">
        <v>0</v>
      </c>
      <c r="X82" s="10" t="n">
        <v>0</v>
      </c>
      <c r="Y82" s="10" t="n">
        <v>1422</v>
      </c>
      <c r="Z82" s="10" t="n">
        <v>0</v>
      </c>
    </row>
    <row r="83">
      <c r="A83" s="7" t="n">
        <v>79</v>
      </c>
      <c r="B83" s="8" t="inlineStr">
        <is>
          <t>~=|Tandriyal</t>
        </is>
      </c>
      <c r="C83" s="9" t="n">
        <v>126</v>
      </c>
      <c r="D83" s="9" t="n">
        <v>593</v>
      </c>
      <c r="E83" s="9" t="n">
        <v>62</v>
      </c>
      <c r="F83" s="9" t="n">
        <v>6</v>
      </c>
      <c r="G83" s="9" t="n">
        <v>4</v>
      </c>
      <c r="H83" s="9" t="n">
        <v>4</v>
      </c>
      <c r="I83" s="9" t="n">
        <v>0</v>
      </c>
      <c r="J83" s="9" t="n">
        <v>4</v>
      </c>
      <c r="K83" s="9" t="n">
        <v>4</v>
      </c>
      <c r="L83" s="9" t="n">
        <v>4</v>
      </c>
      <c r="M83" s="9" t="n">
        <v>0</v>
      </c>
      <c r="N83" s="9" t="n">
        <v>3</v>
      </c>
      <c r="O83" s="9" t="n">
        <v>5</v>
      </c>
      <c r="P83" s="9" t="n">
        <v>5</v>
      </c>
      <c r="Q83" s="9" t="n">
        <v>15</v>
      </c>
      <c r="R83" s="9" t="n">
        <v>820</v>
      </c>
      <c r="S83" s="9" t="n">
        <v>7</v>
      </c>
      <c r="T83" s="9" t="n">
        <v>0</v>
      </c>
      <c r="U83" s="9" t="n">
        <v>827</v>
      </c>
      <c r="V83" s="10" t="n">
        <v>2489</v>
      </c>
      <c r="W83" s="10" t="n">
        <v>0</v>
      </c>
      <c r="X83" s="10" t="n">
        <v>0</v>
      </c>
      <c r="Y83" s="10" t="n">
        <v>2489</v>
      </c>
      <c r="Z83" s="10" t="n">
        <v>0</v>
      </c>
    </row>
    <row r="84">
      <c r="A84" s="7" t="n">
        <v>80</v>
      </c>
      <c r="B84" s="8" t="inlineStr">
        <is>
          <t>| 80  |Ippapally</t>
        </is>
      </c>
      <c r="C84" s="9" t="n">
        <v>222</v>
      </c>
      <c r="D84" s="9" t="n">
        <v>433</v>
      </c>
      <c r="E84" s="9" t="n">
        <v>31</v>
      </c>
      <c r="F84" s="9" t="n">
        <v>9</v>
      </c>
      <c r="G84" s="9" t="n">
        <v>0</v>
      </c>
      <c r="H84" s="9" t="n">
        <v>4</v>
      </c>
      <c r="I84" s="9" t="n">
        <v>4</v>
      </c>
      <c r="J84" s="9" t="n">
        <v>4</v>
      </c>
      <c r="K84" s="9" t="n">
        <v>2</v>
      </c>
      <c r="L84" s="9" t="n">
        <v>2</v>
      </c>
      <c r="M84" s="9" t="n">
        <v>2</v>
      </c>
      <c r="N84" s="9" t="n">
        <v>2</v>
      </c>
      <c r="O84" s="9" t="n">
        <v>7</v>
      </c>
      <c r="P84" s="9" t="n">
        <v>3</v>
      </c>
      <c r="Q84" s="9" t="n">
        <v>13</v>
      </c>
      <c r="R84" s="9" t="n">
        <v>29</v>
      </c>
      <c r="S84" s="9" t="n">
        <v>13</v>
      </c>
      <c r="T84" s="9" t="n">
        <v>0</v>
      </c>
      <c r="U84" s="9" t="n">
        <v>742</v>
      </c>
      <c r="V84" s="10" t="n">
        <v>1522</v>
      </c>
      <c r="W84" s="10" t="n">
        <v>0</v>
      </c>
      <c r="X84" s="10" t="n">
        <v>0</v>
      </c>
      <c r="Y84" s="10" t="n">
        <v>1522</v>
      </c>
      <c r="Z84" s="10" t="n">
        <v>0</v>
      </c>
    </row>
    <row r="85">
      <c r="A85" s="7" t="n">
        <v>81</v>
      </c>
      <c r="B85" s="8" t="inlineStr">
        <is>
          <t>|Potharam</t>
        </is>
      </c>
      <c r="C85" s="9" t="n">
        <v>345</v>
      </c>
      <c r="D85" s="9" t="n">
        <v>211</v>
      </c>
      <c r="E85" s="9" t="n">
        <v>22</v>
      </c>
      <c r="F85" s="9" t="n">
        <v>12</v>
      </c>
      <c r="G85" s="9" t="n">
        <v>0</v>
      </c>
      <c r="H85" s="9" t="n">
        <v>0</v>
      </c>
      <c r="I85" s="9" t="n">
        <v>0</v>
      </c>
      <c r="J85" s="9" t="n">
        <v>4</v>
      </c>
      <c r="K85" s="9" t="n">
        <v>1</v>
      </c>
      <c r="L85" s="9" t="n">
        <v>4</v>
      </c>
      <c r="M85" s="9" t="n">
        <v>2</v>
      </c>
      <c r="N85" s="9" t="n">
        <v>5</v>
      </c>
      <c r="O85" s="9" t="n">
        <v>2</v>
      </c>
      <c r="P85" s="9" t="n">
        <v>4</v>
      </c>
      <c r="Q85" s="9" t="n">
        <v>3</v>
      </c>
      <c r="R85" s="9" t="n">
        <v>607</v>
      </c>
      <c r="S85" s="9" t="n">
        <v>4</v>
      </c>
      <c r="T85" s="9" t="n">
        <v>0</v>
      </c>
      <c r="U85" s="9" t="n">
        <v>61</v>
      </c>
      <c r="V85" s="10" t="n">
        <v>1287</v>
      </c>
      <c r="W85" s="10" t="n">
        <v>0</v>
      </c>
      <c r="X85" s="10" t="n">
        <v>0</v>
      </c>
      <c r="Y85" s="10" t="n">
        <v>1287</v>
      </c>
      <c r="Z85" s="10" t="n">
        <v>0</v>
      </c>
    </row>
    <row r="86">
      <c r="A86" s="7" t="n">
        <v>82</v>
      </c>
      <c r="B86" s="8" t="inlineStr">
        <is>
          <t>|Potharam</t>
        </is>
      </c>
      <c r="C86" s="9" t="n">
        <v>217</v>
      </c>
      <c r="D86" s="9" t="n">
        <v>0</v>
      </c>
      <c r="E86" s="9" t="n">
        <v>18</v>
      </c>
      <c r="F86" s="9" t="n">
        <v>3</v>
      </c>
      <c r="G86" s="9" t="n">
        <v>0</v>
      </c>
      <c r="H86" s="9" t="n">
        <v>4</v>
      </c>
      <c r="I86" s="9" t="n">
        <v>0</v>
      </c>
      <c r="J86" s="9" t="n">
        <v>0</v>
      </c>
      <c r="K86" s="9" t="n">
        <v>0</v>
      </c>
      <c r="L86" s="9" t="n">
        <v>3</v>
      </c>
      <c r="M86" s="9" t="n">
        <v>0</v>
      </c>
      <c r="N86" s="9" t="n">
        <v>4</v>
      </c>
      <c r="O86" s="9" t="n">
        <v>4</v>
      </c>
      <c r="P86" s="9" t="n">
        <v>12</v>
      </c>
      <c r="Q86" s="9" t="n">
        <v>5</v>
      </c>
      <c r="R86" s="9" t="n">
        <v>422</v>
      </c>
      <c r="S86" s="9" t="n">
        <v>12</v>
      </c>
      <c r="T86" s="9" t="n">
        <v>0</v>
      </c>
      <c r="U86" s="9" t="n">
        <v>424</v>
      </c>
      <c r="V86" s="10" t="n">
        <v>1128</v>
      </c>
      <c r="W86" s="10" t="n">
        <v>0</v>
      </c>
      <c r="X86" s="10" t="n">
        <v>0</v>
      </c>
      <c r="Y86" s="10" t="n">
        <v>1128</v>
      </c>
      <c r="Z86" s="10" t="n">
        <v>0</v>
      </c>
    </row>
    <row r="87">
      <c r="A87" s="7" t="n">
        <v>83</v>
      </c>
      <c r="B87" s="8" t="inlineStr">
        <is>
          <t>|Kalikota</t>
        </is>
      </c>
      <c r="C87" s="9" t="n">
        <v>357</v>
      </c>
      <c r="D87" s="9" t="n">
        <v>469</v>
      </c>
      <c r="E87" s="9" t="n">
        <v>42</v>
      </c>
      <c r="F87" s="9" t="n">
        <v>14</v>
      </c>
      <c r="G87" s="9" t="n">
        <v>4</v>
      </c>
      <c r="H87" s="9" t="n">
        <v>13</v>
      </c>
      <c r="I87" s="9" t="n">
        <v>3</v>
      </c>
      <c r="J87" s="9" t="n">
        <v>2</v>
      </c>
      <c r="K87" s="9" t="n">
        <v>0</v>
      </c>
      <c r="L87" s="9" t="n">
        <v>2</v>
      </c>
      <c r="M87" s="9" t="n">
        <v>4</v>
      </c>
      <c r="N87" s="9" t="n">
        <v>9</v>
      </c>
      <c r="O87" s="9" t="n">
        <v>5</v>
      </c>
      <c r="P87" s="9" t="n">
        <v>4</v>
      </c>
      <c r="Q87" s="9" t="n">
        <v>12</v>
      </c>
      <c r="R87" s="9" t="n">
        <v>924</v>
      </c>
      <c r="S87" s="9" t="n">
        <v>7</v>
      </c>
      <c r="T87" s="9" t="n">
        <v>0</v>
      </c>
      <c r="U87" s="9" t="n">
        <v>931</v>
      </c>
      <c r="V87" s="10" t="n">
        <v>2802</v>
      </c>
      <c r="W87" s="10" t="n">
        <v>0</v>
      </c>
      <c r="X87" s="10" t="n">
        <v>0</v>
      </c>
      <c r="Y87" s="10" t="n">
        <v>2802</v>
      </c>
      <c r="Z87" s="10" t="n">
        <v>0</v>
      </c>
    </row>
    <row r="88">
      <c r="A88" s="7" t="n">
        <v>85</v>
      </c>
      <c r="B88" s="8" t="inlineStr">
        <is>
          <t>| $85 |Ambaripeta</t>
        </is>
      </c>
      <c r="C88" s="9" t="n">
        <v>214</v>
      </c>
      <c r="D88" s="9" t="n">
        <v>499</v>
      </c>
      <c r="E88" s="9" t="n">
        <v>7</v>
      </c>
      <c r="F88" s="9" t="n">
        <v>1</v>
      </c>
      <c r="G88" s="9" t="n">
        <v>2</v>
      </c>
      <c r="H88" s="9" t="n">
        <v>0</v>
      </c>
      <c r="I88" s="9" t="n">
        <v>0</v>
      </c>
      <c r="J88" s="9" t="n">
        <v>4</v>
      </c>
      <c r="K88" s="9" t="n">
        <v>0</v>
      </c>
      <c r="L88" s="9" t="n">
        <v>12</v>
      </c>
      <c r="M88" s="9" t="n">
        <v>4</v>
      </c>
      <c r="N88" s="9" t="n">
        <v>4</v>
      </c>
      <c r="O88" s="9" t="n">
        <v>4</v>
      </c>
      <c r="P88" s="9" t="n">
        <v>0</v>
      </c>
      <c r="Q88" s="9" t="n">
        <v>9</v>
      </c>
      <c r="R88" s="9" t="n">
        <v>74</v>
      </c>
      <c r="S88" s="9" t="n">
        <v>8</v>
      </c>
      <c r="T88" s="9" t="n">
        <v>0</v>
      </c>
      <c r="U88" s="9" t="n">
        <v>782</v>
      </c>
      <c r="V88" s="10" t="n">
        <v>1624</v>
      </c>
      <c r="W88" s="10" t="n">
        <v>0</v>
      </c>
      <c r="X88" s="10" t="n">
        <v>0</v>
      </c>
      <c r="Y88" s="10" t="n">
        <v>1624</v>
      </c>
      <c r="Z88" s="10" t="n">
        <v>0</v>
      </c>
    </row>
    <row r="89">
      <c r="A89" s="7" t="n">
        <v>86</v>
      </c>
      <c r="B89" s="8" t="inlineStr">
        <is>
          <t>|Thurthi</t>
        </is>
      </c>
      <c r="C89" s="9" t="n">
        <v>61</v>
      </c>
      <c r="D89" s="9" t="n">
        <v>925</v>
      </c>
      <c r="E89" s="9" t="n">
        <v>5</v>
      </c>
      <c r="F89" s="9" t="n">
        <v>29</v>
      </c>
      <c r="G89" s="9" t="n">
        <v>4</v>
      </c>
      <c r="H89" s="9" t="n">
        <v>4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3</v>
      </c>
      <c r="O89" s="9" t="n">
        <v>3</v>
      </c>
      <c r="P89" s="9" t="n">
        <v>0</v>
      </c>
      <c r="Q89" s="9" t="n">
        <v>2</v>
      </c>
      <c r="R89" s="9" t="n">
        <v>430</v>
      </c>
      <c r="S89" s="9" t="n">
        <v>0</v>
      </c>
      <c r="T89" s="9" t="n">
        <v>0</v>
      </c>
      <c r="U89" s="9" t="n">
        <v>430</v>
      </c>
      <c r="V89" s="10" t="n">
        <v>1896</v>
      </c>
      <c r="W89" s="10" t="n">
        <v>0</v>
      </c>
      <c r="X89" s="10" t="n">
        <v>0</v>
      </c>
      <c r="Y89" s="10" t="n">
        <v>1896</v>
      </c>
      <c r="Z89" s="10" t="n">
        <v>0</v>
      </c>
    </row>
    <row r="90">
      <c r="A90" s="7" t="n">
        <v>87</v>
      </c>
      <c r="B90" s="8" t="inlineStr">
        <is>
          <t>Polling Station 87</t>
        </is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</row>
    <row r="91">
      <c r="A91" s="7" t="n">
        <v>88</v>
      </c>
      <c r="B91" s="8" t="inlineStr">
        <is>
          <t>Polling Station 88</t>
        </is>
      </c>
      <c r="C91" s="9" t="n">
        <v>3</v>
      </c>
      <c r="D91" s="9" t="n">
        <v>4</v>
      </c>
      <c r="E91" s="9" t="n">
        <v>5</v>
      </c>
      <c r="F91" s="9" t="n">
        <v>6</v>
      </c>
      <c r="G91" s="9" t="n">
        <v>7</v>
      </c>
      <c r="H91" s="9" t="n">
        <v>8</v>
      </c>
      <c r="I91" s="9" t="n">
        <v>9</v>
      </c>
      <c r="J91" s="9" t="n">
        <v>10</v>
      </c>
      <c r="K91" s="9" t="n">
        <v>0</v>
      </c>
      <c r="L91" s="9" t="n">
        <v>12</v>
      </c>
      <c r="M91" s="9" t="n">
        <v>13</v>
      </c>
      <c r="N91" s="9" t="n">
        <v>4</v>
      </c>
      <c r="O91" s="9" t="n">
        <v>15</v>
      </c>
      <c r="P91" s="9" t="n">
        <v>16</v>
      </c>
      <c r="Q91" s="9" t="n">
        <v>17</v>
      </c>
      <c r="R91" s="9" t="n">
        <v>18</v>
      </c>
      <c r="S91" s="9" t="n">
        <v>19</v>
      </c>
      <c r="T91" s="9" t="n">
        <v>2</v>
      </c>
      <c r="U91" s="9" t="n">
        <v>2</v>
      </c>
      <c r="V91" s="10" t="n">
        <v>170</v>
      </c>
      <c r="W91" s="10" t="n">
        <v>0</v>
      </c>
      <c r="X91" s="10" t="n">
        <v>0</v>
      </c>
      <c r="Y91" s="10" t="n">
        <v>170</v>
      </c>
      <c r="Z91" s="10" t="n">
        <v>0</v>
      </c>
    </row>
    <row r="92">
      <c r="A92" s="7" t="n">
        <v>89</v>
      </c>
      <c r="B92" s="8" t="inlineStr">
        <is>
          <t>a7</t>
        </is>
      </c>
      <c r="C92" s="9" t="n">
        <v>359</v>
      </c>
      <c r="D92" s="9" t="n">
        <v>345</v>
      </c>
      <c r="E92" s="9" t="n">
        <v>18</v>
      </c>
      <c r="F92" s="9" t="n">
        <v>47</v>
      </c>
      <c r="G92" s="9" t="n">
        <v>3</v>
      </c>
      <c r="H92" s="9" t="n">
        <v>2</v>
      </c>
      <c r="I92" s="9" t="n">
        <v>2</v>
      </c>
      <c r="J92" s="9" t="n">
        <v>2</v>
      </c>
      <c r="K92" s="9" t="n">
        <v>1</v>
      </c>
      <c r="L92" s="9" t="n">
        <v>5</v>
      </c>
      <c r="M92" s="9" t="n">
        <v>2</v>
      </c>
      <c r="N92" s="9" t="n">
        <v>6</v>
      </c>
      <c r="O92" s="9" t="n">
        <v>4</v>
      </c>
      <c r="P92" s="9" t="n">
        <v>6</v>
      </c>
      <c r="Q92" s="9" t="n">
        <v>2</v>
      </c>
      <c r="R92" s="9" t="n">
        <v>815</v>
      </c>
      <c r="S92" s="9" t="n">
        <v>0</v>
      </c>
      <c r="T92" s="9" t="n">
        <v>4</v>
      </c>
      <c r="U92" s="9" t="n">
        <v>820</v>
      </c>
      <c r="V92" s="10" t="n">
        <v>2443</v>
      </c>
      <c r="W92" s="10" t="n">
        <v>0</v>
      </c>
      <c r="X92" s="10" t="n">
        <v>0</v>
      </c>
      <c r="Y92" s="10" t="n">
        <v>2443</v>
      </c>
      <c r="Z92" s="10" t="n">
        <v>0</v>
      </c>
    </row>
    <row r="93">
      <c r="A93" s="7" t="n">
        <v>92</v>
      </c>
      <c r="B93" s="8" t="inlineStr">
        <is>
          <t>~»=©|Ruodranci</t>
        </is>
      </c>
      <c r="C93" s="9" t="n">
        <v>328</v>
      </c>
      <c r="D93" s="9" t="n">
        <v>320</v>
      </c>
      <c r="E93" s="9" t="n">
        <v>8</v>
      </c>
      <c r="F93" s="9" t="n">
        <v>13</v>
      </c>
      <c r="G93" s="9" t="n">
        <v>1</v>
      </c>
      <c r="H93" s="9" t="n">
        <v>1</v>
      </c>
      <c r="I93" s="9" t="n">
        <v>2</v>
      </c>
      <c r="J93" s="9" t="n">
        <v>0</v>
      </c>
      <c r="K93" s="9" t="n">
        <v>0</v>
      </c>
      <c r="L93" s="9" t="n">
        <v>4</v>
      </c>
      <c r="M93" s="9" t="n">
        <v>1</v>
      </c>
      <c r="N93" s="9" t="n">
        <v>5</v>
      </c>
      <c r="O93" s="9" t="n">
        <v>2</v>
      </c>
      <c r="P93" s="9" t="n">
        <v>3</v>
      </c>
      <c r="Q93" s="9" t="n">
        <v>5</v>
      </c>
      <c r="R93" s="9" t="n">
        <v>69</v>
      </c>
      <c r="S93" s="9" t="n">
        <v>0</v>
      </c>
      <c r="T93" s="9" t="n">
        <v>1</v>
      </c>
      <c r="U93" s="9" t="n">
        <v>706</v>
      </c>
      <c r="V93" s="10" t="n">
        <v>1469</v>
      </c>
      <c r="W93" s="10" t="n">
        <v>0</v>
      </c>
      <c r="X93" s="10" t="n">
        <v>0</v>
      </c>
      <c r="Y93" s="10" t="n">
        <v>1469</v>
      </c>
      <c r="Z93" s="10" t="n">
        <v>0</v>
      </c>
    </row>
    <row r="94">
      <c r="A94" s="7" t="n">
        <v>93</v>
      </c>
      <c r="B94" s="8" t="inlineStr">
        <is>
          <t>— I Rudran:</t>
        </is>
      </c>
      <c r="C94" s="9" t="n">
        <v>376</v>
      </c>
      <c r="D94" s="9" t="n">
        <v>337</v>
      </c>
      <c r="E94" s="9" t="n">
        <v>15</v>
      </c>
      <c r="F94" s="9" t="n">
        <v>5</v>
      </c>
      <c r="G94" s="9" t="n">
        <v>1</v>
      </c>
      <c r="H94" s="9" t="n">
        <v>3</v>
      </c>
      <c r="I94" s="9" t="n">
        <v>1</v>
      </c>
      <c r="J94" s="9" t="n">
        <v>2</v>
      </c>
      <c r="K94" s="9" t="n">
        <v>1</v>
      </c>
      <c r="L94" s="9" t="n">
        <v>1</v>
      </c>
      <c r="M94" s="9" t="n">
        <v>0</v>
      </c>
      <c r="N94" s="9" t="n">
        <v>3</v>
      </c>
      <c r="O94" s="9" t="n">
        <v>6</v>
      </c>
      <c r="P94" s="9" t="n">
        <v>0</v>
      </c>
      <c r="Q94" s="9" t="n">
        <v>9</v>
      </c>
      <c r="R94" s="9" t="n">
        <v>767</v>
      </c>
      <c r="S94" s="9" t="n">
        <v>9</v>
      </c>
      <c r="T94" s="9" t="n">
        <v>1</v>
      </c>
      <c r="U94" s="9" t="n">
        <v>776</v>
      </c>
      <c r="V94" s="10" t="n">
        <v>2313</v>
      </c>
      <c r="W94" s="10" t="n">
        <v>0</v>
      </c>
      <c r="X94" s="10" t="n">
        <v>0</v>
      </c>
      <c r="Y94" s="10" t="n">
        <v>2313</v>
      </c>
      <c r="Z94" s="10" t="n">
        <v>0</v>
      </c>
    </row>
    <row r="95">
      <c r="A95" s="7" t="n">
        <v>97</v>
      </c>
      <c r="B95" s="8" t="inlineStr">
        <is>
          <t>| 97  |Tandriyal</t>
        </is>
      </c>
      <c r="C95" s="9" t="n">
        <v>17</v>
      </c>
      <c r="D95" s="9" t="n">
        <v>264</v>
      </c>
      <c r="E95" s="9" t="n">
        <v>0</v>
      </c>
      <c r="F95" s="9" t="n">
        <v>23</v>
      </c>
      <c r="G95" s="9" t="n">
        <v>4</v>
      </c>
      <c r="H95" s="9" t="n">
        <v>0</v>
      </c>
      <c r="I95" s="9" t="n">
        <v>0</v>
      </c>
      <c r="J95" s="9" t="n">
        <v>2</v>
      </c>
      <c r="K95" s="9" t="n">
        <v>2</v>
      </c>
      <c r="L95" s="9" t="n">
        <v>0</v>
      </c>
      <c r="M95" s="9" t="n">
        <v>0</v>
      </c>
      <c r="N95" s="9" t="n">
        <v>2</v>
      </c>
      <c r="O95" s="9" t="n">
        <v>4</v>
      </c>
      <c r="P95" s="9" t="n">
        <v>0</v>
      </c>
      <c r="Q95" s="9" t="n">
        <v>3</v>
      </c>
      <c r="R95" s="9" t="n">
        <v>1490</v>
      </c>
      <c r="S95" s="9" t="n">
        <v>5</v>
      </c>
      <c r="T95" s="9" t="n">
        <v>0</v>
      </c>
      <c r="U95" s="9" t="n">
        <v>495</v>
      </c>
      <c r="V95" s="10" t="n">
        <v>2311</v>
      </c>
      <c r="W95" s="10" t="n">
        <v>0</v>
      </c>
      <c r="X95" s="10" t="n">
        <v>0</v>
      </c>
      <c r="Y95" s="10" t="n">
        <v>2311</v>
      </c>
      <c r="Z95" s="10" t="n">
        <v>0</v>
      </c>
    </row>
    <row r="96">
      <c r="A96" s="7" t="n">
        <v>100</v>
      </c>
      <c r="B96" s="8" t="inlineStr">
        <is>
          <t>|Chandurthi</t>
        </is>
      </c>
      <c r="C96" s="9" t="n">
        <v>211</v>
      </c>
      <c r="D96" s="9" t="n">
        <v>275</v>
      </c>
      <c r="E96" s="9" t="n">
        <v>31</v>
      </c>
      <c r="F96" s="9" t="n">
        <v>18</v>
      </c>
      <c r="G96" s="9" t="n">
        <v>1</v>
      </c>
      <c r="H96" s="9" t="n">
        <v>2</v>
      </c>
      <c r="I96" s="9" t="n">
        <v>3</v>
      </c>
      <c r="J96" s="9" t="n">
        <v>0</v>
      </c>
      <c r="K96" s="9" t="n">
        <v>0</v>
      </c>
      <c r="L96" s="9" t="n">
        <v>0</v>
      </c>
      <c r="M96" s="9" t="n">
        <v>2</v>
      </c>
      <c r="N96" s="9" t="n">
        <v>7</v>
      </c>
      <c r="O96" s="9" t="n">
        <v>4</v>
      </c>
      <c r="P96" s="9" t="n">
        <v>0</v>
      </c>
      <c r="Q96" s="9" t="n">
        <v>7</v>
      </c>
      <c r="R96" s="9" t="n">
        <v>552</v>
      </c>
      <c r="S96" s="9" t="n">
        <v>0</v>
      </c>
      <c r="T96" s="9" t="n">
        <v>0</v>
      </c>
      <c r="U96" s="9" t="n">
        <v>561</v>
      </c>
      <c r="V96" s="10" t="n">
        <v>1674</v>
      </c>
      <c r="W96" s="10" t="n">
        <v>0</v>
      </c>
      <c r="X96" s="10" t="n">
        <v>0</v>
      </c>
      <c r="Y96" s="10" t="n">
        <v>1674</v>
      </c>
      <c r="Z96" s="10" t="n">
        <v>0</v>
      </c>
    </row>
    <row r="97">
      <c r="A97" s="7" t="n">
        <v>101</v>
      </c>
      <c r="B97" s="8" t="inlineStr">
        <is>
          <t>«IChandurthi</t>
        </is>
      </c>
      <c r="C97" s="9" t="n">
        <v>23</v>
      </c>
      <c r="D97" s="9" t="n">
        <v>222</v>
      </c>
      <c r="E97" s="9" t="n">
        <v>17</v>
      </c>
      <c r="F97" s="9" t="n">
        <v>32</v>
      </c>
      <c r="G97" s="9" t="n">
        <v>0</v>
      </c>
      <c r="H97" s="9" t="n">
        <v>0</v>
      </c>
      <c r="I97" s="9" t="n">
        <v>0</v>
      </c>
      <c r="J97" s="9" t="n">
        <v>4</v>
      </c>
      <c r="K97" s="9" t="n">
        <v>0</v>
      </c>
      <c r="L97" s="9" t="n">
        <v>1</v>
      </c>
      <c r="M97" s="9" t="n">
        <v>0</v>
      </c>
      <c r="N97" s="9" t="n">
        <v>2</v>
      </c>
      <c r="O97" s="9" t="n">
        <v>0</v>
      </c>
      <c r="P97" s="9" t="n">
        <v>3</v>
      </c>
      <c r="Q97" s="9" t="n">
        <v>3</v>
      </c>
      <c r="R97" s="9" t="n">
        <v>494</v>
      </c>
      <c r="S97" s="9" t="n">
        <v>6</v>
      </c>
      <c r="T97" s="9" t="n">
        <v>0</v>
      </c>
      <c r="U97" s="9" t="n">
        <v>500</v>
      </c>
      <c r="V97" s="10" t="n">
        <v>1307</v>
      </c>
      <c r="W97" s="10" t="n">
        <v>0</v>
      </c>
      <c r="X97" s="10" t="n">
        <v>0</v>
      </c>
      <c r="Y97" s="10" t="n">
        <v>1307</v>
      </c>
      <c r="Z97" s="10" t="n">
        <v>0</v>
      </c>
    </row>
    <row r="98">
      <c r="A98" s="7" t="n">
        <v>102</v>
      </c>
      <c r="B98" s="8" t="inlineStr">
        <is>
          <t>|IChandurthi</t>
        </is>
      </c>
      <c r="C98" s="9" t="n">
        <v>125</v>
      </c>
      <c r="D98" s="9" t="n">
        <v>161</v>
      </c>
      <c r="E98" s="9" t="n">
        <v>5</v>
      </c>
      <c r="F98" s="9" t="n">
        <v>12</v>
      </c>
      <c r="G98" s="9" t="n">
        <v>0</v>
      </c>
      <c r="H98" s="9" t="n">
        <v>0</v>
      </c>
      <c r="I98" s="9" t="n">
        <v>1</v>
      </c>
      <c r="J98" s="9" t="n">
        <v>0</v>
      </c>
      <c r="K98" s="9" t="n">
        <v>4</v>
      </c>
      <c r="L98" s="9" t="n">
        <v>1</v>
      </c>
      <c r="M98" s="9" t="n">
        <v>0</v>
      </c>
      <c r="N98" s="9" t="n">
        <v>3</v>
      </c>
      <c r="O98" s="9" t="n">
        <v>4</v>
      </c>
      <c r="P98" s="9" t="n">
        <v>0</v>
      </c>
      <c r="Q98" s="9" t="n">
        <v>2</v>
      </c>
      <c r="R98" s="9" t="n">
        <v>312</v>
      </c>
      <c r="S98" s="9" t="n">
        <v>1</v>
      </c>
      <c r="T98" s="9" t="n">
        <v>0</v>
      </c>
      <c r="U98" s="9" t="n">
        <v>313</v>
      </c>
      <c r="V98" s="10" t="n">
        <v>944</v>
      </c>
      <c r="W98" s="10" t="n">
        <v>0</v>
      </c>
      <c r="X98" s="10" t="n">
        <v>0</v>
      </c>
      <c r="Y98" s="10" t="n">
        <v>944</v>
      </c>
      <c r="Z98" s="10" t="n">
        <v>0</v>
      </c>
    </row>
    <row r="99">
      <c r="A99" s="7" t="n">
        <v>103</v>
      </c>
      <c r="B99" s="8" t="inlineStr">
        <is>
          <t>[Ramannapeta H/o</t>
        </is>
      </c>
      <c r="C99" s="9" t="n">
        <v>243</v>
      </c>
      <c r="D99" s="9" t="n">
        <v>374</v>
      </c>
      <c r="E99" s="9" t="n">
        <v>0</v>
      </c>
      <c r="F99" s="9" t="n">
        <v>0</v>
      </c>
      <c r="G99" s="9" t="n">
        <v>1</v>
      </c>
      <c r="H99" s="9" t="n">
        <v>0</v>
      </c>
      <c r="I99" s="9" t="n">
        <v>0</v>
      </c>
      <c r="J99" s="9" t="n">
        <v>1</v>
      </c>
      <c r="K99" s="9" t="n">
        <v>0</v>
      </c>
      <c r="L99" s="9" t="n">
        <v>3</v>
      </c>
      <c r="M99" s="9" t="n">
        <v>1</v>
      </c>
      <c r="N99" s="9" t="n">
        <v>3</v>
      </c>
      <c r="O99" s="9" t="n">
        <v>3</v>
      </c>
      <c r="P99" s="9" t="n">
        <v>0</v>
      </c>
      <c r="Q99" s="9" t="n">
        <v>0</v>
      </c>
      <c r="R99" s="9" t="n">
        <v>697</v>
      </c>
      <c r="S99" s="9" t="n">
        <v>0</v>
      </c>
      <c r="T99" s="9" t="n">
        <v>0</v>
      </c>
      <c r="U99" s="9" t="n">
        <v>0</v>
      </c>
      <c r="V99" s="10" t="n">
        <v>1326</v>
      </c>
      <c r="W99" s="10" t="n">
        <v>0</v>
      </c>
      <c r="X99" s="10" t="n">
        <v>0</v>
      </c>
      <c r="Y99" s="10" t="n">
        <v>1326</v>
      </c>
      <c r="Z99" s="10" t="n">
        <v>0</v>
      </c>
    </row>
    <row r="100">
      <c r="A100" s="7" t="n">
        <v>104</v>
      </c>
      <c r="B100" s="8" t="inlineStr">
        <is>
          <t>Polling Station 104</t>
        </is>
      </c>
      <c r="C100" s="9" t="n">
        <v>168</v>
      </c>
      <c r="D100" s="9" t="n">
        <v>363</v>
      </c>
      <c r="E100" s="9" t="n">
        <v>18</v>
      </c>
      <c r="F100" s="9" t="n">
        <v>7</v>
      </c>
      <c r="G100" s="9" t="n">
        <v>3</v>
      </c>
      <c r="H100" s="9" t="n">
        <v>1</v>
      </c>
      <c r="I100" s="9" t="n">
        <v>2</v>
      </c>
      <c r="J100" s="9" t="n">
        <v>3</v>
      </c>
      <c r="K100" s="9" t="n">
        <v>0</v>
      </c>
      <c r="L100" s="9" t="n">
        <v>4</v>
      </c>
      <c r="M100" s="9" t="n">
        <v>2</v>
      </c>
      <c r="N100" s="9" t="n">
        <v>2</v>
      </c>
      <c r="O100" s="9" t="n">
        <v>0</v>
      </c>
      <c r="P100" s="9" t="n">
        <v>0</v>
      </c>
      <c r="Q100" s="9" t="n">
        <v>5</v>
      </c>
      <c r="R100" s="9" t="n">
        <v>643</v>
      </c>
      <c r="S100" s="9" t="n">
        <v>6</v>
      </c>
      <c r="T100" s="9" t="n">
        <v>0</v>
      </c>
      <c r="U100" s="9" t="n">
        <v>649</v>
      </c>
      <c r="V100" s="10" t="n">
        <v>1876</v>
      </c>
      <c r="W100" s="10" t="n">
        <v>0</v>
      </c>
      <c r="X100" s="10" t="n">
        <v>0</v>
      </c>
      <c r="Y100" s="10" t="n">
        <v>1876</v>
      </c>
      <c r="Z100" s="10" t="n">
        <v>0</v>
      </c>
    </row>
    <row r="101">
      <c r="A101" s="7" t="n">
        <v>105</v>
      </c>
      <c r="B101" s="8" t="inlineStr">
        <is>
          <t>Polling Station 105</t>
        </is>
      </c>
      <c r="C101" s="9" t="n">
        <v>2</v>
      </c>
      <c r="D101" s="9" t="n">
        <v>429</v>
      </c>
      <c r="E101" s="9" t="n">
        <v>0</v>
      </c>
      <c r="F101" s="9" t="n">
        <v>0</v>
      </c>
      <c r="G101" s="9" t="n">
        <v>2</v>
      </c>
      <c r="H101" s="9" t="n">
        <v>3</v>
      </c>
      <c r="I101" s="9" t="n">
        <v>1</v>
      </c>
      <c r="J101" s="9" t="n">
        <v>2</v>
      </c>
      <c r="K101" s="9" t="n">
        <v>0</v>
      </c>
      <c r="L101" s="9" t="n">
        <v>2</v>
      </c>
      <c r="M101" s="9" t="n">
        <v>0</v>
      </c>
      <c r="N101" s="9" t="n">
        <v>7</v>
      </c>
      <c r="O101" s="9" t="n">
        <v>5</v>
      </c>
      <c r="P101" s="9" t="n">
        <v>4</v>
      </c>
      <c r="Q101" s="9" t="n">
        <v>5</v>
      </c>
      <c r="R101" s="9" t="n">
        <v>0</v>
      </c>
      <c r="S101" s="9" t="n">
        <v>8</v>
      </c>
      <c r="T101" s="9" t="n">
        <v>0</v>
      </c>
      <c r="U101" s="9" t="n">
        <v>0</v>
      </c>
      <c r="V101" s="10" t="n">
        <v>470</v>
      </c>
      <c r="W101" s="10" t="n">
        <v>0</v>
      </c>
      <c r="X101" s="10" t="n">
        <v>0</v>
      </c>
      <c r="Y101" s="10" t="n">
        <v>470</v>
      </c>
      <c r="Z101" s="10" t="n">
        <v>0</v>
      </c>
    </row>
    <row r="102">
      <c r="A102" s="7" t="n">
        <v>106</v>
      </c>
      <c r="B102" s="8" t="inlineStr">
        <is>
          <t>Polling Station 106</t>
        </is>
      </c>
      <c r="C102" s="9" t="n">
        <v>253</v>
      </c>
      <c r="D102" s="9" t="n">
        <v>238</v>
      </c>
      <c r="E102" s="9" t="n">
        <v>6</v>
      </c>
      <c r="F102" s="9" t="n">
        <v>5</v>
      </c>
      <c r="G102" s="9" t="n">
        <v>1</v>
      </c>
      <c r="H102" s="9" t="n">
        <v>0</v>
      </c>
      <c r="I102" s="9" t="n">
        <v>0</v>
      </c>
      <c r="J102" s="9" t="n">
        <v>2</v>
      </c>
      <c r="K102" s="9" t="n">
        <v>0</v>
      </c>
      <c r="L102" s="9" t="n">
        <v>4</v>
      </c>
      <c r="M102" s="9" t="n">
        <v>0</v>
      </c>
      <c r="N102" s="9" t="n">
        <v>13</v>
      </c>
      <c r="O102" s="9" t="n">
        <v>1</v>
      </c>
      <c r="P102" s="9" t="n">
        <v>1</v>
      </c>
      <c r="Q102" s="9" t="n">
        <v>12</v>
      </c>
      <c r="R102" s="9" t="n">
        <v>513</v>
      </c>
      <c r="S102" s="9" t="n">
        <v>4</v>
      </c>
      <c r="T102" s="9" t="n">
        <v>0</v>
      </c>
      <c r="U102" s="9" t="n">
        <v>517</v>
      </c>
      <c r="V102" s="10" t="n">
        <v>1570</v>
      </c>
      <c r="W102" s="10" t="n">
        <v>0</v>
      </c>
      <c r="X102" s="10" t="n">
        <v>0</v>
      </c>
      <c r="Y102" s="10" t="n">
        <v>1570</v>
      </c>
      <c r="Z102" s="10" t="n">
        <v>0</v>
      </c>
    </row>
    <row r="103">
      <c r="A103" s="7" t="n">
        <v>107</v>
      </c>
      <c r="B103" s="8" t="inlineStr">
        <is>
          <t>Polling Station 107</t>
        </is>
      </c>
      <c r="C103" s="9" t="n">
        <v>397</v>
      </c>
      <c r="D103" s="9" t="n">
        <v>308</v>
      </c>
      <c r="E103" s="9" t="n">
        <v>9</v>
      </c>
      <c r="F103" s="9" t="n">
        <v>5</v>
      </c>
      <c r="G103" s="9" t="n">
        <v>2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4</v>
      </c>
      <c r="N103" s="9" t="n">
        <v>13</v>
      </c>
      <c r="O103" s="9" t="n">
        <v>2</v>
      </c>
      <c r="P103" s="9" t="n">
        <v>2</v>
      </c>
      <c r="Q103" s="9" t="n">
        <v>5</v>
      </c>
      <c r="R103" s="9" t="n">
        <v>734</v>
      </c>
      <c r="S103" s="9" t="n">
        <v>4</v>
      </c>
      <c r="T103" s="9" t="n">
        <v>0</v>
      </c>
      <c r="U103" s="9" t="n">
        <v>738</v>
      </c>
      <c r="V103" s="10" t="n">
        <v>2223</v>
      </c>
      <c r="W103" s="10" t="n">
        <v>0</v>
      </c>
      <c r="X103" s="10" t="n">
        <v>0</v>
      </c>
      <c r="Y103" s="10" t="n">
        <v>2223</v>
      </c>
      <c r="Z103" s="10" t="n">
        <v>0</v>
      </c>
    </row>
    <row r="104">
      <c r="A104" s="7" t="n">
        <v>108</v>
      </c>
      <c r="B104" s="8" t="inlineStr">
        <is>
          <t>llocapur</t>
        </is>
      </c>
      <c r="C104" s="9" t="n">
        <v>267</v>
      </c>
      <c r="D104" s="9" t="n">
        <v>302</v>
      </c>
      <c r="E104" s="9" t="n">
        <v>9</v>
      </c>
      <c r="F104" s="9" t="n">
        <v>7</v>
      </c>
      <c r="G104" s="9" t="n">
        <v>1</v>
      </c>
      <c r="H104" s="9" t="n">
        <v>0</v>
      </c>
      <c r="I104" s="9" t="n">
        <v>3</v>
      </c>
      <c r="J104" s="9" t="n">
        <v>1</v>
      </c>
      <c r="K104" s="9" t="n">
        <v>0</v>
      </c>
      <c r="L104" s="9" t="n">
        <v>12</v>
      </c>
      <c r="M104" s="9" t="n">
        <v>0</v>
      </c>
      <c r="N104" s="9" t="n">
        <v>5</v>
      </c>
      <c r="O104" s="9" t="n">
        <v>2</v>
      </c>
      <c r="P104" s="9" t="n">
        <v>1</v>
      </c>
      <c r="Q104" s="9" t="n">
        <v>18</v>
      </c>
      <c r="R104" s="9" t="n">
        <v>618</v>
      </c>
      <c r="S104" s="9" t="n">
        <v>8</v>
      </c>
      <c r="T104" s="9" t="n">
        <v>0</v>
      </c>
      <c r="U104" s="9" t="n">
        <v>626</v>
      </c>
      <c r="V104" s="10" t="n">
        <v>1880</v>
      </c>
      <c r="W104" s="10" t="n">
        <v>0</v>
      </c>
      <c r="X104" s="10" t="n">
        <v>0</v>
      </c>
      <c r="Y104" s="10" t="n">
        <v>1880</v>
      </c>
      <c r="Z104" s="10" t="n">
        <v>0</v>
      </c>
    </row>
    <row r="105">
      <c r="A105" s="7" t="n">
        <v>109</v>
      </c>
      <c r="B105" s="8" t="inlineStr">
        <is>
          <t>an «Weide</t>
        </is>
      </c>
      <c r="C105" s="9" t="n">
        <v>297</v>
      </c>
      <c r="D105" s="9" t="n">
        <v>323</v>
      </c>
      <c r="E105" s="9" t="n">
        <v>4</v>
      </c>
      <c r="F105" s="9" t="n">
        <v>4</v>
      </c>
      <c r="G105" s="9" t="n">
        <v>1</v>
      </c>
      <c r="H105" s="9" t="n">
        <v>1</v>
      </c>
      <c r="I105" s="9" t="n">
        <v>1</v>
      </c>
      <c r="J105" s="9" t="n">
        <v>4</v>
      </c>
      <c r="K105" s="9" t="n">
        <v>0</v>
      </c>
      <c r="L105" s="9" t="n">
        <v>2</v>
      </c>
      <c r="M105" s="9" t="n">
        <v>0</v>
      </c>
      <c r="N105" s="9" t="n">
        <v>1</v>
      </c>
      <c r="O105" s="9" t="n">
        <v>2</v>
      </c>
      <c r="P105" s="9" t="n">
        <v>5</v>
      </c>
      <c r="Q105" s="9" t="n">
        <v>19</v>
      </c>
      <c r="R105" s="9" t="n">
        <v>651</v>
      </c>
      <c r="S105" s="9" t="n">
        <v>6</v>
      </c>
      <c r="T105" s="9" t="n">
        <v>0</v>
      </c>
      <c r="U105" s="9" t="n">
        <v>657</v>
      </c>
      <c r="V105" s="10" t="n">
        <v>1978</v>
      </c>
      <c r="W105" s="10" t="n">
        <v>0</v>
      </c>
      <c r="X105" s="10" t="n">
        <v>0</v>
      </c>
      <c r="Y105" s="10" t="n">
        <v>1978</v>
      </c>
      <c r="Z105" s="10" t="n">
        <v>0</v>
      </c>
    </row>
    <row r="106">
      <c r="A106" s="7" t="n">
        <v>112</v>
      </c>
      <c r="B106" s="8" t="inlineStr">
        <is>
          <t>|Sanucula</t>
        </is>
      </c>
      <c r="C106" s="9" t="n">
        <v>216</v>
      </c>
      <c r="D106" s="9" t="n">
        <v>351</v>
      </c>
      <c r="E106" s="9" t="n">
        <v>9</v>
      </c>
      <c r="F106" s="9" t="n">
        <v>8</v>
      </c>
      <c r="G106" s="9" t="n">
        <v>1</v>
      </c>
      <c r="H106" s="9" t="n">
        <v>3</v>
      </c>
      <c r="I106" s="9" t="n">
        <v>1</v>
      </c>
      <c r="J106" s="9" t="n">
        <v>1</v>
      </c>
      <c r="K106" s="9" t="n">
        <v>2</v>
      </c>
      <c r="L106" s="9" t="n">
        <v>3</v>
      </c>
      <c r="M106" s="9" t="n">
        <v>2</v>
      </c>
      <c r="N106" s="9" t="n">
        <v>7</v>
      </c>
      <c r="O106" s="9" t="n">
        <v>12</v>
      </c>
      <c r="P106" s="9" t="n">
        <v>17</v>
      </c>
      <c r="Q106" s="9" t="n">
        <v>13</v>
      </c>
      <c r="R106" s="9" t="n">
        <v>626</v>
      </c>
      <c r="S106" s="9" t="n">
        <v>3</v>
      </c>
      <c r="T106" s="9" t="n">
        <v>0</v>
      </c>
      <c r="U106" s="9" t="n">
        <v>651</v>
      </c>
      <c r="V106" s="10" t="n">
        <v>1926</v>
      </c>
      <c r="W106" s="10" t="n">
        <v>0</v>
      </c>
      <c r="X106" s="10" t="n">
        <v>0</v>
      </c>
      <c r="Y106" s="10" t="n">
        <v>1926</v>
      </c>
      <c r="Z106" s="10" t="n">
        <v>0</v>
      </c>
    </row>
    <row r="107">
      <c r="A107" s="7" t="n">
        <v>113</v>
      </c>
      <c r="B107" s="8" t="inlineStr">
        <is>
          <t>Polling Station 113</t>
        </is>
      </c>
      <c r="C107" s="9" t="n">
        <v>176</v>
      </c>
      <c r="D107" s="9" t="n">
        <v>227</v>
      </c>
      <c r="E107" s="9" t="n">
        <v>3</v>
      </c>
      <c r="F107" s="9" t="n">
        <v>9</v>
      </c>
      <c r="G107" s="9" t="n">
        <v>0</v>
      </c>
      <c r="H107" s="9" t="n">
        <v>0</v>
      </c>
      <c r="I107" s="9" t="n">
        <v>4</v>
      </c>
      <c r="J107" s="9" t="n">
        <v>12</v>
      </c>
      <c r="K107" s="9" t="n">
        <v>10</v>
      </c>
      <c r="L107" s="9" t="n">
        <v>4</v>
      </c>
      <c r="M107" s="9" t="n">
        <v>0</v>
      </c>
      <c r="N107" s="9" t="n">
        <v>13</v>
      </c>
      <c r="O107" s="9" t="n">
        <v>12</v>
      </c>
      <c r="P107" s="9" t="n">
        <v>12</v>
      </c>
      <c r="Q107" s="9" t="n">
        <v>14</v>
      </c>
      <c r="R107" s="9" t="n">
        <v>430</v>
      </c>
      <c r="S107" s="9" t="n">
        <v>11</v>
      </c>
      <c r="T107" s="9" t="n">
        <v>0</v>
      </c>
      <c r="U107" s="9" t="n">
        <v>431</v>
      </c>
      <c r="V107" s="10" t="n">
        <v>1368</v>
      </c>
      <c r="W107" s="10" t="n">
        <v>0</v>
      </c>
      <c r="X107" s="10" t="n">
        <v>0</v>
      </c>
      <c r="Y107" s="10" t="n">
        <v>1368</v>
      </c>
      <c r="Z107" s="10" t="n">
        <v>0</v>
      </c>
    </row>
    <row r="108">
      <c r="A108" s="7" t="n">
        <v>114</v>
      </c>
      <c r="B108" s="8" t="inlineStr">
        <is>
          <t>Polling Station 114</t>
        </is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1</v>
      </c>
      <c r="O108" s="9" t="n">
        <v>0</v>
      </c>
      <c r="P108" s="9" t="n">
        <v>4</v>
      </c>
      <c r="Q108" s="9" t="n">
        <v>3</v>
      </c>
      <c r="R108" s="9" t="n">
        <v>327</v>
      </c>
      <c r="S108" s="9" t="n">
        <v>3</v>
      </c>
      <c r="T108" s="9" t="n">
        <v>0</v>
      </c>
      <c r="U108" s="9" t="n">
        <v>0</v>
      </c>
      <c r="V108" s="10" t="n">
        <v>338</v>
      </c>
      <c r="W108" s="10" t="n">
        <v>0</v>
      </c>
      <c r="X108" s="10" t="n">
        <v>0</v>
      </c>
      <c r="Y108" s="10" t="n">
        <v>338</v>
      </c>
      <c r="Z108" s="10" t="n">
        <v>0</v>
      </c>
    </row>
    <row r="109">
      <c r="A109" s="7" t="n">
        <v>116</v>
      </c>
      <c r="B109" s="8">
        <f> |Bandapalli</f>
        <v/>
      </c>
      <c r="C109" s="9" t="n">
        <v>370</v>
      </c>
      <c r="D109" s="9" t="n">
        <v>518</v>
      </c>
      <c r="E109" s="9" t="n">
        <v>4</v>
      </c>
      <c r="F109" s="9" t="n">
        <v>10</v>
      </c>
      <c r="G109" s="9" t="n">
        <v>0</v>
      </c>
      <c r="H109" s="9" t="n">
        <v>1</v>
      </c>
      <c r="I109" s="9" t="n">
        <v>4</v>
      </c>
      <c r="J109" s="9" t="n">
        <v>0</v>
      </c>
      <c r="K109" s="9" t="n">
        <v>1</v>
      </c>
      <c r="L109" s="9" t="n">
        <v>0</v>
      </c>
      <c r="M109" s="9" t="n">
        <v>0</v>
      </c>
      <c r="N109" s="9" t="n">
        <v>2</v>
      </c>
      <c r="O109" s="9" t="n">
        <v>7</v>
      </c>
      <c r="P109" s="9" t="n">
        <v>1</v>
      </c>
      <c r="Q109" s="9" t="n">
        <v>9</v>
      </c>
      <c r="R109" s="9" t="n">
        <v>957</v>
      </c>
      <c r="S109" s="9" t="n">
        <v>4</v>
      </c>
      <c r="T109" s="9" t="n">
        <v>0</v>
      </c>
      <c r="U109" s="9" t="n">
        <v>971</v>
      </c>
      <c r="V109" s="10" t="n">
        <v>2859</v>
      </c>
      <c r="W109" s="10" t="n">
        <v>0</v>
      </c>
      <c r="X109" s="10" t="n">
        <v>0</v>
      </c>
      <c r="Y109" s="10" t="n">
        <v>2859</v>
      </c>
      <c r="Z109" s="10" t="n">
        <v>0</v>
      </c>
    </row>
    <row r="110">
      <c r="A110" s="7" t="n">
        <v>117</v>
      </c>
      <c r="B110" s="8" t="inlineStr">
        <is>
          <t>Polling Station 117</t>
        </is>
      </c>
      <c r="C110" s="9" t="n">
        <v>3</v>
      </c>
      <c r="D110" s="9" t="n">
        <v>4</v>
      </c>
      <c r="E110" s="9" t="n">
        <v>5</v>
      </c>
      <c r="F110" s="9" t="n">
        <v>6</v>
      </c>
      <c r="G110" s="9" t="n">
        <v>7</v>
      </c>
      <c r="H110" s="9" t="n">
        <v>8</v>
      </c>
      <c r="I110" s="9" t="n">
        <v>9</v>
      </c>
      <c r="J110" s="9" t="n">
        <v>10</v>
      </c>
      <c r="K110" s="9" t="n">
        <v>0</v>
      </c>
      <c r="L110" s="9" t="n">
        <v>12</v>
      </c>
      <c r="M110" s="9" t="n">
        <v>13</v>
      </c>
      <c r="N110" s="9" t="n">
        <v>4</v>
      </c>
      <c r="O110" s="9" t="n">
        <v>15</v>
      </c>
      <c r="P110" s="9" t="n">
        <v>16</v>
      </c>
      <c r="Q110" s="9" t="n">
        <v>7</v>
      </c>
      <c r="R110" s="9" t="n">
        <v>18</v>
      </c>
      <c r="S110" s="9" t="n">
        <v>19</v>
      </c>
      <c r="T110" s="9" t="n">
        <v>20</v>
      </c>
      <c r="U110" s="9" t="n">
        <v>2</v>
      </c>
      <c r="V110" s="10" t="n">
        <v>178</v>
      </c>
      <c r="W110" s="10" t="n">
        <v>0</v>
      </c>
      <c r="X110" s="10" t="n">
        <v>0</v>
      </c>
      <c r="Y110" s="10" t="n">
        <v>178</v>
      </c>
      <c r="Z110" s="10" t="n">
        <v>0</v>
      </c>
    </row>
    <row r="111">
      <c r="A111" s="7" t="n">
        <v>118</v>
      </c>
      <c r="B111" s="8" t="inlineStr">
        <is>
          <t>/Ramaraopalli H/o
WS. |santigita</t>
        </is>
      </c>
      <c r="C111" s="9" t="n">
        <v>191</v>
      </c>
      <c r="D111" s="9" t="n">
        <v>377</v>
      </c>
      <c r="E111" s="9" t="n">
        <v>7</v>
      </c>
      <c r="F111" s="9" t="n">
        <v>6</v>
      </c>
      <c r="G111" s="9" t="n">
        <v>1</v>
      </c>
      <c r="H111" s="9" t="n">
        <v>2</v>
      </c>
      <c r="I111" s="9" t="n">
        <v>0</v>
      </c>
      <c r="J111" s="9" t="n">
        <v>1</v>
      </c>
      <c r="K111" s="9" t="n">
        <v>0</v>
      </c>
      <c r="L111" s="9" t="n">
        <v>2</v>
      </c>
      <c r="M111" s="9" t="n">
        <v>0</v>
      </c>
      <c r="N111" s="9" t="n">
        <v>3</v>
      </c>
      <c r="O111" s="9" t="n">
        <v>7</v>
      </c>
      <c r="P111" s="9" t="n">
        <v>3</v>
      </c>
      <c r="Q111" s="9" t="n">
        <v>6</v>
      </c>
      <c r="R111" s="9" t="n">
        <v>606</v>
      </c>
      <c r="S111" s="9" t="n">
        <v>6</v>
      </c>
      <c r="T111" s="9" t="n">
        <v>0</v>
      </c>
      <c r="U111" s="9" t="n">
        <v>612</v>
      </c>
      <c r="V111" s="10" t="n">
        <v>1830</v>
      </c>
      <c r="W111" s="10" t="n">
        <v>0</v>
      </c>
      <c r="X111" s="10" t="n">
        <v>0</v>
      </c>
      <c r="Y111" s="10" t="n">
        <v>1830</v>
      </c>
      <c r="Z111" s="10" t="n">
        <v>0</v>
      </c>
    </row>
    <row r="112">
      <c r="A112" s="7" t="n">
        <v>119</v>
      </c>
      <c r="B112" s="8" t="inlineStr">
        <is>
          <t>«+|Engal</t>
        </is>
      </c>
      <c r="C112" s="9" t="n">
        <v>259</v>
      </c>
      <c r="D112" s="9" t="n">
        <v>419</v>
      </c>
      <c r="E112" s="9" t="n">
        <v>12</v>
      </c>
      <c r="F112" s="9" t="n">
        <v>10</v>
      </c>
      <c r="G112" s="9" t="n">
        <v>0</v>
      </c>
      <c r="H112" s="9" t="n">
        <v>2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1</v>
      </c>
      <c r="P112" s="9" t="n">
        <v>1</v>
      </c>
      <c r="Q112" s="9" t="n">
        <v>2</v>
      </c>
      <c r="R112" s="9" t="n">
        <v>707</v>
      </c>
      <c r="S112" s="9" t="n">
        <v>2</v>
      </c>
      <c r="T112" s="9" t="n">
        <v>0</v>
      </c>
      <c r="U112" s="9" t="n">
        <v>709</v>
      </c>
      <c r="V112" s="10" t="n">
        <v>2124</v>
      </c>
      <c r="W112" s="10" t="n">
        <v>0</v>
      </c>
      <c r="X112" s="10" t="n">
        <v>0</v>
      </c>
      <c r="Y112" s="10" t="n">
        <v>2124</v>
      </c>
      <c r="Z112" s="10" t="n">
        <v>0</v>
      </c>
    </row>
    <row r="113">
      <c r="A113" s="7" t="n">
        <v>120</v>
      </c>
      <c r="B113" s="8" t="inlineStr">
        <is>
          <t>~=|Moodapalli</t>
        </is>
      </c>
      <c r="C113" s="9" t="n">
        <v>290</v>
      </c>
      <c r="D113" s="9" t="n">
        <v>286</v>
      </c>
      <c r="E113" s="9" t="n">
        <v>7</v>
      </c>
      <c r="F113" s="9" t="n">
        <v>2</v>
      </c>
      <c r="G113" s="9" t="n">
        <v>3</v>
      </c>
      <c r="H113" s="9" t="n">
        <v>0</v>
      </c>
      <c r="I113" s="9" t="n">
        <v>1</v>
      </c>
      <c r="J113" s="9" t="n">
        <v>1</v>
      </c>
      <c r="K113" s="9" t="n">
        <v>0</v>
      </c>
      <c r="L113" s="9" t="n">
        <v>0</v>
      </c>
      <c r="M113" s="9" t="n">
        <v>0</v>
      </c>
      <c r="N113" s="9" t="n">
        <v>4</v>
      </c>
      <c r="O113" s="9" t="n">
        <v>5</v>
      </c>
      <c r="P113" s="9" t="n">
        <v>4</v>
      </c>
      <c r="Q113" s="9" t="n">
        <v>13</v>
      </c>
      <c r="R113" s="9" t="n">
        <v>616</v>
      </c>
      <c r="S113" s="9" t="n">
        <v>3</v>
      </c>
      <c r="T113" s="9" t="n">
        <v>0</v>
      </c>
      <c r="U113" s="9" t="n">
        <v>619</v>
      </c>
      <c r="V113" s="10" t="n">
        <v>1854</v>
      </c>
      <c r="W113" s="10" t="n">
        <v>0</v>
      </c>
      <c r="X113" s="10" t="n">
        <v>0</v>
      </c>
      <c r="Y113" s="10" t="n">
        <v>1854</v>
      </c>
      <c r="Z113" s="10" t="n">
        <v>0</v>
      </c>
    </row>
    <row r="114">
      <c r="A114" s="7" t="n">
        <v>121</v>
      </c>
      <c r="B114" s="8" t="inlineStr">
        <is>
          <t>~=|Moodapalli</t>
        </is>
      </c>
      <c r="C114" s="9" t="n">
        <v>341</v>
      </c>
      <c r="D114" s="9" t="n">
        <v>318</v>
      </c>
      <c r="E114" s="9" t="n">
        <v>1</v>
      </c>
      <c r="F114" s="9" t="n">
        <v>8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3</v>
      </c>
      <c r="P114" s="9" t="n">
        <v>0</v>
      </c>
      <c r="Q114" s="9" t="n">
        <v>2</v>
      </c>
      <c r="R114" s="9" t="n">
        <v>673</v>
      </c>
      <c r="S114" s="9" t="n">
        <v>3</v>
      </c>
      <c r="T114" s="9" t="n">
        <v>0</v>
      </c>
      <c r="U114" s="9" t="n">
        <v>676</v>
      </c>
      <c r="V114" s="10" t="n">
        <v>2025</v>
      </c>
      <c r="W114" s="10" t="n">
        <v>0</v>
      </c>
      <c r="X114" s="10" t="n">
        <v>0</v>
      </c>
      <c r="Y114" s="10" t="n">
        <v>2025</v>
      </c>
      <c r="Z114" s="10" t="n">
        <v>0</v>
      </c>
    </row>
    <row r="115">
      <c r="A115" s="7" t="n">
        <v>122</v>
      </c>
      <c r="B115" s="8" t="inlineStr">
        <is>
          <t>|Narsingapur H/o
122 |Moodapalli</t>
        </is>
      </c>
      <c r="C115" s="9" t="n">
        <v>402</v>
      </c>
      <c r="D115" s="9" t="n">
        <v>513</v>
      </c>
      <c r="E115" s="9" t="n">
        <v>10</v>
      </c>
      <c r="F115" s="9" t="n">
        <v>18</v>
      </c>
      <c r="G115" s="9" t="n">
        <v>3</v>
      </c>
      <c r="H115" s="9" t="n">
        <v>0</v>
      </c>
      <c r="I115" s="9" t="n">
        <v>1</v>
      </c>
      <c r="J115" s="9" t="n">
        <v>2</v>
      </c>
      <c r="K115" s="9" t="n">
        <v>1</v>
      </c>
      <c r="L115" s="9" t="n">
        <v>4</v>
      </c>
      <c r="M115" s="9" t="n">
        <v>0</v>
      </c>
      <c r="N115" s="9" t="n">
        <v>7</v>
      </c>
      <c r="O115" s="9" t="n">
        <v>4</v>
      </c>
      <c r="P115" s="9" t="n">
        <v>1</v>
      </c>
      <c r="Q115" s="9" t="n">
        <v>7</v>
      </c>
      <c r="R115" s="9" t="n">
        <v>973</v>
      </c>
      <c r="S115" s="9" t="n">
        <v>6</v>
      </c>
      <c r="T115" s="9" t="n">
        <v>0</v>
      </c>
      <c r="U115" s="9" t="n">
        <v>979</v>
      </c>
      <c r="V115" s="10" t="n">
        <v>2931</v>
      </c>
      <c r="W115" s="10" t="n">
        <v>0</v>
      </c>
      <c r="X115" s="10" t="n">
        <v>0</v>
      </c>
      <c r="Y115" s="10" t="n">
        <v>2931</v>
      </c>
      <c r="Z115" s="10" t="n">
        <v>0</v>
      </c>
    </row>
    <row r="116">
      <c r="A116" s="7" t="n">
        <v>123</v>
      </c>
      <c r="B116" s="8" t="inlineStr">
        <is>
          <t>|Narsingapur H/o
123 | Moodapalli</t>
        </is>
      </c>
      <c r="C116" s="9" t="n">
        <v>209</v>
      </c>
      <c r="D116" s="9" t="n">
        <v>83</v>
      </c>
      <c r="E116" s="9" t="n">
        <v>5</v>
      </c>
      <c r="F116" s="9" t="n">
        <v>6</v>
      </c>
      <c r="G116" s="9" t="n">
        <v>3</v>
      </c>
      <c r="H116" s="9" t="n">
        <v>1</v>
      </c>
      <c r="I116" s="9" t="n">
        <v>1</v>
      </c>
      <c r="J116" s="9" t="n">
        <v>0</v>
      </c>
      <c r="K116" s="9" t="n">
        <v>1</v>
      </c>
      <c r="L116" s="9" t="n">
        <v>1</v>
      </c>
      <c r="M116" s="9" t="n">
        <v>0</v>
      </c>
      <c r="N116" s="9" t="n">
        <v>5</v>
      </c>
      <c r="O116" s="9" t="n">
        <v>2</v>
      </c>
      <c r="P116" s="9" t="n">
        <v>1</v>
      </c>
      <c r="Q116" s="9" t="n">
        <v>3</v>
      </c>
      <c r="R116" s="9" t="n">
        <v>521</v>
      </c>
      <c r="S116" s="9" t="n">
        <v>3</v>
      </c>
      <c r="T116" s="9" t="n">
        <v>0</v>
      </c>
      <c r="U116" s="9" t="n">
        <v>524</v>
      </c>
      <c r="V116" s="10" t="n">
        <v>1369</v>
      </c>
      <c r="W116" s="10" t="n">
        <v>0</v>
      </c>
      <c r="X116" s="10" t="n">
        <v>0</v>
      </c>
      <c r="Y116" s="10" t="n">
        <v>1369</v>
      </c>
      <c r="Z116" s="10" t="n">
        <v>0</v>
      </c>
    </row>
    <row r="117">
      <c r="A117" s="7" t="n">
        <v>124</v>
      </c>
      <c r="B117" s="8" t="inlineStr">
        <is>
          <t>~=+|Ananthapalli</t>
        </is>
      </c>
      <c r="C117" s="9" t="n">
        <v>17</v>
      </c>
      <c r="D117" s="9" t="n">
        <v>140</v>
      </c>
      <c r="E117" s="9" t="n">
        <v>8</v>
      </c>
      <c r="F117" s="9" t="n">
        <v>4</v>
      </c>
      <c r="G117" s="9" t="n">
        <v>0</v>
      </c>
      <c r="H117" s="9" t="n">
        <v>0</v>
      </c>
      <c r="I117" s="9" t="n">
        <v>0</v>
      </c>
      <c r="J117" s="9" t="n">
        <v>2</v>
      </c>
      <c r="K117" s="9" t="n">
        <v>0</v>
      </c>
      <c r="L117" s="9" t="n">
        <v>0</v>
      </c>
      <c r="M117" s="9" t="n">
        <v>0</v>
      </c>
      <c r="N117" s="9" t="n">
        <v>1</v>
      </c>
      <c r="O117" s="9" t="n">
        <v>1</v>
      </c>
      <c r="P117" s="9" t="n">
        <v>2</v>
      </c>
      <c r="Q117" s="9" t="n">
        <v>1</v>
      </c>
      <c r="R117" s="9" t="n">
        <v>336</v>
      </c>
      <c r="S117" s="9" t="n">
        <v>1</v>
      </c>
      <c r="T117" s="9" t="n">
        <v>0</v>
      </c>
      <c r="U117" s="9" t="n">
        <v>337</v>
      </c>
      <c r="V117" s="10" t="n">
        <v>850</v>
      </c>
      <c r="W117" s="10" t="n">
        <v>0</v>
      </c>
      <c r="X117" s="10" t="n">
        <v>0</v>
      </c>
      <c r="Y117" s="10" t="n">
        <v>850</v>
      </c>
      <c r="Z117" s="10" t="n">
        <v>0</v>
      </c>
    </row>
    <row r="118">
      <c r="A118" s="7" t="n">
        <v>125</v>
      </c>
      <c r="B118" s="8" t="inlineStr">
        <is>
          <t>+|Hanmajipeta</t>
        </is>
      </c>
      <c r="C118" s="9" t="n">
        <v>282</v>
      </c>
      <c r="D118" s="9" t="n">
        <v>283</v>
      </c>
      <c r="E118" s="9" t="n">
        <v>22</v>
      </c>
      <c r="F118" s="9" t="n">
        <v>8</v>
      </c>
      <c r="G118" s="9" t="n">
        <v>0</v>
      </c>
      <c r="H118" s="9" t="n">
        <v>1</v>
      </c>
      <c r="I118" s="9" t="n">
        <v>2</v>
      </c>
      <c r="J118" s="9" t="n">
        <v>3</v>
      </c>
      <c r="K118" s="9" t="n">
        <v>0</v>
      </c>
      <c r="L118" s="9" t="n">
        <v>0</v>
      </c>
      <c r="M118" s="9" t="n">
        <v>0</v>
      </c>
      <c r="N118" s="9" t="n">
        <v>2</v>
      </c>
      <c r="O118" s="9" t="n">
        <v>3</v>
      </c>
      <c r="P118" s="9" t="n">
        <v>1</v>
      </c>
      <c r="Q118" s="9" t="n">
        <v>1</v>
      </c>
      <c r="R118" s="9" t="n">
        <v>608</v>
      </c>
      <c r="S118" s="9" t="n">
        <v>5</v>
      </c>
      <c r="T118" s="9" t="n">
        <v>0</v>
      </c>
      <c r="U118" s="9" t="n">
        <v>613</v>
      </c>
      <c r="V118" s="10" t="n">
        <v>1834</v>
      </c>
      <c r="W118" s="10" t="n">
        <v>0</v>
      </c>
      <c r="X118" s="10" t="n">
        <v>0</v>
      </c>
      <c r="Y118" s="10" t="n">
        <v>1834</v>
      </c>
      <c r="Z118" s="10" t="n">
        <v>0</v>
      </c>
    </row>
    <row r="119">
      <c r="A119" s="7" t="n">
        <v>126</v>
      </c>
      <c r="B119" s="8">
        <f>|Hanmajipeta</f>
        <v/>
      </c>
      <c r="C119" s="9" t="n">
        <v>260</v>
      </c>
      <c r="D119" s="9" t="n">
        <v>371</v>
      </c>
      <c r="E119" s="9" t="n">
        <v>10</v>
      </c>
      <c r="F119" s="9" t="n">
        <v>6</v>
      </c>
      <c r="G119" s="9" t="n">
        <v>0</v>
      </c>
      <c r="H119" s="9" t="n">
        <v>2</v>
      </c>
      <c r="I119" s="9" t="n">
        <v>1</v>
      </c>
      <c r="J119" s="9" t="n">
        <v>0</v>
      </c>
      <c r="K119" s="9" t="n">
        <v>0</v>
      </c>
      <c r="L119" s="9" t="n">
        <v>1</v>
      </c>
      <c r="M119" s="9" t="n">
        <v>1</v>
      </c>
      <c r="N119" s="9" t="n">
        <v>2</v>
      </c>
      <c r="O119" s="9" t="n">
        <v>4</v>
      </c>
      <c r="P119" s="9" t="n">
        <v>3</v>
      </c>
      <c r="Q119" s="9" t="n">
        <v>7</v>
      </c>
      <c r="R119" s="9" t="n">
        <v>668</v>
      </c>
      <c r="S119" s="9" t="n">
        <v>14</v>
      </c>
      <c r="T119" s="9" t="n">
        <v>0</v>
      </c>
      <c r="U119" s="9" t="n">
        <v>682</v>
      </c>
      <c r="V119" s="10" t="n">
        <v>2032</v>
      </c>
      <c r="W119" s="10" t="n">
        <v>0</v>
      </c>
      <c r="X119" s="10" t="n">
        <v>0</v>
      </c>
      <c r="Y119" s="10" t="n">
        <v>2032</v>
      </c>
      <c r="Z119" s="10" t="n">
        <v>0</v>
      </c>
    </row>
    <row r="120">
      <c r="A120" s="7" t="n">
        <v>127</v>
      </c>
      <c r="B120" s="8">
        <f>| Bollaram</f>
        <v/>
      </c>
      <c r="C120" s="9" t="n">
        <v>147</v>
      </c>
      <c r="D120" s="9" t="n">
        <v>275</v>
      </c>
      <c r="E120" s="9" t="n">
        <v>3</v>
      </c>
      <c r="F120" s="9" t="n">
        <v>5</v>
      </c>
      <c r="G120" s="9" t="n">
        <v>0</v>
      </c>
      <c r="H120" s="9" t="n">
        <v>0</v>
      </c>
      <c r="I120" s="9" t="n">
        <v>1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1</v>
      </c>
      <c r="O120" s="9" t="n">
        <v>2</v>
      </c>
      <c r="P120" s="9" t="n">
        <v>1</v>
      </c>
      <c r="Q120" s="9" t="n">
        <v>1</v>
      </c>
      <c r="R120" s="9" t="n">
        <v>446</v>
      </c>
      <c r="S120" s="9" t="n">
        <v>3</v>
      </c>
      <c r="T120" s="9" t="n">
        <v>0</v>
      </c>
      <c r="U120" s="9" t="n">
        <v>449</v>
      </c>
      <c r="V120" s="10" t="n">
        <v>1334</v>
      </c>
      <c r="W120" s="10" t="n">
        <v>0</v>
      </c>
      <c r="X120" s="10" t="n">
        <v>0</v>
      </c>
      <c r="Y120" s="10" t="n">
        <v>1334</v>
      </c>
      <c r="Z120" s="10" t="n">
        <v>0</v>
      </c>
    </row>
    <row r="121">
      <c r="A121" s="7" t="n">
        <v>128</v>
      </c>
      <c r="B121" s="8">
        <f>|Mallaram</f>
        <v/>
      </c>
      <c r="C121" s="9" t="n">
        <v>150</v>
      </c>
      <c r="D121" s="9" t="n">
        <v>258</v>
      </c>
      <c r="E121" s="9" t="n">
        <v>0</v>
      </c>
      <c r="F121" s="9" t="n">
        <v>1</v>
      </c>
      <c r="G121" s="9" t="n">
        <v>1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1</v>
      </c>
      <c r="O121" s="9" t="n">
        <v>0</v>
      </c>
      <c r="P121" s="9" t="n">
        <v>0</v>
      </c>
      <c r="Q121" s="9" t="n">
        <v>2</v>
      </c>
      <c r="R121" s="9" t="n">
        <v>425</v>
      </c>
      <c r="S121" s="9" t="n">
        <v>3</v>
      </c>
      <c r="T121" s="9" t="n">
        <v>0</v>
      </c>
      <c r="U121" s="9" t="n">
        <v>428</v>
      </c>
      <c r="V121" s="10" t="n">
        <v>1269</v>
      </c>
      <c r="W121" s="10" t="n">
        <v>0</v>
      </c>
      <c r="X121" s="10" t="n">
        <v>0</v>
      </c>
      <c r="Y121" s="10" t="n">
        <v>1269</v>
      </c>
      <c r="Z121" s="10" t="n">
        <v>0</v>
      </c>
    </row>
    <row r="122">
      <c r="A122" s="7" t="n">
        <v>129</v>
      </c>
      <c r="B122" s="8" t="inlineStr">
        <is>
          <t>° = |Mallaram</t>
        </is>
      </c>
      <c r="C122" s="9" t="n">
        <v>312</v>
      </c>
      <c r="D122" s="9" t="n">
        <v>389</v>
      </c>
      <c r="E122" s="9" t="n">
        <v>19</v>
      </c>
      <c r="F122" s="9" t="n">
        <v>2</v>
      </c>
      <c r="G122" s="9" t="n">
        <v>0</v>
      </c>
      <c r="H122" s="9" t="n">
        <v>0</v>
      </c>
      <c r="I122" s="9" t="n">
        <v>0</v>
      </c>
      <c r="J122" s="9" t="n">
        <v>1</v>
      </c>
      <c r="K122" s="9" t="n">
        <v>0</v>
      </c>
      <c r="L122" s="9" t="n">
        <v>1</v>
      </c>
      <c r="M122" s="9" t="n">
        <v>2</v>
      </c>
      <c r="N122" s="9" t="n">
        <v>1</v>
      </c>
      <c r="O122" s="9" t="n">
        <v>0</v>
      </c>
      <c r="P122" s="9" t="n">
        <v>1</v>
      </c>
      <c r="Q122" s="9" t="n">
        <v>1</v>
      </c>
      <c r="R122" s="9" t="n">
        <v>729</v>
      </c>
      <c r="S122" s="9" t="n">
        <v>3</v>
      </c>
      <c r="T122" s="9" t="n">
        <v>0</v>
      </c>
      <c r="U122" s="9" t="n">
        <v>732</v>
      </c>
      <c r="V122" s="10" t="n">
        <v>2193</v>
      </c>
      <c r="W122" s="10" t="n">
        <v>0</v>
      </c>
      <c r="X122" s="10" t="n">
        <v>0</v>
      </c>
      <c r="Y122" s="10" t="n">
        <v>2193</v>
      </c>
      <c r="Z122" s="10" t="n">
        <v>0</v>
      </c>
    </row>
    <row r="123">
      <c r="A123" s="7" t="n">
        <v>130</v>
      </c>
      <c r="B123" s="8">
        <f>| Marripalli</f>
        <v/>
      </c>
      <c r="C123" s="9" t="n">
        <v>335</v>
      </c>
      <c r="D123" s="9" t="n">
        <v>548</v>
      </c>
      <c r="E123" s="9" t="n">
        <v>7</v>
      </c>
      <c r="F123" s="9" t="n">
        <v>19</v>
      </c>
      <c r="G123" s="9" t="n">
        <v>1</v>
      </c>
      <c r="H123" s="9" t="n">
        <v>3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0</v>
      </c>
      <c r="N123" s="9" t="n">
        <v>0</v>
      </c>
      <c r="O123" s="9" t="n">
        <v>3</v>
      </c>
      <c r="P123" s="9" t="n">
        <v>1</v>
      </c>
      <c r="Q123" s="9" t="n">
        <v>4</v>
      </c>
      <c r="R123" s="9" t="n">
        <v>925</v>
      </c>
      <c r="S123" s="9" t="n">
        <v>3</v>
      </c>
      <c r="T123" s="9" t="n">
        <v>0</v>
      </c>
      <c r="U123" s="9" t="n">
        <v>928</v>
      </c>
      <c r="V123" s="10" t="n">
        <v>2781</v>
      </c>
      <c r="W123" s="10" t="n">
        <v>0</v>
      </c>
      <c r="X123" s="10" t="n">
        <v>0</v>
      </c>
      <c r="Y123" s="10" t="n">
        <v>2781</v>
      </c>
      <c r="Z123" s="10" t="n">
        <v>0</v>
      </c>
    </row>
    <row r="124">
      <c r="A124" s="7" t="n">
        <v>132</v>
      </c>
      <c r="B124" s="8" t="inlineStr">
        <is>
          <t>Balrajpalli H/o
132 | Marripalli</t>
        </is>
      </c>
      <c r="C124" s="9" t="n">
        <v>129</v>
      </c>
      <c r="D124" s="9" t="n">
        <v>344</v>
      </c>
      <c r="E124" s="9" t="n">
        <v>68</v>
      </c>
      <c r="F124" s="9" t="n">
        <v>16</v>
      </c>
      <c r="G124" s="9" t="n">
        <v>2</v>
      </c>
      <c r="H124" s="9" t="n">
        <v>2</v>
      </c>
      <c r="I124" s="9" t="n">
        <v>3</v>
      </c>
      <c r="J124" s="9" t="n">
        <v>3</v>
      </c>
      <c r="K124" s="9" t="n">
        <v>0</v>
      </c>
      <c r="L124" s="9" t="n">
        <v>2</v>
      </c>
      <c r="M124" s="9" t="n">
        <v>3</v>
      </c>
      <c r="N124" s="9" t="n">
        <v>2</v>
      </c>
      <c r="O124" s="9" t="n">
        <v>7</v>
      </c>
      <c r="P124" s="9" t="n">
        <v>3</v>
      </c>
      <c r="Q124" s="9" t="n">
        <v>8</v>
      </c>
      <c r="R124" s="9" t="n">
        <v>592</v>
      </c>
      <c r="S124" s="9" t="n">
        <v>0</v>
      </c>
      <c r="T124" s="9" t="n">
        <v>0</v>
      </c>
      <c r="U124" s="9" t="n">
        <v>603</v>
      </c>
      <c r="V124" s="10" t="n">
        <v>1787</v>
      </c>
      <c r="W124" s="10" t="n">
        <v>0</v>
      </c>
      <c r="X124" s="10" t="n">
        <v>0</v>
      </c>
      <c r="Y124" s="10" t="n">
        <v>1787</v>
      </c>
      <c r="Z124" s="10" t="n">
        <v>0</v>
      </c>
    </row>
    <row r="125">
      <c r="A125" s="7" t="n">
        <v>134</v>
      </c>
      <c r="B125" s="8">
        <f>|Venkatampalli</f>
        <v/>
      </c>
      <c r="C125" s="9" t="n">
        <v>72</v>
      </c>
      <c r="D125" s="9" t="n">
        <v>124</v>
      </c>
      <c r="E125" s="9" t="n">
        <v>8</v>
      </c>
      <c r="F125" s="9" t="n">
        <v>5</v>
      </c>
      <c r="G125" s="9" t="n">
        <v>1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  <c r="N125" s="9" t="n">
        <v>2</v>
      </c>
      <c r="O125" s="9" t="n">
        <v>3</v>
      </c>
      <c r="P125" s="9" t="n">
        <v>2</v>
      </c>
      <c r="Q125" s="9" t="n">
        <v>1</v>
      </c>
      <c r="R125" s="9" t="n">
        <v>218</v>
      </c>
      <c r="S125" s="9" t="n">
        <v>4</v>
      </c>
      <c r="T125" s="9" t="n">
        <v>0</v>
      </c>
      <c r="U125" s="9" t="n">
        <v>222</v>
      </c>
      <c r="V125" s="10" t="n">
        <v>662</v>
      </c>
      <c r="W125" s="10" t="n">
        <v>0</v>
      </c>
      <c r="X125" s="10" t="n">
        <v>0</v>
      </c>
      <c r="Y125" s="10" t="n">
        <v>662</v>
      </c>
      <c r="Z125" s="10" t="n">
        <v>0</v>
      </c>
    </row>
    <row r="126">
      <c r="A126" s="7" t="n">
        <v>135</v>
      </c>
      <c r="B126" s="8" t="inlineStr">
        <is>
          <t>~=|Nookalamarri</t>
        </is>
      </c>
      <c r="C126" s="9" t="n">
        <v>386</v>
      </c>
      <c r="D126" s="9" t="n">
        <v>403</v>
      </c>
      <c r="E126" s="9" t="n">
        <v>13</v>
      </c>
      <c r="F126" s="9" t="n">
        <v>20</v>
      </c>
      <c r="G126" s="9" t="n">
        <v>0</v>
      </c>
      <c r="H126" s="9" t="n">
        <v>3</v>
      </c>
      <c r="I126" s="9" t="n">
        <v>3</v>
      </c>
      <c r="J126" s="9" t="n">
        <v>0</v>
      </c>
      <c r="K126" s="9" t="n">
        <v>0</v>
      </c>
      <c r="L126" s="9" t="n">
        <v>1</v>
      </c>
      <c r="M126" s="9" t="n">
        <v>0</v>
      </c>
      <c r="N126" s="9" t="n">
        <v>5</v>
      </c>
      <c r="O126" s="9" t="n">
        <v>3</v>
      </c>
      <c r="P126" s="9" t="n">
        <v>2</v>
      </c>
      <c r="Q126" s="9" t="n">
        <v>7</v>
      </c>
      <c r="R126" s="9" t="n">
        <v>842</v>
      </c>
      <c r="S126" s="9" t="n">
        <v>12</v>
      </c>
      <c r="T126" s="9" t="n">
        <v>0</v>
      </c>
      <c r="U126" s="9" t="n">
        <v>854</v>
      </c>
      <c r="V126" s="10" t="n">
        <v>2554</v>
      </c>
      <c r="W126" s="10" t="n">
        <v>0</v>
      </c>
      <c r="X126" s="10" t="n">
        <v>0</v>
      </c>
      <c r="Y126" s="10" t="n">
        <v>2554</v>
      </c>
      <c r="Z126" s="10" t="n">
        <v>0</v>
      </c>
    </row>
    <row r="127">
      <c r="A127" s="7" t="n">
        <v>136</v>
      </c>
      <c r="B127" s="8">
        <f>|Nookalamarri</f>
        <v/>
      </c>
      <c r="C127" s="9" t="n">
        <v>314</v>
      </c>
      <c r="D127" s="9" t="n">
        <v>401</v>
      </c>
      <c r="E127" s="9" t="n">
        <v>16</v>
      </c>
      <c r="F127" s="9" t="n">
        <v>17</v>
      </c>
      <c r="G127" s="9" t="n">
        <v>1</v>
      </c>
      <c r="H127" s="9" t="n">
        <v>1</v>
      </c>
      <c r="I127" s="9" t="n">
        <v>1</v>
      </c>
      <c r="J127" s="9" t="n">
        <v>3</v>
      </c>
      <c r="K127" s="9" t="n">
        <v>2</v>
      </c>
      <c r="L127" s="9" t="n">
        <v>2</v>
      </c>
      <c r="M127" s="9" t="n">
        <v>3</v>
      </c>
      <c r="N127" s="9" t="n">
        <v>9</v>
      </c>
      <c r="O127" s="9" t="n">
        <v>7</v>
      </c>
      <c r="P127" s="9" t="n">
        <v>3</v>
      </c>
      <c r="Q127" s="9" t="n">
        <v>15</v>
      </c>
      <c r="R127" s="9" t="n">
        <v>795</v>
      </c>
      <c r="S127" s="9" t="n">
        <v>17</v>
      </c>
      <c r="T127" s="9" t="n">
        <v>0</v>
      </c>
      <c r="U127" s="9" t="n">
        <v>812</v>
      </c>
      <c r="V127" s="10" t="n">
        <v>2419</v>
      </c>
      <c r="W127" s="10" t="n">
        <v>0</v>
      </c>
      <c r="X127" s="10" t="n">
        <v>0</v>
      </c>
      <c r="Y127" s="10" t="n">
        <v>2419</v>
      </c>
      <c r="Z127" s="10" t="n">
        <v>0</v>
      </c>
    </row>
    <row r="128">
      <c r="A128" s="7" t="n">
        <v>137</v>
      </c>
      <c r="B128" s="8" t="inlineStr">
        <is>
          <t>|Namiligundupalli
|H/o Nookalamarri</t>
        </is>
      </c>
      <c r="C128" s="9" t="n">
        <v>360</v>
      </c>
      <c r="D128" s="9" t="n">
        <v>297</v>
      </c>
      <c r="E128" s="9" t="n">
        <v>17</v>
      </c>
      <c r="F128" s="9" t="n">
        <v>10</v>
      </c>
      <c r="G128" s="9" t="n">
        <v>1</v>
      </c>
      <c r="H128" s="9" t="n">
        <v>3</v>
      </c>
      <c r="I128" s="9" t="n">
        <v>1</v>
      </c>
      <c r="J128" s="9" t="n">
        <v>3</v>
      </c>
      <c r="K128" s="9" t="n">
        <v>2</v>
      </c>
      <c r="L128" s="9" t="n">
        <v>2</v>
      </c>
      <c r="M128" s="9" t="n">
        <v>1</v>
      </c>
      <c r="N128" s="9" t="n">
        <v>1</v>
      </c>
      <c r="O128" s="9" t="n">
        <v>1</v>
      </c>
      <c r="P128" s="9" t="n">
        <v>3</v>
      </c>
      <c r="Q128" s="9" t="n">
        <v>6</v>
      </c>
      <c r="R128" s="9" t="n">
        <v>708</v>
      </c>
      <c r="S128" s="9" t="n">
        <v>9</v>
      </c>
      <c r="T128" s="9" t="n">
        <v>0</v>
      </c>
      <c r="U128" s="9" t="n">
        <v>77</v>
      </c>
      <c r="V128" s="10" t="n">
        <v>1502</v>
      </c>
      <c r="W128" s="10" t="n">
        <v>0</v>
      </c>
      <c r="X128" s="10" t="n">
        <v>0</v>
      </c>
      <c r="Y128" s="10" t="n">
        <v>1502</v>
      </c>
      <c r="Z128" s="10" t="n">
        <v>0</v>
      </c>
    </row>
    <row r="129">
      <c r="A129" s="7" t="n">
        <v>138</v>
      </c>
      <c r="B129" s="8">
        <f>«|Vattemula</f>
        <v/>
      </c>
      <c r="C129" s="9" t="n">
        <v>294</v>
      </c>
      <c r="D129" s="9" t="n">
        <v>349</v>
      </c>
      <c r="E129" s="9" t="n">
        <v>52</v>
      </c>
      <c r="F129" s="9" t="n">
        <v>0</v>
      </c>
      <c r="G129" s="9" t="n">
        <v>2</v>
      </c>
      <c r="H129" s="9" t="n">
        <v>3</v>
      </c>
      <c r="I129" s="9" t="n">
        <v>3</v>
      </c>
      <c r="J129" s="9" t="n">
        <v>1</v>
      </c>
      <c r="K129" s="9" t="n">
        <v>2</v>
      </c>
      <c r="L129" s="9" t="n">
        <v>0</v>
      </c>
      <c r="M129" s="9" t="n">
        <v>1</v>
      </c>
      <c r="N129" s="9" t="n">
        <v>5</v>
      </c>
      <c r="O129" s="9" t="n">
        <v>9</v>
      </c>
      <c r="P129" s="9" t="n">
        <v>4</v>
      </c>
      <c r="Q129" s="9" t="n">
        <v>12</v>
      </c>
      <c r="R129" s="9" t="n">
        <v>748</v>
      </c>
      <c r="S129" s="9" t="n">
        <v>19</v>
      </c>
      <c r="T129" s="9" t="n">
        <v>0</v>
      </c>
      <c r="U129" s="9" t="n">
        <v>767</v>
      </c>
      <c r="V129" s="10" t="n">
        <v>2271</v>
      </c>
      <c r="W129" s="10" t="n">
        <v>0</v>
      </c>
      <c r="X129" s="10" t="n">
        <v>0</v>
      </c>
      <c r="Y129" s="10" t="n">
        <v>2271</v>
      </c>
      <c r="Z129" s="10" t="n">
        <v>0</v>
      </c>
    </row>
    <row r="130">
      <c r="A130" s="7" t="n">
        <v>139</v>
      </c>
      <c r="B130" s="8" t="inlineStr">
        <is>
          <t>Polling Station 139</t>
        </is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4</v>
      </c>
      <c r="T130" s="9" t="n">
        <v>0</v>
      </c>
      <c r="U130" s="9" t="n">
        <v>0</v>
      </c>
      <c r="V130" s="10" t="n">
        <v>4</v>
      </c>
      <c r="W130" s="10" t="n">
        <v>0</v>
      </c>
      <c r="X130" s="10" t="n">
        <v>0</v>
      </c>
      <c r="Y130" s="10" t="n">
        <v>4</v>
      </c>
      <c r="Z130" s="10" t="n">
        <v>0</v>
      </c>
    </row>
    <row r="131">
      <c r="A131" s="7" t="n">
        <v>140</v>
      </c>
      <c r="B131" s="8" t="inlineStr">
        <is>
          <t>Polling Station 140</t>
        </is>
      </c>
      <c r="C131" s="9" t="n">
        <v>3</v>
      </c>
      <c r="D131" s="9" t="n">
        <v>4</v>
      </c>
      <c r="E131" s="9" t="n">
        <v>5</v>
      </c>
      <c r="F131" s="9" t="n">
        <v>6</v>
      </c>
      <c r="G131" s="9" t="n">
        <v>7</v>
      </c>
      <c r="H131" s="9" t="n">
        <v>8</v>
      </c>
      <c r="I131" s="9" t="n">
        <v>9</v>
      </c>
      <c r="J131" s="9" t="n">
        <v>10</v>
      </c>
      <c r="K131" s="9" t="n">
        <v>0</v>
      </c>
      <c r="L131" s="9" t="n">
        <v>2</v>
      </c>
      <c r="M131" s="9" t="n">
        <v>13</v>
      </c>
      <c r="N131" s="9" t="n">
        <v>14</v>
      </c>
      <c r="O131" s="9" t="n">
        <v>15</v>
      </c>
      <c r="P131" s="9" t="n">
        <v>16</v>
      </c>
      <c r="Q131" s="9" t="n">
        <v>7</v>
      </c>
      <c r="R131" s="9" t="n">
        <v>18</v>
      </c>
      <c r="S131" s="9" t="n">
        <v>19</v>
      </c>
      <c r="T131" s="9" t="n">
        <v>20</v>
      </c>
      <c r="U131" s="9" t="n">
        <v>2</v>
      </c>
      <c r="V131" s="10" t="n">
        <v>178</v>
      </c>
      <c r="W131" s="10" t="n">
        <v>0</v>
      </c>
      <c r="X131" s="10" t="n">
        <v>0</v>
      </c>
      <c r="Y131" s="10" t="n">
        <v>178</v>
      </c>
      <c r="Z131" s="10" t="n">
        <v>0</v>
      </c>
    </row>
    <row r="132">
      <c r="A132" s="7" t="n">
        <v>141</v>
      </c>
      <c r="B132" s="8" t="inlineStr">
        <is>
          <t>~=«=‘|Fajulnagar</t>
        </is>
      </c>
      <c r="C132" s="9" t="n">
        <v>118</v>
      </c>
      <c r="D132" s="9" t="n">
        <v>448</v>
      </c>
      <c r="E132" s="9" t="n">
        <v>8</v>
      </c>
      <c r="F132" s="9" t="n">
        <v>5</v>
      </c>
      <c r="G132" s="9" t="n">
        <v>0</v>
      </c>
      <c r="H132" s="9" t="n">
        <v>1</v>
      </c>
      <c r="I132" s="9" t="n">
        <v>0</v>
      </c>
      <c r="J132" s="9" t="n">
        <v>0</v>
      </c>
      <c r="K132" s="9" t="n">
        <v>1</v>
      </c>
      <c r="L132" s="9" t="n">
        <v>2</v>
      </c>
      <c r="M132" s="9" t="n">
        <v>0</v>
      </c>
      <c r="N132" s="9" t="n">
        <v>5</v>
      </c>
      <c r="O132" s="9" t="n">
        <v>4</v>
      </c>
      <c r="P132" s="9" t="n">
        <v>0</v>
      </c>
      <c r="Q132" s="9" t="n">
        <v>5</v>
      </c>
      <c r="R132" s="9" t="n">
        <v>629</v>
      </c>
      <c r="S132" s="9" t="n">
        <v>6</v>
      </c>
      <c r="T132" s="9" t="n">
        <v>0</v>
      </c>
      <c r="U132" s="9" t="n">
        <v>6</v>
      </c>
      <c r="V132" s="10" t="n">
        <v>1238</v>
      </c>
      <c r="W132" s="10" t="n">
        <v>0</v>
      </c>
      <c r="X132" s="10" t="n">
        <v>0</v>
      </c>
      <c r="Y132" s="10" t="n">
        <v>1238</v>
      </c>
      <c r="Z132" s="10" t="n">
        <v>0</v>
      </c>
    </row>
    <row r="133">
      <c r="A133" s="7" t="n">
        <v>142</v>
      </c>
      <c r="B133" s="8" t="inlineStr">
        <is>
          <t>«‘|Shatrajupalli</t>
        </is>
      </c>
      <c r="C133" s="9" t="n">
        <v>66</v>
      </c>
      <c r="D133" s="9" t="n">
        <v>410</v>
      </c>
      <c r="E133" s="9" t="n">
        <v>3</v>
      </c>
      <c r="F133" s="9" t="n">
        <v>8</v>
      </c>
      <c r="G133" s="9" t="n">
        <v>6</v>
      </c>
      <c r="H133" s="9" t="n">
        <v>1</v>
      </c>
      <c r="I133" s="9" t="n">
        <v>0</v>
      </c>
      <c r="J133" s="9" t="n">
        <v>18</v>
      </c>
      <c r="K133" s="9" t="n">
        <v>0</v>
      </c>
      <c r="L133" s="9" t="n">
        <v>1</v>
      </c>
      <c r="M133" s="9" t="n">
        <v>0</v>
      </c>
      <c r="N133" s="9" t="n">
        <v>2</v>
      </c>
      <c r="O133" s="9" t="n">
        <v>3</v>
      </c>
      <c r="P133" s="9" t="n">
        <v>1</v>
      </c>
      <c r="Q133" s="9" t="n">
        <v>4</v>
      </c>
      <c r="R133" s="9" t="n">
        <v>723</v>
      </c>
      <c r="S133" s="9" t="n">
        <v>9</v>
      </c>
      <c r="T133" s="9" t="n">
        <v>0</v>
      </c>
      <c r="U133" s="9" t="n">
        <v>732</v>
      </c>
      <c r="V133" s="10" t="n">
        <v>1987</v>
      </c>
      <c r="W133" s="10" t="n">
        <v>0</v>
      </c>
      <c r="X133" s="10" t="n">
        <v>0</v>
      </c>
      <c r="Y133" s="10" t="n">
        <v>1987</v>
      </c>
      <c r="Z133" s="10" t="n">
        <v>0</v>
      </c>
    </row>
    <row r="134">
      <c r="A134" s="7" t="n">
        <v>143</v>
      </c>
      <c r="B134" s="8" t="inlineStr">
        <is>
          <t>«=|Shatrajupalle</t>
        </is>
      </c>
      <c r="C134" s="9" t="n">
        <v>162</v>
      </c>
      <c r="D134" s="9" t="n">
        <v>443</v>
      </c>
      <c r="E134" s="9" t="n">
        <v>14</v>
      </c>
      <c r="F134" s="9" t="n">
        <v>6</v>
      </c>
      <c r="G134" s="9" t="n">
        <v>6</v>
      </c>
      <c r="H134" s="9" t="n">
        <v>1</v>
      </c>
      <c r="I134" s="9" t="n">
        <v>2</v>
      </c>
      <c r="J134" s="9" t="n">
        <v>18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3</v>
      </c>
      <c r="P134" s="9" t="n">
        <v>0</v>
      </c>
      <c r="Q134" s="9" t="n">
        <v>5</v>
      </c>
      <c r="R134" s="9" t="n">
        <v>661</v>
      </c>
      <c r="S134" s="9" t="n">
        <v>7</v>
      </c>
      <c r="T134" s="9" t="n">
        <v>0</v>
      </c>
      <c r="U134" s="9" t="n">
        <v>668</v>
      </c>
      <c r="V134" s="10" t="n">
        <v>1996</v>
      </c>
      <c r="W134" s="10" t="n">
        <v>0</v>
      </c>
      <c r="X134" s="10" t="n">
        <v>0</v>
      </c>
      <c r="Y134" s="10" t="n">
        <v>1996</v>
      </c>
      <c r="Z134" s="10" t="n">
        <v>0</v>
      </c>
    </row>
    <row r="135">
      <c r="A135" s="7" t="n">
        <v>144</v>
      </c>
      <c r="B135" s="8" t="inlineStr">
        <is>
          <t>#|Shatrajupalle</t>
        </is>
      </c>
      <c r="C135" s="9" t="n">
        <v>282</v>
      </c>
      <c r="D135" s="9" t="n">
        <v>426</v>
      </c>
      <c r="E135" s="9" t="n">
        <v>3</v>
      </c>
      <c r="F135" s="9" t="n">
        <v>4</v>
      </c>
      <c r="G135" s="9" t="n">
        <v>1</v>
      </c>
      <c r="H135" s="9" t="n">
        <v>0</v>
      </c>
      <c r="I135" s="9" t="n">
        <v>1</v>
      </c>
      <c r="J135" s="9" t="n">
        <v>3</v>
      </c>
      <c r="K135" s="9" t="n">
        <v>1</v>
      </c>
      <c r="L135" s="9" t="n">
        <v>3</v>
      </c>
      <c r="M135" s="9" t="n">
        <v>2</v>
      </c>
      <c r="N135" s="9" t="n">
        <v>1</v>
      </c>
      <c r="O135" s="9" t="n">
        <v>0</v>
      </c>
      <c r="P135" s="9" t="n">
        <v>1</v>
      </c>
      <c r="Q135" s="9" t="n">
        <v>6</v>
      </c>
      <c r="R135" s="9" t="n">
        <v>734</v>
      </c>
      <c r="S135" s="9" t="n">
        <v>10</v>
      </c>
      <c r="T135" s="9" t="n">
        <v>0</v>
      </c>
      <c r="U135" s="9" t="n">
        <v>744</v>
      </c>
      <c r="V135" s="10" t="n">
        <v>2222</v>
      </c>
      <c r="W135" s="10" t="n">
        <v>0</v>
      </c>
      <c r="X135" s="10" t="n">
        <v>0</v>
      </c>
      <c r="Y135" s="10" t="n">
        <v>2222</v>
      </c>
      <c r="Z135" s="10" t="n">
        <v>0</v>
      </c>
    </row>
    <row r="136">
      <c r="A136" s="7" t="n">
        <v>145</v>
      </c>
      <c r="B136" s="8" t="inlineStr">
        <is>
          <t>|Chekkapalli</t>
        </is>
      </c>
      <c r="C136" s="9" t="n">
        <v>250</v>
      </c>
      <c r="D136" s="9" t="n">
        <v>233</v>
      </c>
      <c r="E136" s="9" t="n">
        <v>1</v>
      </c>
      <c r="F136" s="9" t="n">
        <v>2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1</v>
      </c>
      <c r="N136" s="9" t="n">
        <v>0</v>
      </c>
      <c r="O136" s="9" t="n">
        <v>1</v>
      </c>
      <c r="P136" s="9" t="n">
        <v>1</v>
      </c>
      <c r="Q136" s="9" t="n">
        <v>0</v>
      </c>
      <c r="R136" s="9" t="n">
        <v>502</v>
      </c>
      <c r="S136" s="9" t="n">
        <v>2</v>
      </c>
      <c r="T136" s="9" t="n">
        <v>0</v>
      </c>
      <c r="U136" s="9" t="n">
        <v>504</v>
      </c>
      <c r="V136" s="10" t="n">
        <v>1497</v>
      </c>
      <c r="W136" s="10" t="n">
        <v>0</v>
      </c>
      <c r="X136" s="10" t="n">
        <v>0</v>
      </c>
      <c r="Y136" s="10" t="n">
        <v>1497</v>
      </c>
      <c r="Z136" s="10" t="n">
        <v>0</v>
      </c>
    </row>
    <row r="137">
      <c r="A137" s="7" t="n">
        <v>146</v>
      </c>
      <c r="B137" s="8" t="inlineStr">
        <is>
          <t>|Chekkapalli</t>
        </is>
      </c>
      <c r="C137" s="9" t="n">
        <v>148</v>
      </c>
      <c r="D137" s="9" t="n">
        <v>385</v>
      </c>
      <c r="E137" s="9" t="n">
        <v>16</v>
      </c>
      <c r="F137" s="9" t="n">
        <v>9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1</v>
      </c>
      <c r="M137" s="9" t="n">
        <v>1</v>
      </c>
      <c r="N137" s="9" t="n">
        <v>0</v>
      </c>
      <c r="O137" s="9" t="n">
        <v>4</v>
      </c>
      <c r="P137" s="9" t="n">
        <v>0</v>
      </c>
      <c r="Q137" s="9" t="n">
        <v>7</v>
      </c>
      <c r="R137" s="9" t="n">
        <v>571</v>
      </c>
      <c r="S137" s="9" t="n">
        <v>9</v>
      </c>
      <c r="T137" s="9" t="n">
        <v>0</v>
      </c>
      <c r="U137" s="9" t="n">
        <v>580</v>
      </c>
      <c r="V137" s="10" t="n">
        <v>1731</v>
      </c>
      <c r="W137" s="10" t="n">
        <v>0</v>
      </c>
      <c r="X137" s="10" t="n">
        <v>0</v>
      </c>
      <c r="Y137" s="10" t="n">
        <v>1731</v>
      </c>
      <c r="Z137" s="10" t="n">
        <v>0</v>
      </c>
    </row>
    <row r="138">
      <c r="A138" s="7" t="n">
        <v>147</v>
      </c>
      <c r="B138" s="8" t="inlineStr">
        <is>
          <t>+|Edurugatta</t>
        </is>
      </c>
      <c r="C138" s="9" t="n">
        <v>301</v>
      </c>
      <c r="D138" s="9" t="n">
        <v>287</v>
      </c>
      <c r="E138" s="9" t="n">
        <v>7</v>
      </c>
      <c r="F138" s="9" t="n">
        <v>4</v>
      </c>
      <c r="G138" s="9" t="n">
        <v>1</v>
      </c>
      <c r="H138" s="9" t="n">
        <v>1</v>
      </c>
      <c r="I138" s="9" t="n">
        <v>0</v>
      </c>
      <c r="J138" s="9" t="n">
        <v>0</v>
      </c>
      <c r="K138" s="9" t="n">
        <v>0</v>
      </c>
      <c r="L138" s="9" t="n">
        <v>1</v>
      </c>
      <c r="M138" s="9" t="n">
        <v>0</v>
      </c>
      <c r="N138" s="9" t="n">
        <v>2</v>
      </c>
      <c r="O138" s="9" t="n">
        <v>5</v>
      </c>
      <c r="P138" s="9" t="n">
        <v>2</v>
      </c>
      <c r="Q138" s="9" t="n">
        <v>7</v>
      </c>
      <c r="R138" s="9" t="n">
        <v>618</v>
      </c>
      <c r="S138" s="9" t="n">
        <v>9</v>
      </c>
      <c r="T138" s="9" t="n">
        <v>0</v>
      </c>
      <c r="U138" s="9" t="n">
        <v>627</v>
      </c>
      <c r="V138" s="10" t="n">
        <v>1872</v>
      </c>
      <c r="W138" s="10" t="n">
        <v>0</v>
      </c>
      <c r="X138" s="10" t="n">
        <v>0</v>
      </c>
      <c r="Y138" s="10" t="n">
        <v>1872</v>
      </c>
      <c r="Z138" s="10" t="n">
        <v>0</v>
      </c>
    </row>
    <row r="139">
      <c r="A139" s="7" t="n">
        <v>148</v>
      </c>
      <c r="B139" s="8" t="inlineStr">
        <is>
          <t>|Vemulawada</t>
        </is>
      </c>
      <c r="C139" s="9" t="n">
        <v>161</v>
      </c>
      <c r="D139" s="9" t="n">
        <v>476</v>
      </c>
      <c r="E139" s="9" t="n">
        <v>60</v>
      </c>
      <c r="F139" s="9" t="n">
        <v>3</v>
      </c>
      <c r="G139" s="9" t="n">
        <v>1</v>
      </c>
      <c r="H139" s="9" t="n">
        <v>1</v>
      </c>
      <c r="I139" s="9" t="n">
        <v>2</v>
      </c>
      <c r="J139" s="9" t="n">
        <v>0</v>
      </c>
      <c r="K139" s="9" t="n">
        <v>0</v>
      </c>
      <c r="L139" s="9" t="n">
        <v>0</v>
      </c>
      <c r="M139" s="9" t="n">
        <v>2</v>
      </c>
      <c r="N139" s="9" t="n">
        <v>2</v>
      </c>
      <c r="O139" s="9" t="n">
        <v>1</v>
      </c>
      <c r="P139" s="9" t="n">
        <v>1</v>
      </c>
      <c r="Q139" s="9" t="n">
        <v>2</v>
      </c>
      <c r="R139" s="9" t="n">
        <v>72</v>
      </c>
      <c r="S139" s="9" t="n">
        <v>6</v>
      </c>
      <c r="T139" s="9" t="n">
        <v>0</v>
      </c>
      <c r="U139" s="9" t="n">
        <v>718</v>
      </c>
      <c r="V139" s="10" t="n">
        <v>1508</v>
      </c>
      <c r="W139" s="10" t="n">
        <v>0</v>
      </c>
      <c r="X139" s="10" t="n">
        <v>0</v>
      </c>
      <c r="Y139" s="10" t="n">
        <v>1508</v>
      </c>
      <c r="Z139" s="10" t="n">
        <v>0</v>
      </c>
    </row>
    <row r="140">
      <c r="A140" s="7" t="n">
        <v>149</v>
      </c>
      <c r="B140" s="8" t="inlineStr">
        <is>
          <t>|Vemulawada</t>
        </is>
      </c>
      <c r="C140" s="9" t="n">
        <v>206</v>
      </c>
      <c r="D140" s="9" t="n">
        <v>517</v>
      </c>
      <c r="E140" s="9" t="n">
        <v>72</v>
      </c>
      <c r="F140" s="9" t="n">
        <v>9</v>
      </c>
      <c r="G140" s="9" t="n">
        <v>0</v>
      </c>
      <c r="H140" s="9" t="n">
        <v>6</v>
      </c>
      <c r="I140" s="9" t="n">
        <v>2</v>
      </c>
      <c r="J140" s="9" t="n">
        <v>0</v>
      </c>
      <c r="K140" s="9" t="n">
        <v>2</v>
      </c>
      <c r="L140" s="9" t="n">
        <v>0</v>
      </c>
      <c r="M140" s="9" t="n">
        <v>1</v>
      </c>
      <c r="N140" s="9" t="n">
        <v>4</v>
      </c>
      <c r="O140" s="9" t="n">
        <v>13</v>
      </c>
      <c r="P140" s="9" t="n">
        <v>1</v>
      </c>
      <c r="Q140" s="9" t="n">
        <v>7</v>
      </c>
      <c r="R140" s="9" t="n">
        <v>830</v>
      </c>
      <c r="S140" s="9" t="n">
        <v>9</v>
      </c>
      <c r="T140" s="9" t="n">
        <v>0</v>
      </c>
      <c r="U140" s="9" t="n">
        <v>839</v>
      </c>
      <c r="V140" s="10" t="n">
        <v>2518</v>
      </c>
      <c r="W140" s="10" t="n">
        <v>0</v>
      </c>
      <c r="X140" s="10" t="n">
        <v>0</v>
      </c>
      <c r="Y140" s="10" t="n">
        <v>2518</v>
      </c>
      <c r="Z140" s="10" t="n">
        <v>0</v>
      </c>
    </row>
    <row r="141">
      <c r="A141" s="7" t="n">
        <v>150</v>
      </c>
      <c r="B141" s="8" t="inlineStr">
        <is>
          <t>|Vemulawada</t>
        </is>
      </c>
      <c r="C141" s="9" t="n">
        <v>170</v>
      </c>
      <c r="D141" s="9" t="n">
        <v>633</v>
      </c>
      <c r="E141" s="9" t="n">
        <v>59</v>
      </c>
      <c r="F141" s="9" t="n">
        <v>5</v>
      </c>
      <c r="G141" s="9" t="n">
        <v>1</v>
      </c>
      <c r="H141" s="9" t="n">
        <v>4</v>
      </c>
      <c r="I141" s="9" t="n">
        <v>8</v>
      </c>
      <c r="J141" s="9" t="n">
        <v>1</v>
      </c>
      <c r="K141" s="9" t="n">
        <v>1</v>
      </c>
      <c r="L141" s="9" t="n">
        <v>3</v>
      </c>
      <c r="M141" s="9" t="n">
        <v>1</v>
      </c>
      <c r="N141" s="9" t="n">
        <v>1</v>
      </c>
      <c r="O141" s="9" t="n">
        <v>4</v>
      </c>
      <c r="P141" s="9" t="n">
        <v>1</v>
      </c>
      <c r="Q141" s="9" t="n">
        <v>2</v>
      </c>
      <c r="R141" s="9" t="n">
        <v>888</v>
      </c>
      <c r="S141" s="9" t="n">
        <v>10</v>
      </c>
      <c r="T141" s="9" t="n">
        <v>0</v>
      </c>
      <c r="U141" s="9" t="n">
        <v>898</v>
      </c>
      <c r="V141" s="10" t="n">
        <v>2690</v>
      </c>
      <c r="W141" s="10" t="n">
        <v>0</v>
      </c>
      <c r="X141" s="10" t="n">
        <v>0</v>
      </c>
      <c r="Y141" s="10" t="n">
        <v>2690</v>
      </c>
      <c r="Z141" s="10" t="n">
        <v>0</v>
      </c>
    </row>
    <row r="142">
      <c r="A142" s="7" t="n">
        <v>151</v>
      </c>
      <c r="B142" s="8" t="inlineStr">
        <is>
          <t>| 151 |Vemulawada</t>
        </is>
      </c>
      <c r="C142" s="9" t="n">
        <v>152</v>
      </c>
      <c r="D142" s="9" t="n">
        <v>449</v>
      </c>
      <c r="E142" s="9" t="n">
        <v>39</v>
      </c>
      <c r="F142" s="9" t="n">
        <v>4</v>
      </c>
      <c r="G142" s="9" t="n">
        <v>1</v>
      </c>
      <c r="H142" s="9" t="n">
        <v>0</v>
      </c>
      <c r="I142" s="9" t="n">
        <v>6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1</v>
      </c>
      <c r="O142" s="9" t="n">
        <v>4</v>
      </c>
      <c r="P142" s="9" t="n">
        <v>2</v>
      </c>
      <c r="Q142" s="9" t="n">
        <v>5</v>
      </c>
      <c r="R142" s="9" t="n">
        <v>658</v>
      </c>
      <c r="S142" s="9" t="n">
        <v>7</v>
      </c>
      <c r="T142" s="9" t="n">
        <v>0</v>
      </c>
      <c r="U142" s="9" t="n">
        <v>66</v>
      </c>
      <c r="V142" s="10" t="n">
        <v>1394</v>
      </c>
      <c r="W142" s="10" t="n">
        <v>0</v>
      </c>
      <c r="X142" s="10" t="n">
        <v>0</v>
      </c>
      <c r="Y142" s="10" t="n">
        <v>1394</v>
      </c>
      <c r="Z142" s="10" t="n">
        <v>0</v>
      </c>
    </row>
    <row r="143">
      <c r="A143" s="7" t="n">
        <v>152</v>
      </c>
      <c r="B143" s="8" t="inlineStr">
        <is>
          <t>| 152 |Vemulawada</t>
        </is>
      </c>
      <c r="C143" s="9" t="n">
        <v>6</v>
      </c>
      <c r="D143" s="9" t="n">
        <v>526</v>
      </c>
      <c r="E143" s="9" t="n">
        <v>90</v>
      </c>
      <c r="F143" s="9" t="n">
        <v>4</v>
      </c>
      <c r="G143" s="9" t="n">
        <v>0</v>
      </c>
      <c r="H143" s="9" t="n">
        <v>2</v>
      </c>
      <c r="I143" s="9" t="n">
        <v>2</v>
      </c>
      <c r="J143" s="9" t="n">
        <v>0</v>
      </c>
      <c r="K143" s="9" t="n">
        <v>2</v>
      </c>
      <c r="L143" s="9" t="n">
        <v>2</v>
      </c>
      <c r="M143" s="9" t="n">
        <v>0</v>
      </c>
      <c r="N143" s="9" t="n">
        <v>0</v>
      </c>
      <c r="O143" s="9" t="n">
        <v>2</v>
      </c>
      <c r="P143" s="9" t="n">
        <v>2</v>
      </c>
      <c r="Q143" s="9" t="n">
        <v>2</v>
      </c>
      <c r="R143" s="9" t="n">
        <v>898</v>
      </c>
      <c r="S143" s="9" t="n">
        <v>6</v>
      </c>
      <c r="T143" s="9" t="n">
        <v>0</v>
      </c>
      <c r="U143" s="9" t="n">
        <v>904</v>
      </c>
      <c r="V143" s="10" t="n">
        <v>2448</v>
      </c>
      <c r="W143" s="10" t="n">
        <v>0</v>
      </c>
      <c r="X143" s="10" t="n">
        <v>0</v>
      </c>
      <c r="Y143" s="10" t="n">
        <v>2448</v>
      </c>
      <c r="Z143" s="10" t="n">
        <v>0</v>
      </c>
    </row>
    <row r="144">
      <c r="A144" s="7" t="n">
        <v>153</v>
      </c>
      <c r="B144" s="8" t="inlineStr">
        <is>
          <t>| 153 |Vemulawada</t>
        </is>
      </c>
      <c r="C144" s="9" t="n">
        <v>140</v>
      </c>
      <c r="D144" s="9" t="n">
        <v>190</v>
      </c>
      <c r="E144" s="9" t="n">
        <v>22</v>
      </c>
      <c r="F144" s="9" t="n">
        <v>2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1</v>
      </c>
      <c r="N144" s="9" t="n">
        <v>0</v>
      </c>
      <c r="O144" s="9" t="n">
        <v>0</v>
      </c>
      <c r="P144" s="9" t="n">
        <v>2</v>
      </c>
      <c r="Q144" s="9" t="n">
        <v>0</v>
      </c>
      <c r="R144" s="9" t="n">
        <v>357</v>
      </c>
      <c r="S144" s="9" t="n">
        <v>3</v>
      </c>
      <c r="T144" s="9" t="n">
        <v>0</v>
      </c>
      <c r="U144" s="9" t="n">
        <v>360</v>
      </c>
      <c r="V144" s="10" t="n">
        <v>1077</v>
      </c>
      <c r="W144" s="10" t="n">
        <v>0</v>
      </c>
      <c r="X144" s="10" t="n">
        <v>0</v>
      </c>
      <c r="Y144" s="10" t="n">
        <v>1077</v>
      </c>
      <c r="Z144" s="10" t="n">
        <v>0</v>
      </c>
    </row>
    <row r="145">
      <c r="A145" s="7" t="n">
        <v>154</v>
      </c>
      <c r="B145" s="8" t="inlineStr">
        <is>
          <t>| 154 |Vemulawada</t>
        </is>
      </c>
      <c r="C145" s="9" t="n">
        <v>153</v>
      </c>
      <c r="D145" s="9" t="n">
        <v>504</v>
      </c>
      <c r="E145" s="9" t="n">
        <v>137</v>
      </c>
      <c r="F145" s="9" t="n">
        <v>1</v>
      </c>
      <c r="G145" s="9" t="n">
        <v>4</v>
      </c>
      <c r="H145" s="9" t="n">
        <v>3</v>
      </c>
      <c r="I145" s="9" t="n">
        <v>0</v>
      </c>
      <c r="J145" s="9" t="n">
        <v>1</v>
      </c>
      <c r="K145" s="9" t="n">
        <v>0</v>
      </c>
      <c r="L145" s="9" t="n">
        <v>1</v>
      </c>
      <c r="M145" s="9" t="n">
        <v>0</v>
      </c>
      <c r="N145" s="9" t="n">
        <v>2</v>
      </c>
      <c r="O145" s="9" t="n">
        <v>4</v>
      </c>
      <c r="P145" s="9" t="n">
        <v>1</v>
      </c>
      <c r="Q145" s="9" t="n">
        <v>3</v>
      </c>
      <c r="R145" s="9" t="n">
        <v>818</v>
      </c>
      <c r="S145" s="9" t="n">
        <v>12</v>
      </c>
      <c r="T145" s="9" t="n">
        <v>0</v>
      </c>
      <c r="U145" s="9" t="n">
        <v>830</v>
      </c>
      <c r="V145" s="10" t="n">
        <v>2474</v>
      </c>
      <c r="W145" s="10" t="n">
        <v>0</v>
      </c>
      <c r="X145" s="10" t="n">
        <v>0</v>
      </c>
      <c r="Y145" s="10" t="n">
        <v>2474</v>
      </c>
      <c r="Z145" s="10" t="n">
        <v>0</v>
      </c>
    </row>
    <row r="146">
      <c r="A146" s="7" t="n">
        <v>155</v>
      </c>
      <c r="B146" s="8" t="inlineStr">
        <is>
          <t>| 155 |Vemulawada</t>
        </is>
      </c>
      <c r="C146" s="9" t="n">
        <v>240</v>
      </c>
      <c r="D146" s="9" t="n">
        <v>506</v>
      </c>
      <c r="E146" s="9" t="n">
        <v>38</v>
      </c>
      <c r="F146" s="9" t="n">
        <v>12</v>
      </c>
      <c r="G146" s="9" t="n">
        <v>0</v>
      </c>
      <c r="H146" s="9" t="n">
        <v>0</v>
      </c>
      <c r="I146" s="9" t="n">
        <v>4</v>
      </c>
      <c r="J146" s="9" t="n">
        <v>0</v>
      </c>
      <c r="K146" s="9" t="n">
        <v>1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1</v>
      </c>
      <c r="Q146" s="9" t="n">
        <v>4</v>
      </c>
      <c r="R146" s="9" t="n">
        <v>790</v>
      </c>
      <c r="S146" s="9" t="n">
        <v>5</v>
      </c>
      <c r="T146" s="9" t="n">
        <v>0</v>
      </c>
      <c r="U146" s="9" t="n">
        <v>795</v>
      </c>
      <c r="V146" s="10" t="n">
        <v>2396</v>
      </c>
      <c r="W146" s="10" t="n">
        <v>0</v>
      </c>
      <c r="X146" s="10" t="n">
        <v>0</v>
      </c>
      <c r="Y146" s="10" t="n">
        <v>2396</v>
      </c>
      <c r="Z146" s="10" t="n">
        <v>0</v>
      </c>
    </row>
    <row r="147">
      <c r="A147" s="7" t="n">
        <v>156</v>
      </c>
      <c r="B147" s="8" t="inlineStr">
        <is>
          <t>| 156 |Vemulawada</t>
        </is>
      </c>
      <c r="C147" s="9" t="n">
        <v>140</v>
      </c>
      <c r="D147" s="9" t="n">
        <v>457</v>
      </c>
      <c r="E147" s="9" t="n">
        <v>37</v>
      </c>
      <c r="F147" s="9" t="n">
        <v>5</v>
      </c>
      <c r="G147" s="9" t="n">
        <v>4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1</v>
      </c>
      <c r="N147" s="9" t="n">
        <v>0</v>
      </c>
      <c r="O147" s="9" t="n">
        <v>4</v>
      </c>
      <c r="P147" s="9" t="n">
        <v>2</v>
      </c>
      <c r="Q147" s="9" t="n">
        <v>9</v>
      </c>
      <c r="R147" s="9" t="n">
        <v>654</v>
      </c>
      <c r="S147" s="9" t="n">
        <v>7</v>
      </c>
      <c r="T147" s="9" t="n">
        <v>0</v>
      </c>
      <c r="U147" s="9" t="n">
        <v>661</v>
      </c>
      <c r="V147" s="10" t="n">
        <v>1981</v>
      </c>
      <c r="W147" s="10" t="n">
        <v>0</v>
      </c>
      <c r="X147" s="10" t="n">
        <v>0</v>
      </c>
      <c r="Y147" s="10" t="n">
        <v>1981</v>
      </c>
      <c r="Z147" s="10" t="n">
        <v>0</v>
      </c>
    </row>
    <row r="148">
      <c r="A148" s="7" t="n">
        <v>157</v>
      </c>
      <c r="B148" s="8" t="inlineStr">
        <is>
          <t>| 157 |Vemulawada</t>
        </is>
      </c>
      <c r="C148" s="9" t="n">
        <v>128</v>
      </c>
      <c r="D148" s="9" t="n">
        <v>321</v>
      </c>
      <c r="E148" s="9" t="n">
        <v>33</v>
      </c>
      <c r="F148" s="9" t="n">
        <v>4</v>
      </c>
      <c r="G148" s="9" t="n">
        <v>0</v>
      </c>
      <c r="H148" s="9" t="n">
        <v>0</v>
      </c>
      <c r="I148" s="9" t="n">
        <v>4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484</v>
      </c>
      <c r="S148" s="9" t="n">
        <v>5</v>
      </c>
      <c r="T148" s="9" t="n">
        <v>0</v>
      </c>
      <c r="U148" s="9" t="n">
        <v>489</v>
      </c>
      <c r="V148" s="10" t="n">
        <v>1468</v>
      </c>
      <c r="W148" s="10" t="n">
        <v>0</v>
      </c>
      <c r="X148" s="10" t="n">
        <v>0</v>
      </c>
      <c r="Y148" s="10" t="n">
        <v>1468</v>
      </c>
      <c r="Z148" s="10" t="n">
        <v>0</v>
      </c>
    </row>
    <row r="149">
      <c r="A149" s="7" t="n">
        <v>158</v>
      </c>
      <c r="B149" s="8" t="inlineStr">
        <is>
          <t>| 158 |Vemulawada</t>
        </is>
      </c>
      <c r="C149" s="9" t="n">
        <v>260</v>
      </c>
      <c r="D149" s="9" t="n">
        <v>491</v>
      </c>
      <c r="E149" s="9" t="n">
        <v>64</v>
      </c>
      <c r="F149" s="9" t="n">
        <v>17</v>
      </c>
      <c r="G149" s="9" t="n">
        <v>4</v>
      </c>
      <c r="H149" s="9" t="n">
        <v>0</v>
      </c>
      <c r="I149" s="9" t="n">
        <v>4</v>
      </c>
      <c r="J149" s="9" t="n">
        <v>4</v>
      </c>
      <c r="K149" s="9" t="n">
        <v>2</v>
      </c>
      <c r="L149" s="9" t="n">
        <v>2</v>
      </c>
      <c r="M149" s="9" t="n">
        <v>3</v>
      </c>
      <c r="N149" s="9" t="n">
        <v>3</v>
      </c>
      <c r="O149" s="9" t="n">
        <v>0</v>
      </c>
      <c r="P149" s="9" t="n">
        <v>2</v>
      </c>
      <c r="Q149" s="9" t="n">
        <v>15</v>
      </c>
      <c r="R149" s="9" t="n">
        <v>845</v>
      </c>
      <c r="S149" s="9" t="n">
        <v>8</v>
      </c>
      <c r="T149" s="9" t="n">
        <v>0</v>
      </c>
      <c r="U149" s="9" t="n">
        <v>853</v>
      </c>
      <c r="V149" s="10" t="n">
        <v>2577</v>
      </c>
      <c r="W149" s="10" t="n">
        <v>0</v>
      </c>
      <c r="X149" s="10" t="n">
        <v>0</v>
      </c>
      <c r="Y149" s="10" t="n">
        <v>2577</v>
      </c>
      <c r="Z149" s="10" t="n">
        <v>0</v>
      </c>
    </row>
    <row r="150">
      <c r="A150" s="7" t="n">
        <v>159</v>
      </c>
      <c r="B150" s="8" t="inlineStr">
        <is>
          <t>| 159 |Vemulawada</t>
        </is>
      </c>
      <c r="C150" s="9" t="n">
        <v>148</v>
      </c>
      <c r="D150" s="9" t="n">
        <v>493</v>
      </c>
      <c r="E150" s="9" t="n">
        <v>8</v>
      </c>
      <c r="F150" s="9" t="n">
        <v>3</v>
      </c>
      <c r="G150" s="9" t="n">
        <v>0</v>
      </c>
      <c r="H150" s="9" t="n">
        <v>4</v>
      </c>
      <c r="I150" s="9" t="n">
        <v>4</v>
      </c>
      <c r="J150" s="9" t="n">
        <v>1</v>
      </c>
      <c r="K150" s="9" t="n">
        <v>1</v>
      </c>
      <c r="L150" s="9" t="n">
        <v>0</v>
      </c>
      <c r="M150" s="9" t="n">
        <v>0</v>
      </c>
      <c r="N150" s="9" t="n">
        <v>2</v>
      </c>
      <c r="O150" s="9" t="n">
        <v>2</v>
      </c>
      <c r="P150" s="9" t="n">
        <v>1</v>
      </c>
      <c r="Q150" s="9" t="n">
        <v>4</v>
      </c>
      <c r="R150" s="9" t="n">
        <v>700</v>
      </c>
      <c r="S150" s="9" t="n">
        <v>7</v>
      </c>
      <c r="T150" s="9" t="n">
        <v>0</v>
      </c>
      <c r="U150" s="9" t="n">
        <v>707</v>
      </c>
      <c r="V150" s="10" t="n">
        <v>2085</v>
      </c>
      <c r="W150" s="10" t="n">
        <v>0</v>
      </c>
      <c r="X150" s="10" t="n">
        <v>0</v>
      </c>
      <c r="Y150" s="10" t="n">
        <v>2085</v>
      </c>
      <c r="Z150" s="10" t="n">
        <v>0</v>
      </c>
    </row>
    <row r="151">
      <c r="A151" s="7" t="n">
        <v>160</v>
      </c>
      <c r="B151" s="8" t="inlineStr">
        <is>
          <t>| 160 |Vemulawada</t>
        </is>
      </c>
      <c r="C151" s="9" t="n">
        <v>235</v>
      </c>
      <c r="D151" s="9" t="n">
        <v>473</v>
      </c>
      <c r="E151" s="9" t="n">
        <v>7</v>
      </c>
      <c r="F151" s="9" t="n">
        <v>4</v>
      </c>
      <c r="G151" s="9" t="n">
        <v>2</v>
      </c>
      <c r="H151" s="9" t="n">
        <v>0</v>
      </c>
      <c r="I151" s="9" t="n">
        <v>2</v>
      </c>
      <c r="J151" s="9" t="n">
        <v>1</v>
      </c>
      <c r="K151" s="9" t="n">
        <v>2</v>
      </c>
      <c r="L151" s="9" t="n">
        <v>0</v>
      </c>
      <c r="M151" s="9" t="n">
        <v>1</v>
      </c>
      <c r="N151" s="9" t="n">
        <v>3</v>
      </c>
      <c r="O151" s="9" t="n">
        <v>4</v>
      </c>
      <c r="P151" s="9" t="n">
        <v>3</v>
      </c>
      <c r="Q151" s="9" t="n">
        <v>4</v>
      </c>
      <c r="R151" s="9" t="n">
        <v>810</v>
      </c>
      <c r="S151" s="9" t="n">
        <v>8</v>
      </c>
      <c r="T151" s="9" t="n">
        <v>0</v>
      </c>
      <c r="U151" s="9" t="n">
        <v>818</v>
      </c>
      <c r="V151" s="10" t="n">
        <v>2377</v>
      </c>
      <c r="W151" s="10" t="n">
        <v>0</v>
      </c>
      <c r="X151" s="10" t="n">
        <v>0</v>
      </c>
      <c r="Y151" s="10" t="n">
        <v>2377</v>
      </c>
      <c r="Z151" s="10" t="n">
        <v>0</v>
      </c>
    </row>
    <row r="152">
      <c r="A152" s="7" t="n">
        <v>161</v>
      </c>
      <c r="B152" s="8" t="inlineStr">
        <is>
          <t>| 161 |Vemulawada</t>
        </is>
      </c>
      <c r="C152" s="9" t="n">
        <v>0</v>
      </c>
      <c r="D152" s="9" t="n">
        <v>316</v>
      </c>
      <c r="E152" s="9" t="n">
        <v>2</v>
      </c>
      <c r="F152" s="9" t="n">
        <v>4</v>
      </c>
      <c r="G152" s="9" t="n">
        <v>4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1</v>
      </c>
      <c r="N152" s="9" t="n">
        <v>0</v>
      </c>
      <c r="O152" s="9" t="n">
        <v>0</v>
      </c>
      <c r="P152" s="9" t="n">
        <v>0</v>
      </c>
      <c r="Q152" s="9" t="n">
        <v>4</v>
      </c>
      <c r="R152" s="9" t="n">
        <v>642</v>
      </c>
      <c r="S152" s="9" t="n">
        <v>9</v>
      </c>
      <c r="T152" s="9" t="n">
        <v>0</v>
      </c>
      <c r="U152" s="9" t="n">
        <v>651</v>
      </c>
      <c r="V152" s="10" t="n">
        <v>1633</v>
      </c>
      <c r="W152" s="10" t="n">
        <v>0</v>
      </c>
      <c r="X152" s="10" t="n">
        <v>0</v>
      </c>
      <c r="Y152" s="10" t="n">
        <v>1633</v>
      </c>
      <c r="Z152" s="10" t="n">
        <v>0</v>
      </c>
    </row>
    <row r="153">
      <c r="A153" s="7" t="n">
        <v>162</v>
      </c>
      <c r="B153" s="8" t="inlineStr">
        <is>
          <t>| 162 |Vemulawada</t>
        </is>
      </c>
      <c r="C153" s="9" t="n">
        <v>257</v>
      </c>
      <c r="D153" s="9" t="n">
        <v>546</v>
      </c>
      <c r="E153" s="9" t="n">
        <v>106</v>
      </c>
      <c r="F153" s="9" t="n">
        <v>2</v>
      </c>
      <c r="G153" s="9" t="n">
        <v>4</v>
      </c>
      <c r="H153" s="9" t="n">
        <v>12</v>
      </c>
      <c r="I153" s="9" t="n">
        <v>0</v>
      </c>
      <c r="J153" s="9" t="n">
        <v>0</v>
      </c>
      <c r="K153" s="9" t="n">
        <v>4</v>
      </c>
      <c r="L153" s="9" t="n">
        <v>1</v>
      </c>
      <c r="M153" s="9" t="n">
        <v>1</v>
      </c>
      <c r="N153" s="9" t="n">
        <v>4</v>
      </c>
      <c r="O153" s="9" t="n">
        <v>4</v>
      </c>
      <c r="P153" s="9" t="n">
        <v>1</v>
      </c>
      <c r="Q153" s="9" t="n">
        <v>12</v>
      </c>
      <c r="R153" s="9" t="n">
        <v>926</v>
      </c>
      <c r="S153" s="9" t="n">
        <v>6</v>
      </c>
      <c r="T153" s="9" t="n">
        <v>0</v>
      </c>
      <c r="U153" s="9" t="n">
        <v>932</v>
      </c>
      <c r="V153" s="10" t="n">
        <v>2818</v>
      </c>
      <c r="W153" s="10" t="n">
        <v>0</v>
      </c>
      <c r="X153" s="10" t="n">
        <v>0</v>
      </c>
      <c r="Y153" s="10" t="n">
        <v>2818</v>
      </c>
      <c r="Z153" s="10" t="n">
        <v>0</v>
      </c>
    </row>
    <row r="154">
      <c r="A154" s="7" t="n">
        <v>163</v>
      </c>
      <c r="B154" s="8" t="inlineStr">
        <is>
          <t>| 163 |Vemulawada</t>
        </is>
      </c>
      <c r="C154" s="9" t="n">
        <v>21</v>
      </c>
      <c r="D154" s="9" t="n">
        <v>676</v>
      </c>
      <c r="E154" s="9" t="n">
        <v>33</v>
      </c>
      <c r="F154" s="9" t="n">
        <v>6</v>
      </c>
      <c r="G154" s="9" t="n">
        <v>13</v>
      </c>
      <c r="H154" s="9" t="n">
        <v>4</v>
      </c>
      <c r="I154" s="9" t="n">
        <v>2</v>
      </c>
      <c r="J154" s="9" t="n">
        <v>1</v>
      </c>
      <c r="K154" s="9" t="n">
        <v>2</v>
      </c>
      <c r="L154" s="9" t="n">
        <v>0</v>
      </c>
      <c r="M154" s="9" t="n">
        <v>2</v>
      </c>
      <c r="N154" s="9" t="n">
        <v>4</v>
      </c>
      <c r="O154" s="9" t="n">
        <v>0</v>
      </c>
      <c r="P154" s="9" t="n">
        <v>4</v>
      </c>
      <c r="Q154" s="9" t="n">
        <v>6</v>
      </c>
      <c r="R154" s="9" t="n">
        <v>1011</v>
      </c>
      <c r="S154" s="9" t="n">
        <v>8</v>
      </c>
      <c r="T154" s="9" t="n">
        <v>0</v>
      </c>
      <c r="U154" s="9" t="n">
        <v>1019</v>
      </c>
      <c r="V154" s="10" t="n">
        <v>2812</v>
      </c>
      <c r="W154" s="10" t="n">
        <v>0</v>
      </c>
      <c r="X154" s="10" t="n">
        <v>0</v>
      </c>
      <c r="Y154" s="10" t="n">
        <v>2812</v>
      </c>
      <c r="Z154" s="10" t="n">
        <v>0</v>
      </c>
    </row>
    <row r="155">
      <c r="A155" s="7" t="n">
        <v>164</v>
      </c>
      <c r="B155" s="8" t="inlineStr">
        <is>
          <t>| 164 |Vemulawada</t>
        </is>
      </c>
      <c r="C155" s="9" t="n">
        <v>136</v>
      </c>
      <c r="D155" s="9" t="n">
        <v>267</v>
      </c>
      <c r="E155" s="9" t="n">
        <v>22</v>
      </c>
      <c r="F155" s="9" t="n">
        <v>4</v>
      </c>
      <c r="G155" s="9" t="n">
        <v>12</v>
      </c>
      <c r="H155" s="9" t="n">
        <v>15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1</v>
      </c>
      <c r="Q155" s="9" t="n">
        <v>12</v>
      </c>
      <c r="R155" s="9" t="n">
        <v>436</v>
      </c>
      <c r="S155" s="9" t="n">
        <v>13</v>
      </c>
      <c r="T155" s="9" t="n">
        <v>0</v>
      </c>
      <c r="U155" s="9" t="n">
        <v>439</v>
      </c>
      <c r="V155" s="10" t="n">
        <v>1357</v>
      </c>
      <c r="W155" s="10" t="n">
        <v>0</v>
      </c>
      <c r="X155" s="10" t="n">
        <v>0</v>
      </c>
      <c r="Y155" s="10" t="n">
        <v>1357</v>
      </c>
      <c r="Z155" s="10" t="n">
        <v>0</v>
      </c>
    </row>
    <row r="156">
      <c r="A156" s="7" t="n">
        <v>165</v>
      </c>
      <c r="B156" s="8" t="inlineStr">
        <is>
          <t>| 165 |Vemulawada</t>
        </is>
      </c>
      <c r="C156" s="9" t="n">
        <v>218</v>
      </c>
      <c r="D156" s="9" t="n">
        <v>564</v>
      </c>
      <c r="E156" s="9" t="n">
        <v>43</v>
      </c>
      <c r="F156" s="9" t="n">
        <v>3</v>
      </c>
      <c r="G156" s="9" t="n">
        <v>4</v>
      </c>
      <c r="H156" s="9" t="n">
        <v>4</v>
      </c>
      <c r="I156" s="9" t="n">
        <v>0</v>
      </c>
      <c r="J156" s="9" t="n">
        <v>2</v>
      </c>
      <c r="K156" s="9" t="n">
        <v>0</v>
      </c>
      <c r="L156" s="9" t="n">
        <v>0</v>
      </c>
      <c r="M156" s="9" t="n">
        <v>2</v>
      </c>
      <c r="N156" s="9" t="n">
        <v>0</v>
      </c>
      <c r="O156" s="9" t="n">
        <v>4</v>
      </c>
      <c r="P156" s="9" t="n">
        <v>1</v>
      </c>
      <c r="Q156" s="9" t="n">
        <v>0</v>
      </c>
      <c r="R156" s="9" t="n">
        <v>836</v>
      </c>
      <c r="S156" s="9" t="n">
        <v>6</v>
      </c>
      <c r="T156" s="9" t="n">
        <v>0</v>
      </c>
      <c r="U156" s="9" t="n">
        <v>842</v>
      </c>
      <c r="V156" s="10" t="n">
        <v>2529</v>
      </c>
      <c r="W156" s="10" t="n">
        <v>0</v>
      </c>
      <c r="X156" s="10" t="n">
        <v>0</v>
      </c>
      <c r="Y156" s="10" t="n">
        <v>2529</v>
      </c>
      <c r="Z156" s="10" t="n">
        <v>0</v>
      </c>
    </row>
    <row r="157">
      <c r="A157" s="7" t="n">
        <v>166</v>
      </c>
      <c r="B157" s="8" t="inlineStr">
        <is>
          <t>| 166 |Vemulawada</t>
        </is>
      </c>
      <c r="C157" s="9" t="n">
        <v>235</v>
      </c>
      <c r="D157" s="9" t="n">
        <v>423</v>
      </c>
      <c r="E157" s="9" t="n">
        <v>29</v>
      </c>
      <c r="F157" s="9" t="n">
        <v>4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4</v>
      </c>
      <c r="N157" s="9" t="n">
        <v>0</v>
      </c>
      <c r="O157" s="9" t="n">
        <v>12</v>
      </c>
      <c r="P157" s="9" t="n">
        <v>0</v>
      </c>
      <c r="Q157" s="9" t="n">
        <v>0</v>
      </c>
      <c r="R157" s="9" t="n">
        <v>691</v>
      </c>
      <c r="S157" s="9" t="n">
        <v>12</v>
      </c>
      <c r="T157" s="9" t="n">
        <v>0</v>
      </c>
      <c r="U157" s="9" t="n">
        <v>693</v>
      </c>
      <c r="V157" s="10" t="n">
        <v>2103</v>
      </c>
      <c r="W157" s="10" t="n">
        <v>0</v>
      </c>
      <c r="X157" s="10" t="n">
        <v>0</v>
      </c>
      <c r="Y157" s="10" t="n">
        <v>2103</v>
      </c>
      <c r="Z157" s="10" t="n">
        <v>0</v>
      </c>
    </row>
    <row r="158">
      <c r="A158" s="7" t="n">
        <v>167</v>
      </c>
      <c r="B158" s="8" t="inlineStr">
        <is>
          <t>| 167 |Vemulawada</t>
        </is>
      </c>
      <c r="C158" s="9" t="n">
        <v>146</v>
      </c>
      <c r="D158" s="9" t="n">
        <v>452</v>
      </c>
      <c r="E158" s="9" t="n">
        <v>27</v>
      </c>
      <c r="F158" s="9" t="n">
        <v>5</v>
      </c>
      <c r="G158" s="9" t="n">
        <v>4</v>
      </c>
      <c r="H158" s="9" t="n">
        <v>0</v>
      </c>
      <c r="I158" s="9" t="n">
        <v>4</v>
      </c>
      <c r="J158" s="9" t="n">
        <v>1</v>
      </c>
      <c r="K158" s="9" t="n">
        <v>0</v>
      </c>
      <c r="L158" s="9" t="n">
        <v>0</v>
      </c>
      <c r="M158" s="9" t="n">
        <v>0</v>
      </c>
      <c r="N158" s="9" t="n">
        <v>4</v>
      </c>
      <c r="O158" s="9" t="n">
        <v>4</v>
      </c>
      <c r="P158" s="9" t="n">
        <v>1</v>
      </c>
      <c r="Q158" s="9" t="n">
        <v>2</v>
      </c>
      <c r="R158" s="9" t="n">
        <v>638</v>
      </c>
      <c r="S158" s="9" t="n">
        <v>4</v>
      </c>
      <c r="T158" s="9" t="n">
        <v>0</v>
      </c>
      <c r="U158" s="9" t="n">
        <v>642</v>
      </c>
      <c r="V158" s="10" t="n">
        <v>1934</v>
      </c>
      <c r="W158" s="10" t="n">
        <v>0</v>
      </c>
      <c r="X158" s="10" t="n">
        <v>0</v>
      </c>
      <c r="Y158" s="10" t="n">
        <v>1934</v>
      </c>
      <c r="Z158" s="10" t="n">
        <v>0</v>
      </c>
    </row>
    <row r="159">
      <c r="A159" s="7" t="n">
        <v>168</v>
      </c>
      <c r="B159" s="8" t="inlineStr">
        <is>
          <t>| 168 |Vemulawada</t>
        </is>
      </c>
      <c r="C159" s="9" t="n">
        <v>239</v>
      </c>
      <c r="D159" s="9" t="n">
        <v>441</v>
      </c>
      <c r="E159" s="9" t="n">
        <v>6</v>
      </c>
      <c r="F159" s="9" t="n">
        <v>12</v>
      </c>
      <c r="G159" s="9" t="n">
        <v>0</v>
      </c>
      <c r="H159" s="9" t="n">
        <v>0</v>
      </c>
      <c r="I159" s="9" t="n">
        <v>12</v>
      </c>
      <c r="J159" s="9" t="n">
        <v>0</v>
      </c>
      <c r="K159" s="9" t="n">
        <v>4</v>
      </c>
      <c r="L159" s="9" t="n">
        <v>2</v>
      </c>
      <c r="M159" s="9" t="n">
        <v>0</v>
      </c>
      <c r="N159" s="9" t="n">
        <v>4</v>
      </c>
      <c r="O159" s="9" t="n">
        <v>0</v>
      </c>
      <c r="P159" s="9" t="n">
        <v>3</v>
      </c>
      <c r="Q159" s="9" t="n">
        <v>14</v>
      </c>
      <c r="R159" s="9" t="n">
        <v>698</v>
      </c>
      <c r="S159" s="9" t="n">
        <v>7</v>
      </c>
      <c r="T159" s="9" t="n">
        <v>0</v>
      </c>
      <c r="U159" s="9" t="n">
        <v>705</v>
      </c>
      <c r="V159" s="10" t="n">
        <v>2147</v>
      </c>
      <c r="W159" s="10" t="n">
        <v>0</v>
      </c>
      <c r="X159" s="10" t="n">
        <v>0</v>
      </c>
      <c r="Y159" s="10" t="n">
        <v>2147</v>
      </c>
      <c r="Z159" s="10" t="n">
        <v>0</v>
      </c>
    </row>
    <row r="160">
      <c r="A160" s="7" t="n">
        <v>169</v>
      </c>
      <c r="B160" s="8" t="inlineStr">
        <is>
          <t>| 169 |Vemulawada</t>
        </is>
      </c>
      <c r="C160" s="9" t="n">
        <v>180</v>
      </c>
      <c r="D160" s="9" t="n">
        <v>254</v>
      </c>
      <c r="E160" s="9" t="n">
        <v>22</v>
      </c>
      <c r="F160" s="9" t="n">
        <v>4</v>
      </c>
      <c r="G160" s="9" t="n">
        <v>0</v>
      </c>
      <c r="H160" s="9" t="n">
        <v>0</v>
      </c>
      <c r="I160" s="9" t="n">
        <v>0</v>
      </c>
      <c r="J160" s="9" t="n">
        <v>4</v>
      </c>
      <c r="K160" s="9" t="n">
        <v>0</v>
      </c>
      <c r="L160" s="9" t="n">
        <v>1</v>
      </c>
      <c r="M160" s="9" t="n">
        <v>0</v>
      </c>
      <c r="N160" s="9" t="n">
        <v>4</v>
      </c>
      <c r="O160" s="9" t="n">
        <v>0</v>
      </c>
      <c r="P160" s="9" t="n">
        <v>0</v>
      </c>
      <c r="Q160" s="9" t="n">
        <v>13</v>
      </c>
      <c r="R160" s="9" t="n">
        <v>463</v>
      </c>
      <c r="S160" s="9" t="n">
        <v>0</v>
      </c>
      <c r="T160" s="9" t="n">
        <v>0</v>
      </c>
      <c r="U160" s="9" t="n">
        <v>463</v>
      </c>
      <c r="V160" s="10" t="n">
        <v>1408</v>
      </c>
      <c r="W160" s="10" t="n">
        <v>0</v>
      </c>
      <c r="X160" s="10" t="n">
        <v>0</v>
      </c>
      <c r="Y160" s="10" t="n">
        <v>1408</v>
      </c>
      <c r="Z160" s="10" t="n">
        <v>0</v>
      </c>
    </row>
    <row r="161">
      <c r="A161" s="7" t="n">
        <v>170</v>
      </c>
      <c r="B161" s="8" t="inlineStr">
        <is>
          <t>|Vemulawada</t>
        </is>
      </c>
      <c r="C161" s="9" t="n">
        <v>224</v>
      </c>
      <c r="D161" s="9" t="n">
        <v>434</v>
      </c>
      <c r="E161" s="9" t="n">
        <v>38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3</v>
      </c>
      <c r="Q161" s="9" t="n">
        <v>0</v>
      </c>
      <c r="R161" s="9" t="n">
        <v>699</v>
      </c>
      <c r="S161" s="9" t="n">
        <v>6</v>
      </c>
      <c r="T161" s="9" t="n">
        <v>0</v>
      </c>
      <c r="U161" s="9" t="n">
        <v>705</v>
      </c>
      <c r="V161" s="10" t="n">
        <v>2109</v>
      </c>
      <c r="W161" s="10" t="n">
        <v>0</v>
      </c>
      <c r="X161" s="10" t="n">
        <v>0</v>
      </c>
      <c r="Y161" s="10" t="n">
        <v>2109</v>
      </c>
      <c r="Z161" s="10" t="n">
        <v>0</v>
      </c>
    </row>
    <row r="162">
      <c r="A162" s="7" t="n">
        <v>171</v>
      </c>
      <c r="B162" s="8" t="inlineStr">
        <is>
          <t>+=|Vemulawada</t>
        </is>
      </c>
      <c r="C162" s="9" t="n">
        <v>172</v>
      </c>
      <c r="D162" s="9" t="n">
        <v>490</v>
      </c>
      <c r="E162" s="9" t="n">
        <v>32</v>
      </c>
      <c r="F162" s="9" t="n">
        <v>0</v>
      </c>
      <c r="G162" s="9" t="n">
        <v>2</v>
      </c>
      <c r="H162" s="9" t="n">
        <v>0</v>
      </c>
      <c r="I162" s="9" t="n">
        <v>2</v>
      </c>
      <c r="J162" s="9" t="n">
        <v>0</v>
      </c>
      <c r="K162" s="9" t="n">
        <v>1</v>
      </c>
      <c r="L162" s="9" t="n">
        <v>1</v>
      </c>
      <c r="M162" s="9" t="n">
        <v>0</v>
      </c>
      <c r="N162" s="9" t="n">
        <v>2</v>
      </c>
      <c r="O162" s="9" t="n">
        <v>1</v>
      </c>
      <c r="P162" s="9" t="n">
        <v>1</v>
      </c>
      <c r="Q162" s="9" t="n">
        <v>3</v>
      </c>
      <c r="R162" s="9" t="n">
        <v>718</v>
      </c>
      <c r="S162" s="9" t="n">
        <v>4</v>
      </c>
      <c r="T162" s="9" t="n">
        <v>0</v>
      </c>
      <c r="U162" s="9" t="n">
        <v>722</v>
      </c>
      <c r="V162" s="10" t="n">
        <v>2151</v>
      </c>
      <c r="W162" s="10" t="n">
        <v>0</v>
      </c>
      <c r="X162" s="10" t="n">
        <v>0</v>
      </c>
      <c r="Y162" s="10" t="n">
        <v>2151</v>
      </c>
      <c r="Z162" s="10" t="n">
        <v>0</v>
      </c>
    </row>
    <row r="163">
      <c r="A163" s="7" t="n">
        <v>172</v>
      </c>
      <c r="B163" s="8" t="inlineStr">
        <is>
          <t>Polling Station 172</t>
        </is>
      </c>
      <c r="C163" s="9" t="n">
        <v>3</v>
      </c>
      <c r="D163" s="9" t="n">
        <v>4</v>
      </c>
      <c r="E163" s="9" t="n">
        <v>5</v>
      </c>
      <c r="F163" s="9" t="n">
        <v>6</v>
      </c>
      <c r="G163" s="9" t="n">
        <v>7</v>
      </c>
      <c r="H163" s="9" t="n">
        <v>8</v>
      </c>
      <c r="I163" s="9" t="n">
        <v>9</v>
      </c>
      <c r="J163" s="9" t="n">
        <v>10</v>
      </c>
      <c r="K163" s="9" t="n">
        <v>0</v>
      </c>
      <c r="L163" s="9" t="n">
        <v>2</v>
      </c>
      <c r="M163" s="9" t="n">
        <v>13</v>
      </c>
      <c r="N163" s="9" t="n">
        <v>4</v>
      </c>
      <c r="O163" s="9" t="n">
        <v>15</v>
      </c>
      <c r="P163" s="9" t="n">
        <v>16</v>
      </c>
      <c r="Q163" s="9" t="n">
        <v>7</v>
      </c>
      <c r="R163" s="9" t="n">
        <v>18</v>
      </c>
      <c r="S163" s="9" t="n">
        <v>19</v>
      </c>
      <c r="T163" s="9" t="n">
        <v>0</v>
      </c>
      <c r="U163" s="9" t="n">
        <v>2</v>
      </c>
      <c r="V163" s="10" t="n">
        <v>148</v>
      </c>
      <c r="W163" s="10" t="n">
        <v>0</v>
      </c>
      <c r="X163" s="10" t="n">
        <v>0</v>
      </c>
      <c r="Y163" s="10" t="n">
        <v>148</v>
      </c>
      <c r="Z163" s="10" t="n">
        <v>0</v>
      </c>
    </row>
    <row r="164">
      <c r="A164" s="7" t="n">
        <v>173</v>
      </c>
      <c r="B164" s="8" t="inlineStr">
        <is>
          <t>|Hanmakkapalli H/o
173 |Wemulawada</t>
        </is>
      </c>
      <c r="C164" s="9" t="n">
        <v>82</v>
      </c>
      <c r="D164" s="9" t="n">
        <v>87</v>
      </c>
      <c r="E164" s="9" t="n">
        <v>2</v>
      </c>
      <c r="F164" s="9" t="n">
        <v>8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1</v>
      </c>
      <c r="O164" s="9" t="n">
        <v>0</v>
      </c>
      <c r="P164" s="9" t="n">
        <v>1</v>
      </c>
      <c r="Q164" s="9" t="n">
        <v>1</v>
      </c>
      <c r="R164" s="9" t="n">
        <v>182</v>
      </c>
      <c r="S164" s="9" t="n">
        <v>0</v>
      </c>
      <c r="T164" s="9" t="n">
        <v>0</v>
      </c>
      <c r="U164" s="9" t="n">
        <v>182</v>
      </c>
      <c r="V164" s="10" t="n">
        <v>546</v>
      </c>
      <c r="W164" s="10" t="n">
        <v>0</v>
      </c>
      <c r="X164" s="10" t="n">
        <v>0</v>
      </c>
      <c r="Y164" s="10" t="n">
        <v>546</v>
      </c>
      <c r="Z164" s="10" t="n">
        <v>0</v>
      </c>
    </row>
    <row r="165">
      <c r="A165" s="7" t="n">
        <v>174</v>
      </c>
      <c r="B165" s="8" t="inlineStr">
        <is>
          <t>+|Lingampalli</t>
        </is>
      </c>
      <c r="C165" s="9" t="n">
        <v>4</v>
      </c>
      <c r="D165" s="9" t="n">
        <v>401</v>
      </c>
      <c r="E165" s="9" t="n">
        <v>0</v>
      </c>
      <c r="F165" s="9" t="n">
        <v>8</v>
      </c>
      <c r="G165" s="9" t="n">
        <v>0</v>
      </c>
      <c r="H165" s="9" t="n">
        <v>2</v>
      </c>
      <c r="I165" s="9" t="n">
        <v>0</v>
      </c>
      <c r="J165" s="9" t="n">
        <v>3</v>
      </c>
      <c r="K165" s="9" t="n">
        <v>2</v>
      </c>
      <c r="L165" s="9" t="n">
        <v>0</v>
      </c>
      <c r="M165" s="9" t="n">
        <v>0</v>
      </c>
      <c r="N165" s="9" t="n">
        <v>1</v>
      </c>
      <c r="O165" s="9" t="n">
        <v>2</v>
      </c>
      <c r="P165" s="9" t="n">
        <v>2</v>
      </c>
      <c r="Q165" s="9" t="n">
        <v>5</v>
      </c>
      <c r="R165" s="9" t="n">
        <v>890</v>
      </c>
      <c r="S165" s="9" t="n">
        <v>7</v>
      </c>
      <c r="T165" s="9" t="n">
        <v>0</v>
      </c>
      <c r="U165" s="9" t="n">
        <v>897</v>
      </c>
      <c r="V165" s="10" t="n">
        <v>2224</v>
      </c>
      <c r="W165" s="10" t="n">
        <v>0</v>
      </c>
      <c r="X165" s="10" t="n">
        <v>0</v>
      </c>
      <c r="Y165" s="10" t="n">
        <v>2224</v>
      </c>
      <c r="Z165" s="10" t="n">
        <v>0</v>
      </c>
    </row>
    <row r="166">
      <c r="A166" s="7" t="n">
        <v>175</v>
      </c>
      <c r="B166" s="8" t="inlineStr">
        <is>
          <t>«|Jayavaram</t>
        </is>
      </c>
      <c r="C166" s="9" t="n">
        <v>8</v>
      </c>
      <c r="D166" s="9" t="n">
        <v>261</v>
      </c>
      <c r="E166" s="9" t="n">
        <v>6</v>
      </c>
      <c r="F166" s="9" t="n">
        <v>2</v>
      </c>
      <c r="G166" s="9" t="n">
        <v>1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2</v>
      </c>
      <c r="M166" s="9" t="n">
        <v>0</v>
      </c>
      <c r="N166" s="9" t="n">
        <v>3</v>
      </c>
      <c r="O166" s="9" t="n">
        <v>2</v>
      </c>
      <c r="P166" s="9" t="n">
        <v>3</v>
      </c>
      <c r="Q166" s="9" t="n">
        <v>0</v>
      </c>
      <c r="R166" s="9" t="n">
        <v>8</v>
      </c>
      <c r="S166" s="9" t="n">
        <v>5</v>
      </c>
      <c r="T166" s="9" t="n">
        <v>0</v>
      </c>
      <c r="U166" s="9" t="n">
        <v>363</v>
      </c>
      <c r="V166" s="10" t="n">
        <v>664</v>
      </c>
      <c r="W166" s="10" t="n">
        <v>0</v>
      </c>
      <c r="X166" s="10" t="n">
        <v>0</v>
      </c>
      <c r="Y166" s="10" t="n">
        <v>664</v>
      </c>
      <c r="Z166" s="10" t="n">
        <v>0</v>
      </c>
    </row>
    <row r="167">
      <c r="A167" s="7" t="n">
        <v>176</v>
      </c>
      <c r="B167" s="8" t="inlineStr">
        <is>
          <t>«|Thippapur</t>
        </is>
      </c>
      <c r="C167" s="9" t="n">
        <v>377</v>
      </c>
      <c r="D167" s="9" t="n">
        <v>474</v>
      </c>
      <c r="E167" s="9" t="n">
        <v>47</v>
      </c>
      <c r="F167" s="9" t="n">
        <v>4</v>
      </c>
      <c r="G167" s="9" t="n">
        <v>0</v>
      </c>
      <c r="H167" s="9" t="n">
        <v>1</v>
      </c>
      <c r="I167" s="9" t="n">
        <v>2</v>
      </c>
      <c r="J167" s="9" t="n">
        <v>0</v>
      </c>
      <c r="K167" s="9" t="n">
        <v>2</v>
      </c>
      <c r="L167" s="9" t="n">
        <v>1</v>
      </c>
      <c r="M167" s="9" t="n">
        <v>0</v>
      </c>
      <c r="N167" s="9" t="n">
        <v>0</v>
      </c>
      <c r="O167" s="9" t="n">
        <v>2</v>
      </c>
      <c r="P167" s="9" t="n">
        <v>1</v>
      </c>
      <c r="Q167" s="9" t="n">
        <v>4</v>
      </c>
      <c r="R167" s="9" t="n">
        <v>927</v>
      </c>
      <c r="S167" s="9" t="n">
        <v>6</v>
      </c>
      <c r="T167" s="9" t="n">
        <v>0</v>
      </c>
      <c r="U167" s="9" t="n">
        <v>9</v>
      </c>
      <c r="V167" s="10" t="n">
        <v>1857</v>
      </c>
      <c r="W167" s="10" t="n">
        <v>0</v>
      </c>
      <c r="X167" s="10" t="n">
        <v>0</v>
      </c>
      <c r="Y167" s="10" t="n">
        <v>1857</v>
      </c>
      <c r="Z167" s="10" t="n">
        <v>0</v>
      </c>
    </row>
    <row r="168">
      <c r="A168" s="7" t="n">
        <v>177</v>
      </c>
      <c r="B168" s="8" t="inlineStr">
        <is>
          <t>«+|Thippapur</t>
        </is>
      </c>
      <c r="C168" s="9" t="n">
        <v>408</v>
      </c>
      <c r="D168" s="9" t="n">
        <v>430</v>
      </c>
      <c r="E168" s="9" t="n">
        <v>37</v>
      </c>
      <c r="F168" s="9" t="n">
        <v>1</v>
      </c>
      <c r="G168" s="9" t="n">
        <v>2</v>
      </c>
      <c r="H168" s="9" t="n">
        <v>1</v>
      </c>
      <c r="I168" s="9" t="n">
        <v>2</v>
      </c>
      <c r="J168" s="9" t="n">
        <v>1</v>
      </c>
      <c r="K168" s="9" t="n">
        <v>1</v>
      </c>
      <c r="L168" s="9" t="n">
        <v>1</v>
      </c>
      <c r="M168" s="9" t="n">
        <v>1</v>
      </c>
      <c r="N168" s="9" t="n">
        <v>2</v>
      </c>
      <c r="O168" s="9" t="n">
        <v>2</v>
      </c>
      <c r="P168" s="9" t="n">
        <v>2</v>
      </c>
      <c r="Q168" s="9" t="n">
        <v>5</v>
      </c>
      <c r="R168" s="9" t="n">
        <v>906</v>
      </c>
      <c r="S168" s="9" t="n">
        <v>8</v>
      </c>
      <c r="T168" s="9" t="n">
        <v>0</v>
      </c>
      <c r="U168" s="9" t="n">
        <v>14</v>
      </c>
      <c r="V168" s="10" t="n">
        <v>1824</v>
      </c>
      <c r="W168" s="10" t="n">
        <v>0</v>
      </c>
      <c r="X168" s="10" t="n">
        <v>0</v>
      </c>
      <c r="Y168" s="10" t="n">
        <v>1824</v>
      </c>
      <c r="Z168" s="10" t="n">
        <v>0</v>
      </c>
    </row>
    <row r="169">
      <c r="A169" s="7" t="n">
        <v>178</v>
      </c>
      <c r="B169" s="8">
        <f>|Marupaka</f>
        <v/>
      </c>
      <c r="C169" s="9" t="n">
        <v>207</v>
      </c>
      <c r="D169" s="9" t="n">
        <v>487</v>
      </c>
      <c r="E169" s="9" t="n">
        <v>16</v>
      </c>
      <c r="F169" s="9" t="n">
        <v>8</v>
      </c>
      <c r="G169" s="9" t="n">
        <v>2</v>
      </c>
      <c r="H169" s="9" t="n">
        <v>2</v>
      </c>
      <c r="I169" s="9" t="n">
        <v>2</v>
      </c>
      <c r="J169" s="9" t="n">
        <v>3</v>
      </c>
      <c r="K169" s="9" t="n">
        <v>2</v>
      </c>
      <c r="L169" s="9" t="n">
        <v>2</v>
      </c>
      <c r="M169" s="9" t="n">
        <v>2</v>
      </c>
      <c r="N169" s="9" t="n">
        <v>6</v>
      </c>
      <c r="O169" s="9" t="n">
        <v>0</v>
      </c>
      <c r="P169" s="9" t="n">
        <v>7</v>
      </c>
      <c r="Q169" s="9" t="n">
        <v>8</v>
      </c>
      <c r="R169" s="9" t="n">
        <v>761</v>
      </c>
      <c r="S169" s="9" t="n">
        <v>9</v>
      </c>
      <c r="T169" s="9" t="n">
        <v>0</v>
      </c>
      <c r="U169" s="9" t="n">
        <v>770</v>
      </c>
      <c r="V169" s="10" t="n">
        <v>2294</v>
      </c>
      <c r="W169" s="10" t="n">
        <v>0</v>
      </c>
      <c r="X169" s="10" t="n">
        <v>0</v>
      </c>
      <c r="Y169" s="10" t="n">
        <v>2294</v>
      </c>
      <c r="Z169" s="10" t="n">
        <v>0</v>
      </c>
    </row>
    <row r="170">
      <c r="A170" s="7" t="n">
        <v>179</v>
      </c>
      <c r="B170" s="8" t="inlineStr">
        <is>
          <t>R&amp;R
179 | Gurramvanipalli</t>
        </is>
      </c>
      <c r="C170" s="9" t="n">
        <v>7</v>
      </c>
      <c r="D170" s="9" t="n">
        <v>120</v>
      </c>
      <c r="E170" s="9" t="n">
        <v>7</v>
      </c>
      <c r="F170" s="9" t="n">
        <v>1</v>
      </c>
      <c r="G170" s="9" t="n">
        <v>0</v>
      </c>
      <c r="H170" s="9" t="n">
        <v>1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2</v>
      </c>
      <c r="N170" s="9" t="n">
        <v>0</v>
      </c>
      <c r="O170" s="9" t="n">
        <v>0</v>
      </c>
      <c r="P170" s="9" t="n">
        <v>1</v>
      </c>
      <c r="Q170" s="9" t="n">
        <v>0</v>
      </c>
      <c r="R170" s="9" t="n">
        <v>206</v>
      </c>
      <c r="S170" s="9" t="n">
        <v>2</v>
      </c>
      <c r="T170" s="9" t="n">
        <v>0</v>
      </c>
      <c r="U170" s="9" t="n">
        <v>208</v>
      </c>
      <c r="V170" s="10" t="n">
        <v>555</v>
      </c>
      <c r="W170" s="10" t="n">
        <v>0</v>
      </c>
      <c r="X170" s="10" t="n">
        <v>0</v>
      </c>
      <c r="Y170" s="10" t="n">
        <v>555</v>
      </c>
      <c r="Z170" s="10" t="n">
        <v>0</v>
      </c>
    </row>
    <row r="171">
      <c r="A171" s="7" t="n">
        <v>180</v>
      </c>
      <c r="B171" s="8" t="inlineStr">
        <is>
          <t>|Marupaka</t>
        </is>
      </c>
      <c r="C171" s="9" t="n">
        <v>155</v>
      </c>
      <c r="D171" s="9" t="n">
        <v>394</v>
      </c>
      <c r="E171" s="9" t="n">
        <v>18</v>
      </c>
      <c r="F171" s="9" t="n">
        <v>6</v>
      </c>
      <c r="G171" s="9" t="n">
        <v>1</v>
      </c>
      <c r="H171" s="9" t="n">
        <v>1</v>
      </c>
      <c r="I171" s="9" t="n">
        <v>2</v>
      </c>
      <c r="J171" s="9" t="n">
        <v>1</v>
      </c>
      <c r="K171" s="9" t="n">
        <v>1</v>
      </c>
      <c r="L171" s="9" t="n">
        <v>1</v>
      </c>
      <c r="M171" s="9" t="n">
        <v>2</v>
      </c>
      <c r="N171" s="9" t="n">
        <v>3</v>
      </c>
      <c r="O171" s="9" t="n">
        <v>3</v>
      </c>
      <c r="P171" s="9" t="n">
        <v>3</v>
      </c>
      <c r="Q171" s="9" t="n">
        <v>1</v>
      </c>
      <c r="R171" s="9" t="n">
        <v>592</v>
      </c>
      <c r="S171" s="9" t="n">
        <v>8</v>
      </c>
      <c r="T171" s="9" t="n">
        <v>0</v>
      </c>
      <c r="U171" s="9" t="n">
        <v>600</v>
      </c>
      <c r="V171" s="10" t="n">
        <v>1792</v>
      </c>
      <c r="W171" s="10" t="n">
        <v>0</v>
      </c>
      <c r="X171" s="10" t="n">
        <v>0</v>
      </c>
      <c r="Y171" s="10" t="n">
        <v>1792</v>
      </c>
      <c r="Z171" s="10" t="n">
        <v>0</v>
      </c>
    </row>
    <row r="172">
      <c r="A172" s="7" t="n">
        <v>181</v>
      </c>
      <c r="B172" s="8" t="inlineStr">
        <is>
          <t>Polling Station 181</t>
        </is>
      </c>
      <c r="C172" s="9" t="n">
        <v>105</v>
      </c>
      <c r="D172" s="9" t="n">
        <v>216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1</v>
      </c>
      <c r="M172" s="9" t="n">
        <v>1</v>
      </c>
      <c r="N172" s="9" t="n">
        <v>1</v>
      </c>
      <c r="O172" s="9" t="n">
        <v>0</v>
      </c>
      <c r="P172" s="9" t="n">
        <v>0</v>
      </c>
      <c r="Q172" s="9" t="n">
        <v>4</v>
      </c>
      <c r="R172" s="9" t="n">
        <v>342</v>
      </c>
      <c r="S172" s="9" t="n">
        <v>2</v>
      </c>
      <c r="T172" s="9" t="n">
        <v>0</v>
      </c>
      <c r="U172" s="9" t="n">
        <v>344</v>
      </c>
      <c r="V172" s="10" t="n">
        <v>1016</v>
      </c>
      <c r="W172" s="10" t="n">
        <v>0</v>
      </c>
      <c r="X172" s="10" t="n">
        <v>0</v>
      </c>
      <c r="Y172" s="10" t="n">
        <v>1016</v>
      </c>
      <c r="Z172" s="10" t="n">
        <v>0</v>
      </c>
    </row>
    <row r="173">
      <c r="A173" s="7" t="n">
        <v>182</v>
      </c>
      <c r="B173" s="8" t="inlineStr">
        <is>
          <t>|Thettekunta</t>
        </is>
      </c>
      <c r="C173" s="9" t="n">
        <v>19</v>
      </c>
      <c r="D173" s="9" t="n">
        <v>252</v>
      </c>
      <c r="E173" s="9" t="n">
        <v>50</v>
      </c>
      <c r="F173" s="9" t="n">
        <v>2</v>
      </c>
      <c r="G173" s="9" t="n">
        <v>0</v>
      </c>
      <c r="H173" s="9" t="n">
        <v>0</v>
      </c>
      <c r="I173" s="9" t="n">
        <v>1</v>
      </c>
      <c r="J173" s="9" t="n">
        <v>1</v>
      </c>
      <c r="K173" s="9" t="n">
        <v>3</v>
      </c>
      <c r="L173" s="9" t="n">
        <v>0</v>
      </c>
      <c r="M173" s="9" t="n">
        <v>0</v>
      </c>
      <c r="N173" s="9" t="n">
        <v>4</v>
      </c>
      <c r="O173" s="9" t="n">
        <v>2</v>
      </c>
      <c r="P173" s="9" t="n">
        <v>1</v>
      </c>
      <c r="Q173" s="9" t="n">
        <v>5</v>
      </c>
      <c r="R173" s="9" t="n">
        <v>440</v>
      </c>
      <c r="S173" s="9" t="n">
        <v>7</v>
      </c>
      <c r="T173" s="9" t="n">
        <v>0</v>
      </c>
      <c r="U173" s="9" t="n">
        <v>447</v>
      </c>
      <c r="V173" s="10" t="n">
        <v>1234</v>
      </c>
      <c r="W173" s="10" t="n">
        <v>0</v>
      </c>
      <c r="X173" s="10" t="n">
        <v>0</v>
      </c>
      <c r="Y173" s="10" t="n">
        <v>1234</v>
      </c>
      <c r="Z173" s="10" t="n">
        <v>0</v>
      </c>
    </row>
    <row r="174">
      <c r="A174" s="7" t="n">
        <v>183</v>
      </c>
      <c r="B174" s="8" t="inlineStr">
        <is>
          <t>|Achannapalli H/o
183, |Marripalli</t>
        </is>
      </c>
      <c r="C174" s="9" t="n">
        <v>159</v>
      </c>
      <c r="D174" s="9" t="n">
        <v>220</v>
      </c>
      <c r="E174" s="9" t="n">
        <v>24</v>
      </c>
      <c r="F174" s="9" t="n">
        <v>3</v>
      </c>
      <c r="G174" s="9" t="n">
        <v>1</v>
      </c>
      <c r="H174" s="9" t="n">
        <v>1</v>
      </c>
      <c r="I174" s="9" t="n">
        <v>0</v>
      </c>
      <c r="J174" s="9" t="n">
        <v>0</v>
      </c>
      <c r="K174" s="9" t="n">
        <v>0</v>
      </c>
      <c r="L174" s="9" t="n">
        <v>3</v>
      </c>
      <c r="M174" s="9" t="n">
        <v>3</v>
      </c>
      <c r="N174" s="9" t="n">
        <v>4</v>
      </c>
      <c r="O174" s="9" t="n">
        <v>4</v>
      </c>
      <c r="P174" s="9" t="n">
        <v>0</v>
      </c>
      <c r="Q174" s="9" t="n">
        <v>4</v>
      </c>
      <c r="R174" s="9" t="n">
        <v>425</v>
      </c>
      <c r="S174" s="9" t="n">
        <v>6</v>
      </c>
      <c r="T174" s="9" t="n">
        <v>0</v>
      </c>
      <c r="U174" s="9" t="n">
        <v>431</v>
      </c>
      <c r="V174" s="10" t="n">
        <v>1288</v>
      </c>
      <c r="W174" s="10" t="n">
        <v>0</v>
      </c>
      <c r="X174" s="10" t="n">
        <v>0</v>
      </c>
      <c r="Y174" s="10" t="n">
        <v>1288</v>
      </c>
      <c r="Z174" s="10" t="n">
        <v>0</v>
      </c>
    </row>
    <row r="175">
      <c r="A175" s="7" t="n">
        <v>184</v>
      </c>
      <c r="B175" s="8" t="inlineStr">
        <is>
          <t>+|Nampalli</t>
        </is>
      </c>
      <c r="C175" s="9" t="n">
        <v>475</v>
      </c>
      <c r="D175" s="9" t="n">
        <v>511</v>
      </c>
      <c r="E175" s="9" t="n">
        <v>18</v>
      </c>
      <c r="F175" s="9" t="n">
        <v>4</v>
      </c>
      <c r="G175" s="9" t="n">
        <v>4</v>
      </c>
      <c r="H175" s="9" t="n">
        <v>2</v>
      </c>
      <c r="I175" s="9" t="n">
        <v>0</v>
      </c>
      <c r="J175" s="9" t="n">
        <v>1</v>
      </c>
      <c r="K175" s="9" t="n">
        <v>0</v>
      </c>
      <c r="L175" s="9" t="n">
        <v>1</v>
      </c>
      <c r="M175" s="9" t="n">
        <v>1</v>
      </c>
      <c r="N175" s="9" t="n">
        <v>2</v>
      </c>
      <c r="O175" s="9" t="n">
        <v>2</v>
      </c>
      <c r="P175" s="9" t="n">
        <v>3</v>
      </c>
      <c r="Q175" s="9" t="n">
        <v>6</v>
      </c>
      <c r="R175" s="9" t="n">
        <v>1027</v>
      </c>
      <c r="S175" s="9" t="n">
        <v>5</v>
      </c>
      <c r="T175" s="9" t="n">
        <v>0</v>
      </c>
      <c r="U175" s="9" t="n">
        <v>1032</v>
      </c>
      <c r="V175" s="10" t="n">
        <v>3094</v>
      </c>
      <c r="W175" s="10" t="n">
        <v>0</v>
      </c>
      <c r="X175" s="10" t="n">
        <v>0</v>
      </c>
      <c r="Y175" s="10" t="n">
        <v>3094</v>
      </c>
      <c r="Z175" s="10" t="n">
        <v>0</v>
      </c>
    </row>
    <row r="176">
      <c r="A176" s="7" t="n">
        <v>185</v>
      </c>
      <c r="B176" s="8" t="inlineStr">
        <is>
          <t>|R&amp;R Chinthaltanam</t>
        </is>
      </c>
      <c r="C176" s="9" t="n">
        <v>24</v>
      </c>
      <c r="D176" s="9" t="n">
        <v>242</v>
      </c>
      <c r="E176" s="9" t="n">
        <v>2</v>
      </c>
      <c r="F176" s="9" t="n">
        <v>9</v>
      </c>
      <c r="G176" s="9" t="n">
        <v>0</v>
      </c>
      <c r="H176" s="9" t="n">
        <v>0</v>
      </c>
      <c r="I176" s="9" t="n">
        <v>1</v>
      </c>
      <c r="J176" s="9" t="n">
        <v>0</v>
      </c>
      <c r="K176" s="9" t="n">
        <v>1</v>
      </c>
      <c r="L176" s="9" t="n">
        <v>0</v>
      </c>
      <c r="M176" s="9" t="n">
        <v>2</v>
      </c>
      <c r="N176" s="9" t="n">
        <v>4</v>
      </c>
      <c r="O176" s="9" t="n">
        <v>3</v>
      </c>
      <c r="P176" s="9" t="n">
        <v>0</v>
      </c>
      <c r="Q176" s="9" t="n">
        <v>1</v>
      </c>
      <c r="R176" s="9" t="n">
        <v>642</v>
      </c>
      <c r="S176" s="9" t="n">
        <v>4</v>
      </c>
      <c r="T176" s="9" t="n">
        <v>0</v>
      </c>
      <c r="U176" s="9" t="n">
        <v>646</v>
      </c>
      <c r="V176" s="10" t="n">
        <v>1581</v>
      </c>
      <c r="W176" s="10" t="n">
        <v>0</v>
      </c>
      <c r="X176" s="10" t="n">
        <v>0</v>
      </c>
      <c r="Y176" s="10" t="n">
        <v>1581</v>
      </c>
      <c r="Z176" s="10" t="n">
        <v>0</v>
      </c>
    </row>
    <row r="177">
      <c r="A177" s="7" t="n">
        <v>186</v>
      </c>
      <c r="B177" s="8">
        <f>|Nampalli</f>
        <v/>
      </c>
      <c r="C177" s="9" t="n">
        <v>305</v>
      </c>
      <c r="D177" s="9" t="n">
        <v>343</v>
      </c>
      <c r="E177" s="9" t="n">
        <v>16</v>
      </c>
      <c r="F177" s="9" t="n">
        <v>5</v>
      </c>
      <c r="G177" s="9" t="n">
        <v>2</v>
      </c>
      <c r="H177" s="9" t="n">
        <v>4</v>
      </c>
      <c r="I177" s="9" t="n">
        <v>1</v>
      </c>
      <c r="J177" s="9" t="n">
        <v>4</v>
      </c>
      <c r="K177" s="9" t="n">
        <v>3</v>
      </c>
      <c r="L177" s="9" t="n">
        <v>1</v>
      </c>
      <c r="M177" s="9" t="n">
        <v>3</v>
      </c>
      <c r="N177" s="9" t="n">
        <v>1</v>
      </c>
      <c r="O177" s="9" t="n">
        <v>4</v>
      </c>
      <c r="P177" s="9" t="n">
        <v>5</v>
      </c>
      <c r="Q177" s="9" t="n">
        <v>6</v>
      </c>
      <c r="R177" s="9" t="n">
        <v>697</v>
      </c>
      <c r="S177" s="9" t="n">
        <v>8</v>
      </c>
      <c r="T177" s="9" t="n">
        <v>0</v>
      </c>
      <c r="U177" s="9" t="n">
        <v>0</v>
      </c>
      <c r="V177" s="10" t="n">
        <v>1408</v>
      </c>
      <c r="W177" s="10" t="n">
        <v>0</v>
      </c>
      <c r="X177" s="10" t="n">
        <v>0</v>
      </c>
      <c r="Y177" s="10" t="n">
        <v>1408</v>
      </c>
      <c r="Z177" s="10" t="n">
        <v>0</v>
      </c>
    </row>
    <row r="178">
      <c r="A178" s="7" t="n">
        <v>187</v>
      </c>
      <c r="B178" s="8" t="inlineStr">
        <is>
          <t>|R&amp;R Kodumunja</t>
        </is>
      </c>
      <c r="C178" s="9" t="n">
        <v>310</v>
      </c>
      <c r="D178" s="9" t="n">
        <v>370</v>
      </c>
      <c r="E178" s="9" t="n">
        <v>14</v>
      </c>
      <c r="F178" s="9" t="n">
        <v>5</v>
      </c>
      <c r="G178" s="9" t="n">
        <v>0</v>
      </c>
      <c r="H178" s="9" t="n">
        <v>0</v>
      </c>
      <c r="I178" s="9" t="n">
        <v>1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2</v>
      </c>
      <c r="O178" s="9" t="n">
        <v>1</v>
      </c>
      <c r="P178" s="9" t="n">
        <v>2</v>
      </c>
      <c r="Q178" s="9" t="n">
        <v>5</v>
      </c>
      <c r="R178" s="9" t="n">
        <v>710</v>
      </c>
      <c r="S178" s="9" t="n">
        <v>7</v>
      </c>
      <c r="T178" s="9" t="n">
        <v>0</v>
      </c>
      <c r="U178" s="9" t="n">
        <v>727</v>
      </c>
      <c r="V178" s="10" t="n">
        <v>2154</v>
      </c>
      <c r="W178" s="10" t="n">
        <v>0</v>
      </c>
      <c r="X178" s="10" t="n">
        <v>0</v>
      </c>
      <c r="Y178" s="10" t="n">
        <v>2154</v>
      </c>
      <c r="Z178" s="10" t="n">
        <v>0</v>
      </c>
    </row>
    <row r="179">
      <c r="A179" s="7" t="n">
        <v>188</v>
      </c>
      <c r="B179" s="8" t="inlineStr">
        <is>
          <t>|R&amp;R Anupuram</t>
        </is>
      </c>
      <c r="C179" s="9" t="n">
        <v>527</v>
      </c>
      <c r="D179" s="9" t="n">
        <v>377</v>
      </c>
      <c r="E179" s="9" t="n">
        <v>46</v>
      </c>
      <c r="F179" s="9" t="n">
        <v>13</v>
      </c>
      <c r="G179" s="9" t="n">
        <v>0</v>
      </c>
      <c r="H179" s="9" t="n">
        <v>2</v>
      </c>
      <c r="I179" s="9" t="n">
        <v>1</v>
      </c>
      <c r="J179" s="9" t="n">
        <v>12</v>
      </c>
      <c r="K179" s="9" t="n">
        <v>0</v>
      </c>
      <c r="L179" s="9" t="n">
        <v>1</v>
      </c>
      <c r="M179" s="9" t="n">
        <v>4</v>
      </c>
      <c r="N179" s="9" t="n">
        <v>4</v>
      </c>
      <c r="O179" s="9" t="n">
        <v>0</v>
      </c>
      <c r="P179" s="9" t="n">
        <v>2</v>
      </c>
      <c r="Q179" s="9" t="n">
        <v>2</v>
      </c>
      <c r="R179" s="9" t="n">
        <v>965</v>
      </c>
      <c r="S179" s="9" t="n">
        <v>7</v>
      </c>
      <c r="T179" s="9" t="n">
        <v>0</v>
      </c>
      <c r="U179" s="9" t="n">
        <v>982</v>
      </c>
      <c r="V179" s="10" t="n">
        <v>2945</v>
      </c>
      <c r="W179" s="10" t="n">
        <v>0</v>
      </c>
      <c r="X179" s="10" t="n">
        <v>0</v>
      </c>
      <c r="Y179" s="10" t="n">
        <v>2945</v>
      </c>
      <c r="Z179" s="10" t="n">
        <v>0</v>
      </c>
    </row>
    <row r="180">
      <c r="A180" s="7" t="n">
        <v>189</v>
      </c>
      <c r="B180" s="8" t="inlineStr">
        <is>
          <t>Polling Station 189</t>
        </is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7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10" t="n">
        <v>7</v>
      </c>
      <c r="W180" s="10" t="n">
        <v>0</v>
      </c>
      <c r="X180" s="10" t="n">
        <v>0</v>
      </c>
      <c r="Y180" s="10" t="n">
        <v>7</v>
      </c>
      <c r="Z180" s="10" t="n">
        <v>0</v>
      </c>
    </row>
    <row r="181">
      <c r="A181" s="7" t="n">
        <v>190</v>
      </c>
      <c r="B181" s="8" t="inlineStr">
        <is>
          <t>|R&amp;R Rudravaram</t>
        </is>
      </c>
      <c r="C181" s="9" t="n">
        <v>541</v>
      </c>
      <c r="D181" s="9" t="n">
        <v>413</v>
      </c>
      <c r="E181" s="9" t="n">
        <v>4</v>
      </c>
      <c r="F181" s="9" t="n">
        <v>19</v>
      </c>
      <c r="G181" s="9" t="n">
        <v>2</v>
      </c>
      <c r="H181" s="9" t="n">
        <v>1</v>
      </c>
      <c r="I181" s="9" t="n">
        <v>0</v>
      </c>
      <c r="J181" s="9" t="n">
        <v>0</v>
      </c>
      <c r="K181" s="9" t="n">
        <v>0</v>
      </c>
      <c r="L181" s="9" t="n">
        <v>1</v>
      </c>
      <c r="M181" s="9" t="n">
        <v>0</v>
      </c>
      <c r="N181" s="9" t="n">
        <v>2</v>
      </c>
      <c r="O181" s="9" t="n">
        <v>2</v>
      </c>
      <c r="P181" s="9" t="n">
        <v>1</v>
      </c>
      <c r="Q181" s="9" t="n">
        <v>7</v>
      </c>
      <c r="R181" s="9" t="n">
        <v>1003</v>
      </c>
      <c r="S181" s="9" t="n">
        <v>20</v>
      </c>
      <c r="T181" s="9" t="n">
        <v>0</v>
      </c>
      <c r="U181" s="9" t="n">
        <v>1023</v>
      </c>
      <c r="V181" s="10" t="n">
        <v>3039</v>
      </c>
      <c r="W181" s="10" t="n">
        <v>0</v>
      </c>
      <c r="X181" s="10" t="n">
        <v>0</v>
      </c>
      <c r="Y181" s="10" t="n">
        <v>3039</v>
      </c>
      <c r="Z181" s="10" t="n">
        <v>0</v>
      </c>
    </row>
    <row r="182">
      <c r="A182" s="7" t="n">
        <v>191</v>
      </c>
      <c r="B182" s="8" t="inlineStr">
        <is>
          <t>Polling Station 191</t>
        </is>
      </c>
      <c r="C182" s="9" t="n">
        <v>3</v>
      </c>
      <c r="D182" s="9" t="n">
        <v>4</v>
      </c>
      <c r="E182" s="9" t="n">
        <v>5</v>
      </c>
      <c r="F182" s="9" t="n">
        <v>6</v>
      </c>
      <c r="G182" s="9" t="n">
        <v>7</v>
      </c>
      <c r="H182" s="9" t="n">
        <v>8</v>
      </c>
      <c r="I182" s="9" t="n">
        <v>9</v>
      </c>
      <c r="J182" s="9" t="n">
        <v>10</v>
      </c>
      <c r="K182" s="9" t="n">
        <v>0</v>
      </c>
      <c r="L182" s="9" t="n">
        <v>12</v>
      </c>
      <c r="M182" s="9" t="n">
        <v>13</v>
      </c>
      <c r="N182" s="9" t="n">
        <v>14</v>
      </c>
      <c r="O182" s="9" t="n">
        <v>15</v>
      </c>
      <c r="P182" s="9" t="n">
        <v>16</v>
      </c>
      <c r="Q182" s="9" t="n">
        <v>7</v>
      </c>
      <c r="R182" s="9" t="n">
        <v>18</v>
      </c>
      <c r="S182" s="9" t="n">
        <v>19</v>
      </c>
      <c r="T182" s="9" t="n">
        <v>20</v>
      </c>
      <c r="U182" s="9" t="n">
        <v>21</v>
      </c>
      <c r="V182" s="10" t="n">
        <v>207</v>
      </c>
      <c r="W182" s="10" t="n">
        <v>0</v>
      </c>
      <c r="X182" s="10" t="n">
        <v>0</v>
      </c>
      <c r="Y182" s="10" t="n">
        <v>207</v>
      </c>
      <c r="Z182" s="10" t="n">
        <v>0</v>
      </c>
    </row>
    <row r="183">
      <c r="A183" s="7" t="n">
        <v>192</v>
      </c>
      <c r="B183" s="8" t="inlineStr">
        <is>
          <t>Polling Station 192</t>
        </is>
      </c>
      <c r="C183" s="9" t="n">
        <v>267</v>
      </c>
      <c r="D183" s="9" t="n">
        <v>454</v>
      </c>
      <c r="E183" s="9" t="n">
        <v>0</v>
      </c>
      <c r="F183" s="9" t="n">
        <v>9</v>
      </c>
      <c r="G183" s="9" t="n">
        <v>3</v>
      </c>
      <c r="H183" s="9" t="n">
        <v>2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1</v>
      </c>
      <c r="O183" s="9" t="n">
        <v>2</v>
      </c>
      <c r="P183" s="9" t="n">
        <v>3</v>
      </c>
      <c r="Q183" s="9" t="n">
        <v>6</v>
      </c>
      <c r="R183" s="9" t="n">
        <v>787</v>
      </c>
      <c r="S183" s="9" t="n">
        <v>2</v>
      </c>
      <c r="T183" s="9" t="n">
        <v>0</v>
      </c>
      <c r="U183" s="9" t="n">
        <v>789</v>
      </c>
      <c r="V183" s="10" t="n">
        <v>2325</v>
      </c>
      <c r="W183" s="10" t="n">
        <v>0</v>
      </c>
      <c r="X183" s="10" t="n">
        <v>0</v>
      </c>
      <c r="Y183" s="10" t="n">
        <v>2325</v>
      </c>
      <c r="Z183" s="10" t="n">
        <v>0</v>
      </c>
    </row>
    <row r="184">
      <c r="A184" s="7" t="n">
        <v>193</v>
      </c>
      <c r="B184" s="8" t="inlineStr">
        <is>
          <t>|R&amp;R Sankepalli</t>
        </is>
      </c>
      <c r="C184" s="9" t="n">
        <v>223</v>
      </c>
      <c r="D184" s="9" t="n">
        <v>449</v>
      </c>
      <c r="E184" s="9" t="n">
        <v>40</v>
      </c>
      <c r="F184" s="9" t="n">
        <v>6</v>
      </c>
      <c r="G184" s="9" t="n">
        <v>0</v>
      </c>
      <c r="H184" s="9" t="n">
        <v>1</v>
      </c>
      <c r="I184" s="9" t="n">
        <v>1</v>
      </c>
      <c r="J184" s="9" t="n">
        <v>0</v>
      </c>
      <c r="K184" s="9" t="n">
        <v>1</v>
      </c>
      <c r="L184" s="9" t="n">
        <v>1</v>
      </c>
      <c r="M184" s="9" t="n">
        <v>2</v>
      </c>
      <c r="N184" s="9" t="n">
        <v>1</v>
      </c>
      <c r="O184" s="9" t="n">
        <v>4</v>
      </c>
      <c r="P184" s="9" t="n">
        <v>1</v>
      </c>
      <c r="Q184" s="9" t="n">
        <v>2</v>
      </c>
      <c r="R184" s="9" t="n">
        <v>732</v>
      </c>
      <c r="S184" s="9" t="n">
        <v>8</v>
      </c>
      <c r="T184" s="9" t="n">
        <v>0</v>
      </c>
      <c r="U184" s="9" t="n">
        <v>740</v>
      </c>
      <c r="V184" s="10" t="n">
        <v>2212</v>
      </c>
      <c r="W184" s="10" t="n">
        <v>0</v>
      </c>
      <c r="X184" s="10" t="n">
        <v>0</v>
      </c>
      <c r="Y184" s="10" t="n">
        <v>2212</v>
      </c>
      <c r="Z184" s="10" t="n">
        <v>0</v>
      </c>
    </row>
    <row r="185">
      <c r="A185" s="7" t="n">
        <v>194</v>
      </c>
      <c r="B185" s="8" t="inlineStr">
        <is>
          <t>|Ayyorupalli H/o
lSankepalli</t>
        </is>
      </c>
      <c r="C185" s="9" t="n">
        <v>180</v>
      </c>
      <c r="D185" s="9" t="n">
        <v>110</v>
      </c>
      <c r="E185" s="9" t="n">
        <v>4</v>
      </c>
      <c r="F185" s="9" t="n">
        <v>2</v>
      </c>
      <c r="G185" s="9" t="n">
        <v>1</v>
      </c>
      <c r="H185" s="9" t="n">
        <v>0</v>
      </c>
      <c r="I185" s="9" t="n">
        <v>0</v>
      </c>
      <c r="J185" s="9" t="n">
        <v>1</v>
      </c>
      <c r="K185" s="9" t="n">
        <v>0</v>
      </c>
      <c r="L185" s="9" t="n">
        <v>2</v>
      </c>
      <c r="M185" s="9" t="n">
        <v>0</v>
      </c>
      <c r="N185" s="9" t="n">
        <v>0</v>
      </c>
      <c r="O185" s="9" t="n">
        <v>3</v>
      </c>
      <c r="P185" s="9" t="n">
        <v>0</v>
      </c>
      <c r="Q185" s="9" t="n">
        <v>2</v>
      </c>
      <c r="R185" s="9" t="n">
        <v>306</v>
      </c>
      <c r="S185" s="9" t="n">
        <v>7</v>
      </c>
      <c r="T185" s="9" t="n">
        <v>0</v>
      </c>
      <c r="U185" s="9" t="n">
        <v>313</v>
      </c>
      <c r="V185" s="10" t="n">
        <v>931</v>
      </c>
      <c r="W185" s="10" t="n">
        <v>0</v>
      </c>
      <c r="X185" s="10" t="n">
        <v>0</v>
      </c>
      <c r="Y185" s="10" t="n">
        <v>931</v>
      </c>
      <c r="Z185" s="10" t="n">
        <v>0</v>
      </c>
    </row>
    <row r="186">
      <c r="A186" s="7" t="n">
        <v>195</v>
      </c>
      <c r="B186" s="8" t="inlineStr">
        <is>
          <t>|Marrimadla</t>
        </is>
      </c>
      <c r="C186" s="9" t="n">
        <v>126</v>
      </c>
      <c r="D186" s="9" t="n">
        <v>249</v>
      </c>
      <c r="E186" s="9" t="n">
        <v>6</v>
      </c>
      <c r="F186" s="9" t="n">
        <v>29</v>
      </c>
      <c r="G186" s="9" t="n">
        <v>0</v>
      </c>
      <c r="H186" s="9" t="n">
        <v>2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1</v>
      </c>
      <c r="N186" s="9" t="n">
        <v>1</v>
      </c>
      <c r="O186" s="9" t="n">
        <v>1</v>
      </c>
      <c r="P186" s="9" t="n">
        <v>1</v>
      </c>
      <c r="Q186" s="9" t="n">
        <v>1</v>
      </c>
      <c r="R186" s="9" t="n">
        <v>418</v>
      </c>
      <c r="S186" s="9" t="n">
        <v>5</v>
      </c>
      <c r="T186" s="9" t="n">
        <v>0</v>
      </c>
      <c r="U186" s="9" t="n">
        <v>423</v>
      </c>
      <c r="V186" s="10" t="n">
        <v>1263</v>
      </c>
      <c r="W186" s="10" t="n">
        <v>0</v>
      </c>
      <c r="X186" s="10" t="n">
        <v>0</v>
      </c>
      <c r="Y186" s="10" t="n">
        <v>1263</v>
      </c>
      <c r="Z186" s="10" t="n">
        <v>0</v>
      </c>
    </row>
    <row r="187">
      <c r="A187" s="7" t="n">
        <v>196</v>
      </c>
      <c r="B187" s="8" t="inlineStr">
        <is>
          <t>|Marrimadla</t>
        </is>
      </c>
      <c r="C187" s="9" t="n">
        <v>174</v>
      </c>
      <c r="D187" s="9" t="n">
        <v>257</v>
      </c>
      <c r="E187" s="9" t="n">
        <v>5</v>
      </c>
      <c r="F187" s="9" t="n">
        <v>20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1</v>
      </c>
      <c r="L187" s="9" t="n">
        <v>0</v>
      </c>
      <c r="M187" s="9" t="n">
        <v>1</v>
      </c>
      <c r="N187" s="9" t="n">
        <v>1</v>
      </c>
      <c r="O187" s="9" t="n">
        <v>0</v>
      </c>
      <c r="P187" s="9" t="n">
        <v>1</v>
      </c>
      <c r="Q187" s="9" t="n">
        <v>1</v>
      </c>
      <c r="R187" s="9" t="n">
        <v>47</v>
      </c>
      <c r="S187" s="9" t="n">
        <v>3</v>
      </c>
      <c r="T187" s="9" t="n">
        <v>0</v>
      </c>
      <c r="U187" s="9" t="n">
        <v>474</v>
      </c>
      <c r="V187" s="10" t="n">
        <v>985</v>
      </c>
      <c r="W187" s="10" t="n">
        <v>0</v>
      </c>
      <c r="X187" s="10" t="n">
        <v>0</v>
      </c>
      <c r="Y187" s="10" t="n">
        <v>985</v>
      </c>
      <c r="Z187" s="10" t="n">
        <v>0</v>
      </c>
    </row>
    <row r="188">
      <c r="A188" s="7" t="n">
        <v>197</v>
      </c>
      <c r="B188" s="8" t="inlineStr">
        <is>
          <t>‘+|Vattimalla</t>
        </is>
      </c>
      <c r="C188" s="9" t="n">
        <v>292</v>
      </c>
      <c r="D188" s="9" t="n">
        <v>8</v>
      </c>
      <c r="E188" s="9" t="n">
        <v>18</v>
      </c>
      <c r="F188" s="9" t="n">
        <v>10</v>
      </c>
      <c r="G188" s="9" t="n">
        <v>0</v>
      </c>
      <c r="H188" s="9" t="n">
        <v>1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1</v>
      </c>
      <c r="N188" s="9" t="n">
        <v>0</v>
      </c>
      <c r="O188" s="9" t="n">
        <v>5</v>
      </c>
      <c r="P188" s="9" t="n">
        <v>3</v>
      </c>
      <c r="Q188" s="9" t="n">
        <v>5</v>
      </c>
      <c r="R188" s="9" t="n">
        <v>616</v>
      </c>
      <c r="S188" s="9" t="n">
        <v>5</v>
      </c>
      <c r="T188" s="9" t="n">
        <v>0</v>
      </c>
      <c r="U188" s="9" t="n">
        <v>621</v>
      </c>
      <c r="V188" s="10" t="n">
        <v>1585</v>
      </c>
      <c r="W188" s="10" t="n">
        <v>0</v>
      </c>
      <c r="X188" s="10" t="n">
        <v>0</v>
      </c>
      <c r="Y188" s="10" t="n">
        <v>1585</v>
      </c>
      <c r="Z188" s="10" t="n">
        <v>0</v>
      </c>
    </row>
    <row r="189">
      <c r="A189" s="7" t="n">
        <v>198</v>
      </c>
      <c r="B189" s="8" t="inlineStr">
        <is>
          <t>|Vattimalla</t>
        </is>
      </c>
      <c r="C189" s="9" t="n">
        <v>173</v>
      </c>
      <c r="D189" s="9" t="n">
        <v>333</v>
      </c>
      <c r="E189" s="9" t="n">
        <v>16</v>
      </c>
      <c r="F189" s="9" t="n">
        <v>6</v>
      </c>
      <c r="G189" s="9" t="n">
        <v>0</v>
      </c>
      <c r="H189" s="9" t="n">
        <v>2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2</v>
      </c>
      <c r="N189" s="9" t="n">
        <v>7</v>
      </c>
      <c r="O189" s="9" t="n">
        <v>8</v>
      </c>
      <c r="P189" s="9" t="n">
        <v>7</v>
      </c>
      <c r="Q189" s="9" t="n">
        <v>10</v>
      </c>
      <c r="R189" s="9" t="n">
        <v>564</v>
      </c>
      <c r="S189" s="9" t="n">
        <v>4</v>
      </c>
      <c r="T189" s="9" t="n">
        <v>0</v>
      </c>
      <c r="U189" s="9" t="n">
        <v>578</v>
      </c>
      <c r="V189" s="10" t="n">
        <v>1710</v>
      </c>
      <c r="W189" s="10" t="n">
        <v>0</v>
      </c>
      <c r="X189" s="10" t="n">
        <v>0</v>
      </c>
      <c r="Y189" s="10" t="n">
        <v>1710</v>
      </c>
      <c r="Z189" s="10" t="n">
        <v>0</v>
      </c>
    </row>
    <row r="190">
      <c r="A190" s="7" t="n">
        <v>199</v>
      </c>
      <c r="B190" s="8" t="inlineStr">
        <is>
          <t>|Vattimalla</t>
        </is>
      </c>
      <c r="C190" s="9" t="n">
        <v>223</v>
      </c>
      <c r="D190" s="9" t="n">
        <v>363</v>
      </c>
      <c r="E190" s="9" t="n">
        <v>3</v>
      </c>
      <c r="F190" s="9" t="n">
        <v>2</v>
      </c>
      <c r="G190" s="9" t="n">
        <v>1</v>
      </c>
      <c r="H190" s="9" t="n">
        <v>0</v>
      </c>
      <c r="I190" s="9" t="n">
        <v>0</v>
      </c>
      <c r="J190" s="9" t="n">
        <v>1</v>
      </c>
      <c r="K190" s="9" t="n">
        <v>1</v>
      </c>
      <c r="L190" s="9" t="n">
        <v>1</v>
      </c>
      <c r="M190" s="9" t="n">
        <v>3</v>
      </c>
      <c r="N190" s="9" t="n">
        <v>1</v>
      </c>
      <c r="O190" s="9" t="n">
        <v>1</v>
      </c>
      <c r="P190" s="9" t="n">
        <v>4</v>
      </c>
      <c r="Q190" s="9" t="n">
        <v>3</v>
      </c>
      <c r="R190" s="9" t="n">
        <v>607</v>
      </c>
      <c r="S190" s="9" t="n">
        <v>15</v>
      </c>
      <c r="T190" s="9" t="n">
        <v>0</v>
      </c>
      <c r="U190" s="9" t="n">
        <v>622</v>
      </c>
      <c r="V190" s="10" t="n">
        <v>1851</v>
      </c>
      <c r="W190" s="10" t="n">
        <v>0</v>
      </c>
      <c r="X190" s="10" t="n">
        <v>0</v>
      </c>
      <c r="Y190" s="10" t="n">
        <v>1851</v>
      </c>
      <c r="Z190" s="10" t="n">
        <v>0</v>
      </c>
    </row>
    <row r="191">
      <c r="A191" s="7" t="n">
        <v>200</v>
      </c>
      <c r="B191" s="8" t="inlineStr">
        <is>
          <t>|Nimmapalli</t>
        </is>
      </c>
      <c r="C191" s="9" t="n">
        <v>214</v>
      </c>
      <c r="D191" s="9" t="n">
        <v>319</v>
      </c>
      <c r="E191" s="9" t="n">
        <v>24</v>
      </c>
      <c r="F191" s="9" t="n">
        <v>1</v>
      </c>
      <c r="G191" s="9" t="n">
        <v>2</v>
      </c>
      <c r="H191" s="9" t="n">
        <v>2</v>
      </c>
      <c r="I191" s="9" t="n">
        <v>1</v>
      </c>
      <c r="J191" s="9" t="n">
        <v>1</v>
      </c>
      <c r="K191" s="9" t="n">
        <v>0</v>
      </c>
      <c r="L191" s="9" t="n">
        <v>0</v>
      </c>
      <c r="M191" s="9" t="n">
        <v>0</v>
      </c>
      <c r="N191" s="9" t="n">
        <v>4</v>
      </c>
      <c r="O191" s="9" t="n">
        <v>4</v>
      </c>
      <c r="P191" s="9" t="n">
        <v>7</v>
      </c>
      <c r="Q191" s="9" t="n">
        <v>6</v>
      </c>
      <c r="R191" s="9" t="n">
        <v>595</v>
      </c>
      <c r="S191" s="9" t="n">
        <v>13</v>
      </c>
      <c r="T191" s="9" t="n">
        <v>0</v>
      </c>
      <c r="U191" s="9" t="n">
        <v>608</v>
      </c>
      <c r="V191" s="10" t="n">
        <v>1801</v>
      </c>
      <c r="W191" s="10" t="n">
        <v>0</v>
      </c>
      <c r="X191" s="10" t="n">
        <v>0</v>
      </c>
      <c r="Y191" s="10" t="n">
        <v>1801</v>
      </c>
      <c r="Z191" s="10" t="n">
        <v>0</v>
      </c>
    </row>
    <row r="192">
      <c r="A192" s="7" t="n">
        <v>201</v>
      </c>
      <c r="B192" s="8" t="inlineStr">
        <is>
          <t>|Nimmapalli</t>
        </is>
      </c>
      <c r="C192" s="9" t="n">
        <v>236</v>
      </c>
      <c r="D192" s="9" t="n">
        <v>447</v>
      </c>
      <c r="E192" s="9" t="n">
        <v>15</v>
      </c>
      <c r="F192" s="9" t="n">
        <v>5</v>
      </c>
      <c r="G192" s="9" t="n">
        <v>0</v>
      </c>
      <c r="H192" s="9" t="n">
        <v>2</v>
      </c>
      <c r="I192" s="9" t="n">
        <v>0</v>
      </c>
      <c r="J192" s="9" t="n">
        <v>3</v>
      </c>
      <c r="K192" s="9" t="n">
        <v>0</v>
      </c>
      <c r="L192" s="9" t="n">
        <v>3</v>
      </c>
      <c r="M192" s="9" t="n">
        <v>3</v>
      </c>
      <c r="N192" s="9" t="n">
        <v>5</v>
      </c>
      <c r="O192" s="9" t="n">
        <v>4</v>
      </c>
      <c r="P192" s="9" t="n">
        <v>3</v>
      </c>
      <c r="Q192" s="9" t="n">
        <v>8</v>
      </c>
      <c r="R192" s="9" t="n">
        <v>734</v>
      </c>
      <c r="S192" s="9" t="n">
        <v>12</v>
      </c>
      <c r="T192" s="9" t="n">
        <v>0</v>
      </c>
      <c r="U192" s="9" t="n">
        <v>746</v>
      </c>
      <c r="V192" s="10" t="n">
        <v>2226</v>
      </c>
      <c r="W192" s="10" t="n">
        <v>0</v>
      </c>
      <c r="X192" s="10" t="n">
        <v>0</v>
      </c>
      <c r="Y192" s="10" t="n">
        <v>2226</v>
      </c>
      <c r="Z192" s="10" t="n">
        <v>0</v>
      </c>
    </row>
    <row r="193">
      <c r="A193" s="7" t="n">
        <v>202</v>
      </c>
      <c r="B193" s="8" t="inlineStr">
        <is>
          <t>+|Nimmapalli</t>
        </is>
      </c>
      <c r="C193" s="9" t="n">
        <v>376</v>
      </c>
      <c r="D193" s="9" t="n">
        <v>458</v>
      </c>
      <c r="E193" s="9" t="n">
        <v>21</v>
      </c>
      <c r="F193" s="9" t="n">
        <v>15</v>
      </c>
      <c r="G193" s="9" t="n">
        <v>0</v>
      </c>
      <c r="H193" s="9" t="n">
        <v>1</v>
      </c>
      <c r="I193" s="9" t="n">
        <v>1</v>
      </c>
      <c r="J193" s="9" t="n">
        <v>1</v>
      </c>
      <c r="K193" s="9" t="n">
        <v>2</v>
      </c>
      <c r="L193" s="9" t="n">
        <v>3</v>
      </c>
      <c r="M193" s="9" t="n">
        <v>2</v>
      </c>
      <c r="N193" s="9" t="n">
        <v>4</v>
      </c>
      <c r="O193" s="9" t="n">
        <v>5</v>
      </c>
      <c r="P193" s="9" t="n">
        <v>2</v>
      </c>
      <c r="Q193" s="9" t="n">
        <v>5</v>
      </c>
      <c r="R193" s="9" t="n">
        <v>896</v>
      </c>
      <c r="S193" s="9" t="n">
        <v>5</v>
      </c>
      <c r="T193" s="9" t="n">
        <v>0</v>
      </c>
      <c r="U193" s="9" t="n">
        <v>901</v>
      </c>
      <c r="V193" s="10" t="n">
        <v>2698</v>
      </c>
      <c r="W193" s="10" t="n">
        <v>0</v>
      </c>
      <c r="X193" s="10" t="n">
        <v>0</v>
      </c>
      <c r="Y193" s="10" t="n">
        <v>2698</v>
      </c>
      <c r="Z193" s="10" t="n">
        <v>0</v>
      </c>
    </row>
    <row r="194">
      <c r="A194" s="7" t="n">
        <v>203</v>
      </c>
      <c r="B194" s="8" t="inlineStr">
        <is>
          <t>+|Kondapur (PN)</t>
        </is>
      </c>
      <c r="C194" s="9" t="n">
        <v>230</v>
      </c>
      <c r="D194" s="9" t="n">
        <v>429</v>
      </c>
      <c r="E194" s="9" t="n">
        <v>37</v>
      </c>
      <c r="F194" s="9" t="n">
        <v>4</v>
      </c>
      <c r="G194" s="9" t="n">
        <v>2</v>
      </c>
      <c r="H194" s="9" t="n">
        <v>1</v>
      </c>
      <c r="I194" s="9" t="n">
        <v>1</v>
      </c>
      <c r="J194" s="9" t="n">
        <v>0</v>
      </c>
      <c r="K194" s="9" t="n">
        <v>3</v>
      </c>
      <c r="L194" s="9" t="n">
        <v>2</v>
      </c>
      <c r="M194" s="9" t="n">
        <v>2</v>
      </c>
      <c r="N194" s="9" t="n">
        <v>3</v>
      </c>
      <c r="O194" s="9" t="n">
        <v>5</v>
      </c>
      <c r="P194" s="9" t="n">
        <v>15</v>
      </c>
      <c r="Q194" s="9" t="n">
        <v>7</v>
      </c>
      <c r="R194" s="9" t="n">
        <v>761</v>
      </c>
      <c r="S194" s="9" t="n">
        <v>16</v>
      </c>
      <c r="T194" s="9" t="n">
        <v>0</v>
      </c>
      <c r="U194" s="9" t="n">
        <v>77</v>
      </c>
      <c r="V194" s="10" t="n">
        <v>1595</v>
      </c>
      <c r="W194" s="10" t="n">
        <v>0</v>
      </c>
      <c r="X194" s="10" t="n">
        <v>0</v>
      </c>
      <c r="Y194" s="10" t="n">
        <v>1595</v>
      </c>
      <c r="Z194" s="10" t="n">
        <v>0</v>
      </c>
    </row>
    <row r="195">
      <c r="A195" s="7" t="n">
        <v>204</v>
      </c>
      <c r="B195" s="8" t="inlineStr">
        <is>
          <t>|Bavusaipeta</t>
        </is>
      </c>
      <c r="C195" s="9" t="n">
        <v>356</v>
      </c>
      <c r="D195" s="9" t="n">
        <v>413</v>
      </c>
      <c r="E195" s="9" t="n">
        <v>13</v>
      </c>
      <c r="F195" s="9" t="n">
        <v>52</v>
      </c>
      <c r="G195" s="9" t="n">
        <v>1</v>
      </c>
      <c r="H195" s="9" t="n">
        <v>0</v>
      </c>
      <c r="I195" s="9" t="n">
        <v>0</v>
      </c>
      <c r="J195" s="9" t="n">
        <v>1</v>
      </c>
      <c r="K195" s="9" t="n">
        <v>0</v>
      </c>
      <c r="L195" s="9" t="n">
        <v>4</v>
      </c>
      <c r="M195" s="9" t="n">
        <v>3</v>
      </c>
      <c r="N195" s="9" t="n">
        <v>7</v>
      </c>
      <c r="O195" s="9" t="n">
        <v>3</v>
      </c>
      <c r="P195" s="9" t="n">
        <v>4</v>
      </c>
      <c r="Q195" s="9" t="n">
        <v>19</v>
      </c>
      <c r="R195" s="9" t="n">
        <v>873</v>
      </c>
      <c r="S195" s="9" t="n">
        <v>20</v>
      </c>
      <c r="T195" s="9" t="n">
        <v>0</v>
      </c>
      <c r="U195" s="9" t="n">
        <v>893</v>
      </c>
      <c r="V195" s="10" t="n">
        <v>2662</v>
      </c>
      <c r="W195" s="10" t="n">
        <v>0</v>
      </c>
      <c r="X195" s="10" t="n">
        <v>0</v>
      </c>
      <c r="Y195" s="10" t="n">
        <v>2662</v>
      </c>
      <c r="Z195" s="10" t="n">
        <v>0</v>
      </c>
    </row>
    <row r="196">
      <c r="A196" s="7" t="n">
        <v>205</v>
      </c>
      <c r="B196" s="8" t="inlineStr">
        <is>
          <t>|Bavusaipeta</t>
        </is>
      </c>
      <c r="C196" s="9" t="n">
        <v>257</v>
      </c>
      <c r="D196" s="9" t="n">
        <v>485</v>
      </c>
      <c r="E196" s="9" t="n">
        <v>21</v>
      </c>
      <c r="F196" s="9" t="n">
        <v>4</v>
      </c>
      <c r="G196" s="9" t="n">
        <v>0</v>
      </c>
      <c r="H196" s="9" t="n">
        <v>1</v>
      </c>
      <c r="I196" s="9" t="n">
        <v>1</v>
      </c>
      <c r="J196" s="9" t="n">
        <v>0</v>
      </c>
      <c r="K196" s="9" t="n">
        <v>0</v>
      </c>
      <c r="L196" s="9" t="n">
        <v>0</v>
      </c>
      <c r="M196" s="9" t="n">
        <v>1</v>
      </c>
      <c r="N196" s="9" t="n">
        <v>5</v>
      </c>
      <c r="O196" s="9" t="n">
        <v>4</v>
      </c>
      <c r="P196" s="9" t="n">
        <v>3</v>
      </c>
      <c r="Q196" s="9" t="n">
        <v>4</v>
      </c>
      <c r="R196" s="9" t="n">
        <v>788</v>
      </c>
      <c r="S196" s="9" t="n">
        <v>10</v>
      </c>
      <c r="T196" s="9" t="n">
        <v>0</v>
      </c>
      <c r="U196" s="9" t="n">
        <v>798</v>
      </c>
      <c r="V196" s="10" t="n">
        <v>2382</v>
      </c>
      <c r="W196" s="10" t="n">
        <v>0</v>
      </c>
      <c r="X196" s="10" t="n">
        <v>0</v>
      </c>
      <c r="Y196" s="10" t="n">
        <v>2382</v>
      </c>
      <c r="Z196" s="10" t="n">
        <v>0</v>
      </c>
    </row>
    <row r="197">
      <c r="A197" s="7" t="n">
        <v>206</v>
      </c>
      <c r="B197" s="8" t="inlineStr">
        <is>
          <t>|Mamidipalli</t>
        </is>
      </c>
      <c r="C197" s="9" t="n">
        <v>283</v>
      </c>
      <c r="D197" s="9" t="n">
        <v>395</v>
      </c>
      <c r="E197" s="9" t="n">
        <v>24</v>
      </c>
      <c r="F197" s="9" t="n">
        <v>10</v>
      </c>
      <c r="G197" s="9" t="n">
        <v>1</v>
      </c>
      <c r="H197" s="9" t="n">
        <v>1</v>
      </c>
      <c r="I197" s="9" t="n">
        <v>1</v>
      </c>
      <c r="J197" s="9" t="n">
        <v>0</v>
      </c>
      <c r="K197" s="9" t="n">
        <v>0</v>
      </c>
      <c r="L197" s="9" t="n">
        <v>2</v>
      </c>
      <c r="M197" s="9" t="n">
        <v>2</v>
      </c>
      <c r="N197" s="9" t="n">
        <v>2</v>
      </c>
      <c r="O197" s="9" t="n">
        <v>4</v>
      </c>
      <c r="P197" s="9" t="n">
        <v>5</v>
      </c>
      <c r="Q197" s="9" t="n">
        <v>5</v>
      </c>
      <c r="R197" s="9" t="n">
        <v>735</v>
      </c>
      <c r="S197" s="9" t="n">
        <v>7</v>
      </c>
      <c r="T197" s="9" t="n">
        <v>0</v>
      </c>
      <c r="U197" s="9" t="n">
        <v>752</v>
      </c>
      <c r="V197" s="10" t="n">
        <v>2229</v>
      </c>
      <c r="W197" s="10" t="n">
        <v>0</v>
      </c>
      <c r="X197" s="10" t="n">
        <v>0</v>
      </c>
      <c r="Y197" s="10" t="n">
        <v>2229</v>
      </c>
      <c r="Z197" s="10" t="n">
        <v>0</v>
      </c>
    </row>
    <row r="198">
      <c r="A198" s="7" t="n">
        <v>207</v>
      </c>
      <c r="B198" s="8" t="inlineStr">
        <is>
          <t>+ |Mamidipalli</t>
        </is>
      </c>
      <c r="C198" s="9" t="n">
        <v>313</v>
      </c>
      <c r="D198" s="9" t="n">
        <v>449</v>
      </c>
      <c r="E198" s="9" t="n">
        <v>23</v>
      </c>
      <c r="F198" s="9" t="n">
        <v>35</v>
      </c>
      <c r="G198" s="9" t="n">
        <v>0</v>
      </c>
      <c r="H198" s="9" t="n">
        <v>1</v>
      </c>
      <c r="I198" s="9" t="n">
        <v>1</v>
      </c>
      <c r="J198" s="9" t="n">
        <v>0</v>
      </c>
      <c r="K198" s="9" t="n">
        <v>0</v>
      </c>
      <c r="L198" s="9" t="n">
        <v>0</v>
      </c>
      <c r="M198" s="9" t="n">
        <v>1</v>
      </c>
      <c r="N198" s="9" t="n">
        <v>0</v>
      </c>
      <c r="O198" s="9" t="n">
        <v>0</v>
      </c>
      <c r="P198" s="9" t="n">
        <v>2</v>
      </c>
      <c r="Q198" s="9" t="n">
        <v>5</v>
      </c>
      <c r="R198" s="9" t="n">
        <v>830</v>
      </c>
      <c r="S198" s="9" t="n">
        <v>8</v>
      </c>
      <c r="T198" s="9" t="n">
        <v>0</v>
      </c>
      <c r="U198" s="9" t="n">
        <v>838</v>
      </c>
      <c r="V198" s="10" t="n">
        <v>2506</v>
      </c>
      <c r="W198" s="10" t="n">
        <v>0</v>
      </c>
      <c r="X198" s="10" t="n">
        <v>0</v>
      </c>
      <c r="Y198" s="10" t="n">
        <v>2506</v>
      </c>
      <c r="Z198" s="10" t="n">
        <v>0</v>
      </c>
    </row>
    <row r="199">
      <c r="A199" s="7" t="n">
        <v>208</v>
      </c>
      <c r="B199" s="8" t="inlineStr">
        <is>
          <t>|Venkatraopeta</t>
        </is>
      </c>
      <c r="C199" s="9" t="n">
        <v>227</v>
      </c>
      <c r="D199" s="9" t="n">
        <v>531</v>
      </c>
      <c r="E199" s="9" t="n">
        <v>6</v>
      </c>
      <c r="F199" s="9" t="n">
        <v>14</v>
      </c>
      <c r="G199" s="9" t="n">
        <v>2</v>
      </c>
      <c r="H199" s="9" t="n">
        <v>0</v>
      </c>
      <c r="I199" s="9" t="n">
        <v>0</v>
      </c>
      <c r="J199" s="9" t="n">
        <v>0</v>
      </c>
      <c r="K199" s="9" t="n">
        <v>1</v>
      </c>
      <c r="L199" s="9" t="n">
        <v>5</v>
      </c>
      <c r="M199" s="9" t="n">
        <v>2</v>
      </c>
      <c r="N199" s="9" t="n">
        <v>2</v>
      </c>
      <c r="O199" s="9" t="n">
        <v>1</v>
      </c>
      <c r="P199" s="9" t="n">
        <v>1</v>
      </c>
      <c r="Q199" s="9" t="n">
        <v>8</v>
      </c>
      <c r="R199" s="9" t="n">
        <v>796</v>
      </c>
      <c r="S199" s="9" t="n">
        <v>6</v>
      </c>
      <c r="T199" s="9" t="n">
        <v>0</v>
      </c>
      <c r="U199" s="9" t="n">
        <v>802</v>
      </c>
      <c r="V199" s="10" t="n">
        <v>2404</v>
      </c>
      <c r="W199" s="10" t="n">
        <v>0</v>
      </c>
      <c r="X199" s="10" t="n">
        <v>0</v>
      </c>
      <c r="Y199" s="10" t="n">
        <v>2404</v>
      </c>
      <c r="Z199" s="10" t="n">
        <v>0</v>
      </c>
    </row>
    <row r="200">
      <c r="A200" s="7" t="n">
        <v>209</v>
      </c>
      <c r="B200" s="8" t="inlineStr">
        <is>
          <t>|Konaraopeta</t>
        </is>
      </c>
      <c r="C200" s="9" t="n">
        <v>249</v>
      </c>
      <c r="D200" s="9" t="n">
        <v>342</v>
      </c>
      <c r="E200" s="9" t="n">
        <v>30</v>
      </c>
      <c r="F200" s="9" t="n">
        <v>13</v>
      </c>
      <c r="G200" s="9" t="n">
        <v>1</v>
      </c>
      <c r="H200" s="9" t="n">
        <v>1</v>
      </c>
      <c r="I200" s="9" t="n">
        <v>3</v>
      </c>
      <c r="J200" s="9" t="n">
        <v>0</v>
      </c>
      <c r="K200" s="9" t="n">
        <v>1</v>
      </c>
      <c r="L200" s="9" t="n">
        <v>0</v>
      </c>
      <c r="M200" s="9" t="n">
        <v>2</v>
      </c>
      <c r="N200" s="9" t="n">
        <v>4</v>
      </c>
      <c r="O200" s="9" t="n">
        <v>6</v>
      </c>
      <c r="P200" s="9" t="n">
        <v>3</v>
      </c>
      <c r="Q200" s="9" t="n">
        <v>3</v>
      </c>
      <c r="R200" s="9" t="n">
        <v>658</v>
      </c>
      <c r="S200" s="9" t="n">
        <v>9</v>
      </c>
      <c r="T200" s="9" t="n">
        <v>0</v>
      </c>
      <c r="U200" s="9" t="n">
        <v>667</v>
      </c>
      <c r="V200" s="10" t="n">
        <v>1992</v>
      </c>
      <c r="W200" s="10" t="n">
        <v>0</v>
      </c>
      <c r="X200" s="10" t="n">
        <v>0</v>
      </c>
      <c r="Y200" s="10" t="n">
        <v>1992</v>
      </c>
      <c r="Z200" s="10" t="n">
        <v>0</v>
      </c>
    </row>
    <row r="201">
      <c r="A201" s="7" t="n">
        <v>210</v>
      </c>
      <c r="B201" s="8" t="inlineStr">
        <is>
          <t>Tanesemete</t>
        </is>
      </c>
      <c r="C201" s="9" t="n">
        <v>127</v>
      </c>
      <c r="D201" s="9" t="n">
        <v>374</v>
      </c>
      <c r="E201" s="9" t="n">
        <v>7</v>
      </c>
      <c r="F201" s="9" t="n">
        <v>10</v>
      </c>
      <c r="G201" s="9" t="n">
        <v>0</v>
      </c>
      <c r="H201" s="9" t="n">
        <v>2</v>
      </c>
      <c r="I201" s="9" t="n">
        <v>1</v>
      </c>
      <c r="J201" s="9" t="n">
        <v>0</v>
      </c>
      <c r="K201" s="9" t="n">
        <v>0</v>
      </c>
      <c r="L201" s="9" t="n">
        <v>4</v>
      </c>
      <c r="M201" s="9" t="n">
        <v>2</v>
      </c>
      <c r="N201" s="9" t="n">
        <v>6</v>
      </c>
      <c r="O201" s="9" t="n">
        <v>4</v>
      </c>
      <c r="P201" s="9" t="n">
        <v>4</v>
      </c>
      <c r="Q201" s="9" t="n">
        <v>19</v>
      </c>
      <c r="R201" s="9" t="n">
        <v>547</v>
      </c>
      <c r="S201" s="9" t="n">
        <v>0</v>
      </c>
      <c r="T201" s="9" t="n">
        <v>10</v>
      </c>
      <c r="U201" s="9" t="n">
        <v>0</v>
      </c>
      <c r="V201" s="10" t="n">
        <v>1117</v>
      </c>
      <c r="W201" s="10" t="n">
        <v>0</v>
      </c>
      <c r="X201" s="10" t="n">
        <v>0</v>
      </c>
      <c r="Y201" s="10" t="n">
        <v>1117</v>
      </c>
      <c r="Z201" s="10" t="n">
        <v>0</v>
      </c>
    </row>
    <row r="202">
      <c r="A202" s="7" t="n">
        <v>211</v>
      </c>
      <c r="B202" s="8" t="inlineStr">
        <is>
          <t>eeniin</t>
        </is>
      </c>
      <c r="C202" s="9" t="n">
        <v>225</v>
      </c>
      <c r="D202" s="9" t="n">
        <v>328</v>
      </c>
      <c r="E202" s="9" t="n">
        <v>8</v>
      </c>
      <c r="F202" s="9" t="n">
        <v>1</v>
      </c>
      <c r="G202" s="9" t="n">
        <v>3</v>
      </c>
      <c r="H202" s="9" t="n">
        <v>2</v>
      </c>
      <c r="I202" s="9" t="n">
        <v>0</v>
      </c>
      <c r="J202" s="9" t="n">
        <v>0</v>
      </c>
      <c r="K202" s="9" t="n">
        <v>12</v>
      </c>
      <c r="L202" s="9" t="n">
        <v>0</v>
      </c>
      <c r="M202" s="9" t="n">
        <v>1</v>
      </c>
      <c r="N202" s="9" t="n">
        <v>14</v>
      </c>
      <c r="O202" s="9" t="n">
        <v>14</v>
      </c>
      <c r="P202" s="9" t="n">
        <v>13</v>
      </c>
      <c r="Q202" s="9" t="n">
        <v>18</v>
      </c>
      <c r="R202" s="9" t="n">
        <v>599</v>
      </c>
      <c r="S202" s="9" t="n">
        <v>7</v>
      </c>
      <c r="T202" s="9" t="n">
        <v>0</v>
      </c>
      <c r="U202" s="9" t="n">
        <v>606</v>
      </c>
      <c r="V202" s="10" t="n">
        <v>1851</v>
      </c>
      <c r="W202" s="10" t="n">
        <v>0</v>
      </c>
      <c r="X202" s="10" t="n">
        <v>0</v>
      </c>
      <c r="Y202" s="10" t="n">
        <v>1851</v>
      </c>
      <c r="Z202" s="10" t="n">
        <v>0</v>
      </c>
    </row>
    <row r="203">
      <c r="A203" s="7" t="n">
        <v>212</v>
      </c>
      <c r="B203" s="8" t="inlineStr">
        <is>
          <t>Eklaspur b/o
212 |konaraopeta</t>
        </is>
      </c>
      <c r="C203" s="9" t="n">
        <v>164</v>
      </c>
      <c r="D203" s="9" t="n">
        <v>182</v>
      </c>
      <c r="E203" s="9" t="n">
        <v>9</v>
      </c>
      <c r="F203" s="9" t="n">
        <v>4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1</v>
      </c>
      <c r="M203" s="9" t="n">
        <v>0</v>
      </c>
      <c r="N203" s="9" t="n">
        <v>1</v>
      </c>
      <c r="O203" s="9" t="n">
        <v>1</v>
      </c>
      <c r="P203" s="9" t="n">
        <v>1</v>
      </c>
      <c r="Q203" s="9" t="n">
        <v>2</v>
      </c>
      <c r="R203" s="9" t="n">
        <v>365</v>
      </c>
      <c r="S203" s="9" t="n">
        <v>0</v>
      </c>
      <c r="T203" s="9" t="n">
        <v>0</v>
      </c>
      <c r="U203" s="9" t="n">
        <v>365</v>
      </c>
      <c r="V203" s="10" t="n">
        <v>1095</v>
      </c>
      <c r="W203" s="10" t="n">
        <v>0</v>
      </c>
      <c r="X203" s="10" t="n">
        <v>0</v>
      </c>
      <c r="Y203" s="10" t="n">
        <v>1095</v>
      </c>
      <c r="Z203" s="10" t="n">
        <v>0</v>
      </c>
    </row>
    <row r="204">
      <c r="A204" s="7" t="n">
        <v>213</v>
      </c>
      <c r="B204" s="8" t="inlineStr">
        <is>
          <t>«=|Shivangalapalli</t>
        </is>
      </c>
      <c r="C204" s="9" t="n">
        <v>17</v>
      </c>
      <c r="D204" s="9" t="n">
        <v>300</v>
      </c>
      <c r="E204" s="9" t="n">
        <v>8</v>
      </c>
      <c r="F204" s="9" t="n">
        <v>4</v>
      </c>
      <c r="G204" s="9" t="n">
        <v>1</v>
      </c>
      <c r="H204" s="9" t="n">
        <v>0</v>
      </c>
      <c r="I204" s="9" t="n">
        <v>1</v>
      </c>
      <c r="J204" s="9" t="n">
        <v>0</v>
      </c>
      <c r="K204" s="9" t="n">
        <v>0</v>
      </c>
      <c r="L204" s="9" t="n">
        <v>0</v>
      </c>
      <c r="M204" s="9" t="n">
        <v>1</v>
      </c>
      <c r="N204" s="9" t="n">
        <v>2</v>
      </c>
      <c r="O204" s="9" t="n">
        <v>2</v>
      </c>
      <c r="P204" s="9" t="n">
        <v>1</v>
      </c>
      <c r="Q204" s="9" t="n">
        <v>4</v>
      </c>
      <c r="R204" s="9" t="n">
        <v>501</v>
      </c>
      <c r="S204" s="9" t="n">
        <v>4</v>
      </c>
      <c r="T204" s="9" t="n">
        <v>0</v>
      </c>
      <c r="U204" s="9" t="n">
        <v>505</v>
      </c>
      <c r="V204" s="10" t="n">
        <v>1351</v>
      </c>
      <c r="W204" s="10" t="n">
        <v>0</v>
      </c>
      <c r="X204" s="10" t="n">
        <v>0</v>
      </c>
      <c r="Y204" s="10" t="n">
        <v>1351</v>
      </c>
      <c r="Z204" s="10" t="n">
        <v>0</v>
      </c>
    </row>
    <row r="205">
      <c r="A205" s="7" t="n">
        <v>214</v>
      </c>
      <c r="B205" s="8" t="inlineStr">
        <is>
          <t>|Nizamabad</t>
        </is>
      </c>
      <c r="C205" s="9" t="n">
        <v>292</v>
      </c>
      <c r="D205" s="9" t="n">
        <v>310</v>
      </c>
      <c r="E205" s="9" t="n">
        <v>16</v>
      </c>
      <c r="F205" s="9" t="n">
        <v>7</v>
      </c>
      <c r="G205" s="9" t="n">
        <v>1</v>
      </c>
      <c r="H205" s="9" t="n">
        <v>2</v>
      </c>
      <c r="I205" s="9" t="n">
        <v>1</v>
      </c>
      <c r="J205" s="9" t="n">
        <v>1</v>
      </c>
      <c r="K205" s="9" t="n">
        <v>0</v>
      </c>
      <c r="L205" s="9" t="n">
        <v>2</v>
      </c>
      <c r="M205" s="9" t="n">
        <v>3</v>
      </c>
      <c r="N205" s="9" t="n">
        <v>0</v>
      </c>
      <c r="O205" s="9" t="n">
        <v>15</v>
      </c>
      <c r="P205" s="9" t="n">
        <v>7</v>
      </c>
      <c r="Q205" s="9" t="n">
        <v>6</v>
      </c>
      <c r="R205" s="9" t="n">
        <v>656</v>
      </c>
      <c r="S205" s="9" t="n">
        <v>10</v>
      </c>
      <c r="T205" s="9" t="n">
        <v>0</v>
      </c>
      <c r="U205" s="9" t="n">
        <v>666</v>
      </c>
      <c r="V205" s="10" t="n">
        <v>1995</v>
      </c>
      <c r="W205" s="10" t="n">
        <v>0</v>
      </c>
      <c r="X205" s="10" t="n">
        <v>0</v>
      </c>
      <c r="Y205" s="10" t="n">
        <v>1995</v>
      </c>
      <c r="Z205" s="10" t="n">
        <v>0</v>
      </c>
    </row>
    <row r="206">
      <c r="A206" s="7" t="n">
        <v>215</v>
      </c>
      <c r="B206" s="8" t="inlineStr">
        <is>
          <t>|Nizamabad</t>
        </is>
      </c>
      <c r="C206" s="9" t="n">
        <v>181</v>
      </c>
      <c r="D206" s="9" t="n">
        <v>232</v>
      </c>
      <c r="E206" s="9" t="n">
        <v>10</v>
      </c>
      <c r="F206" s="9" t="n">
        <v>1</v>
      </c>
      <c r="G206" s="9" t="n">
        <v>1</v>
      </c>
      <c r="H206" s="9" t="n">
        <v>0</v>
      </c>
      <c r="I206" s="9" t="n">
        <v>2</v>
      </c>
      <c r="J206" s="9" t="n">
        <v>0</v>
      </c>
      <c r="K206" s="9" t="n">
        <v>1</v>
      </c>
      <c r="L206" s="9" t="n">
        <v>0</v>
      </c>
      <c r="M206" s="9" t="n">
        <v>1</v>
      </c>
      <c r="N206" s="9" t="n">
        <v>2</v>
      </c>
      <c r="O206" s="9" t="n">
        <v>0</v>
      </c>
      <c r="P206" s="9" t="n">
        <v>4</v>
      </c>
      <c r="Q206" s="9" t="n">
        <v>1</v>
      </c>
      <c r="R206" s="9" t="n">
        <v>436</v>
      </c>
      <c r="S206" s="9" t="n">
        <v>4</v>
      </c>
      <c r="T206" s="9" t="n">
        <v>0</v>
      </c>
      <c r="U206" s="9" t="n">
        <v>440</v>
      </c>
      <c r="V206" s="10" t="n">
        <v>1316</v>
      </c>
      <c r="W206" s="10" t="n">
        <v>0</v>
      </c>
      <c r="X206" s="10" t="n">
        <v>0</v>
      </c>
      <c r="Y206" s="10" t="n">
        <v>1316</v>
      </c>
      <c r="Z206" s="10" t="n">
        <v>0</v>
      </c>
    </row>
    <row r="207">
      <c r="A207" s="7" t="n">
        <v>216</v>
      </c>
      <c r="B207" s="8" t="inlineStr">
        <is>
          <t>|Nizamabad</t>
        </is>
      </c>
      <c r="C207" s="9" t="n">
        <v>402</v>
      </c>
      <c r="D207" s="9" t="n">
        <v>417</v>
      </c>
      <c r="E207" s="9" t="n">
        <v>2</v>
      </c>
      <c r="F207" s="9" t="n">
        <v>15</v>
      </c>
      <c r="G207" s="9" t="n">
        <v>0</v>
      </c>
      <c r="H207" s="9" t="n">
        <v>1</v>
      </c>
      <c r="I207" s="9" t="n">
        <v>3</v>
      </c>
      <c r="J207" s="9" t="n">
        <v>0</v>
      </c>
      <c r="K207" s="9" t="n">
        <v>0</v>
      </c>
      <c r="L207" s="9" t="n">
        <v>2</v>
      </c>
      <c r="M207" s="9" t="n">
        <v>0</v>
      </c>
      <c r="N207" s="9" t="n">
        <v>7</v>
      </c>
      <c r="O207" s="9" t="n">
        <v>2</v>
      </c>
      <c r="P207" s="9" t="n">
        <v>2</v>
      </c>
      <c r="Q207" s="9" t="n">
        <v>3</v>
      </c>
      <c r="R207" s="9" t="n">
        <v>875</v>
      </c>
      <c r="S207" s="9" t="n">
        <v>7</v>
      </c>
      <c r="T207" s="9" t="n">
        <v>0</v>
      </c>
      <c r="U207" s="9" t="n">
        <v>882</v>
      </c>
      <c r="V207" s="10" t="n">
        <v>2620</v>
      </c>
      <c r="W207" s="10" t="n">
        <v>0</v>
      </c>
      <c r="X207" s="10" t="n">
        <v>0</v>
      </c>
      <c r="Y207" s="10" t="n">
        <v>2620</v>
      </c>
      <c r="Z207" s="10" t="n">
        <v>0</v>
      </c>
    </row>
    <row r="208">
      <c r="A208" s="7" t="n">
        <v>217</v>
      </c>
      <c r="B208" s="8" t="inlineStr">
        <is>
          <t>+|Kanagarthi</t>
        </is>
      </c>
      <c r="C208" s="9" t="n">
        <v>400</v>
      </c>
      <c r="D208" s="9" t="n">
        <v>356</v>
      </c>
      <c r="E208" s="9" t="n">
        <v>2</v>
      </c>
      <c r="F208" s="9" t="n">
        <v>29</v>
      </c>
      <c r="G208" s="9" t="n">
        <v>2</v>
      </c>
      <c r="H208" s="9" t="n">
        <v>2</v>
      </c>
      <c r="I208" s="9" t="n">
        <v>2</v>
      </c>
      <c r="J208" s="9" t="n">
        <v>3</v>
      </c>
      <c r="K208" s="9" t="n">
        <v>3</v>
      </c>
      <c r="L208" s="9" t="n">
        <v>2</v>
      </c>
      <c r="M208" s="9" t="n">
        <v>1</v>
      </c>
      <c r="N208" s="9" t="n">
        <v>5</v>
      </c>
      <c r="O208" s="9" t="n">
        <v>3</v>
      </c>
      <c r="P208" s="9" t="n">
        <v>4</v>
      </c>
      <c r="Q208" s="9" t="n">
        <v>0</v>
      </c>
      <c r="R208" s="9" t="n">
        <v>844</v>
      </c>
      <c r="S208" s="9" t="n">
        <v>10</v>
      </c>
      <c r="T208" s="9" t="n">
        <v>0</v>
      </c>
      <c r="U208" s="9" t="n">
        <v>854</v>
      </c>
      <c r="V208" s="10" t="n">
        <v>2522</v>
      </c>
      <c r="W208" s="10" t="n">
        <v>0</v>
      </c>
      <c r="X208" s="10" t="n">
        <v>0</v>
      </c>
      <c r="Y208" s="10" t="n">
        <v>2522</v>
      </c>
      <c r="Z208" s="10" t="n">
        <v>0</v>
      </c>
    </row>
    <row r="209">
      <c r="A209" s="7" t="n">
        <v>218</v>
      </c>
      <c r="B209" s="8" t="inlineStr">
        <is>
          <t>|Kanagarthi</t>
        </is>
      </c>
      <c r="C209" s="9" t="n">
        <v>175</v>
      </c>
      <c r="D209" s="9" t="n">
        <v>0</v>
      </c>
      <c r="E209" s="9" t="n">
        <v>23</v>
      </c>
      <c r="F209" s="9" t="n">
        <v>25</v>
      </c>
      <c r="G209" s="9" t="n">
        <v>2</v>
      </c>
      <c r="H209" s="9" t="n">
        <v>1</v>
      </c>
      <c r="I209" s="9" t="n">
        <v>1</v>
      </c>
      <c r="J209" s="9" t="n">
        <v>0</v>
      </c>
      <c r="K209" s="9" t="n">
        <v>1</v>
      </c>
      <c r="L209" s="9" t="n">
        <v>2</v>
      </c>
      <c r="M209" s="9" t="n">
        <v>0</v>
      </c>
      <c r="N209" s="9" t="n">
        <v>3</v>
      </c>
      <c r="O209" s="9" t="n">
        <v>1</v>
      </c>
      <c r="P209" s="9" t="n">
        <v>1</v>
      </c>
      <c r="Q209" s="9" t="n">
        <v>8</v>
      </c>
      <c r="R209" s="9" t="n">
        <v>586</v>
      </c>
      <c r="S209" s="9" t="n">
        <v>6</v>
      </c>
      <c r="T209" s="9" t="n">
        <v>0</v>
      </c>
      <c r="U209" s="9" t="n">
        <v>592</v>
      </c>
      <c r="V209" s="10" t="n">
        <v>1427</v>
      </c>
      <c r="W209" s="10" t="n">
        <v>0</v>
      </c>
      <c r="X209" s="10" t="n">
        <v>0</v>
      </c>
      <c r="Y209" s="10" t="n">
        <v>1427</v>
      </c>
      <c r="Z209" s="10" t="n">
        <v>0</v>
      </c>
    </row>
    <row r="210">
      <c r="A210" s="7" t="n">
        <v>219</v>
      </c>
      <c r="B210" s="8" t="inlineStr">
        <is>
          <t>Polling Station 219</t>
        </is>
      </c>
      <c r="C210" s="9" t="n">
        <v>0</v>
      </c>
      <c r="D210" s="9" t="n">
        <v>0</v>
      </c>
      <c r="E210" s="9" t="n">
        <v>2</v>
      </c>
      <c r="F210" s="9" t="n">
        <v>0</v>
      </c>
      <c r="G210" s="9" t="n">
        <v>4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10" t="n">
        <v>6</v>
      </c>
      <c r="W210" s="10" t="n">
        <v>0</v>
      </c>
      <c r="X210" s="10" t="n">
        <v>0</v>
      </c>
      <c r="Y210" s="10" t="n">
        <v>6</v>
      </c>
      <c r="Z210" s="10" t="n">
        <v>0</v>
      </c>
    </row>
    <row r="211">
      <c r="A211" s="7" t="n">
        <v>220</v>
      </c>
      <c r="B211" s="8" t="inlineStr">
        <is>
          <t>Polling Station 220</t>
        </is>
      </c>
      <c r="C211" s="9" t="n">
        <v>3</v>
      </c>
      <c r="D211" s="9" t="n">
        <v>4</v>
      </c>
      <c r="E211" s="9" t="n">
        <v>5</v>
      </c>
      <c r="F211" s="9" t="n">
        <v>6</v>
      </c>
      <c r="G211" s="9" t="n">
        <v>7</v>
      </c>
      <c r="H211" s="9" t="n">
        <v>8</v>
      </c>
      <c r="I211" s="9" t="n">
        <v>9</v>
      </c>
      <c r="J211" s="9" t="n">
        <v>10</v>
      </c>
      <c r="K211" s="9" t="n">
        <v>0</v>
      </c>
      <c r="L211" s="9" t="n">
        <v>2</v>
      </c>
      <c r="M211" s="9" t="n">
        <v>13</v>
      </c>
      <c r="N211" s="9" t="n">
        <v>14</v>
      </c>
      <c r="O211" s="9" t="n">
        <v>15</v>
      </c>
      <c r="P211" s="9" t="n">
        <v>16</v>
      </c>
      <c r="Q211" s="9" t="n">
        <v>7</v>
      </c>
      <c r="R211" s="9" t="n">
        <v>18</v>
      </c>
      <c r="S211" s="9" t="n">
        <v>19</v>
      </c>
      <c r="T211" s="9" t="n">
        <v>20</v>
      </c>
      <c r="U211" s="9" t="n">
        <v>2</v>
      </c>
      <c r="V211" s="10" t="n">
        <v>178</v>
      </c>
      <c r="W211" s="10" t="n">
        <v>0</v>
      </c>
      <c r="X211" s="10" t="n">
        <v>0</v>
      </c>
      <c r="Y211" s="10" t="n">
        <v>178</v>
      </c>
      <c r="Z211" s="10" t="n">
        <v>0</v>
      </c>
    </row>
    <row r="212">
      <c r="A212" s="7" t="n">
        <v>221</v>
      </c>
      <c r="B212" s="8" t="inlineStr">
        <is>
          <t>| 221 |Suddala</t>
        </is>
      </c>
      <c r="C212" s="9" t="n">
        <v>216</v>
      </c>
      <c r="D212" s="9" t="n">
        <v>420</v>
      </c>
      <c r="E212" s="9" t="n">
        <v>22</v>
      </c>
      <c r="F212" s="9" t="n">
        <v>8</v>
      </c>
      <c r="G212" s="9" t="n">
        <v>0</v>
      </c>
      <c r="H212" s="9" t="n">
        <v>0</v>
      </c>
      <c r="I212" s="9" t="n">
        <v>1</v>
      </c>
      <c r="J212" s="9" t="n">
        <v>1</v>
      </c>
      <c r="K212" s="9" t="n">
        <v>3</v>
      </c>
      <c r="L212" s="9" t="n">
        <v>0</v>
      </c>
      <c r="M212" s="9" t="n">
        <v>0</v>
      </c>
      <c r="N212" s="9" t="n">
        <v>2</v>
      </c>
      <c r="O212" s="9" t="n">
        <v>3</v>
      </c>
      <c r="P212" s="9" t="n">
        <v>0</v>
      </c>
      <c r="Q212" s="9" t="n">
        <v>5</v>
      </c>
      <c r="R212" s="9" t="n">
        <v>732</v>
      </c>
      <c r="S212" s="9" t="n">
        <v>5</v>
      </c>
      <c r="T212" s="9" t="n">
        <v>0</v>
      </c>
      <c r="U212" s="9" t="n">
        <v>737</v>
      </c>
      <c r="V212" s="10" t="n">
        <v>2155</v>
      </c>
      <c r="W212" s="10" t="n">
        <v>0</v>
      </c>
      <c r="X212" s="10" t="n">
        <v>0</v>
      </c>
      <c r="Y212" s="10" t="n">
        <v>2155</v>
      </c>
      <c r="Z212" s="10" t="n">
        <v>0</v>
      </c>
    </row>
    <row r="213">
      <c r="A213" s="7" t="n">
        <v>222</v>
      </c>
      <c r="B213" s="8" t="inlineStr">
        <is>
          <t>|Mangalapalli H/o
ISuddala</t>
        </is>
      </c>
      <c r="C213" s="9" t="n">
        <v>162</v>
      </c>
      <c r="D213" s="9" t="n">
        <v>278</v>
      </c>
      <c r="E213" s="9" t="n">
        <v>3</v>
      </c>
      <c r="F213" s="9" t="n">
        <v>5</v>
      </c>
      <c r="G213" s="9" t="n">
        <v>0</v>
      </c>
      <c r="H213" s="9" t="n">
        <v>0</v>
      </c>
      <c r="I213" s="9" t="n">
        <v>0</v>
      </c>
      <c r="J213" s="9" t="n">
        <v>1</v>
      </c>
      <c r="K213" s="9" t="n">
        <v>3</v>
      </c>
      <c r="L213" s="9" t="n">
        <v>2</v>
      </c>
      <c r="M213" s="9" t="n">
        <v>0</v>
      </c>
      <c r="N213" s="9" t="n">
        <v>2</v>
      </c>
      <c r="O213" s="9" t="n">
        <v>0</v>
      </c>
      <c r="P213" s="9" t="n">
        <v>0</v>
      </c>
      <c r="Q213" s="9" t="n">
        <v>6</v>
      </c>
      <c r="R213" s="9" t="n">
        <v>462</v>
      </c>
      <c r="S213" s="9" t="n">
        <v>6</v>
      </c>
      <c r="T213" s="9" t="n">
        <v>0</v>
      </c>
      <c r="U213" s="9" t="n">
        <v>468</v>
      </c>
      <c r="V213" s="10" t="n">
        <v>1398</v>
      </c>
      <c r="W213" s="10" t="n">
        <v>0</v>
      </c>
      <c r="X213" s="10" t="n">
        <v>0</v>
      </c>
      <c r="Y213" s="10" t="n">
        <v>1398</v>
      </c>
      <c r="Z213" s="10" t="n">
        <v>0</v>
      </c>
    </row>
    <row r="214">
      <c r="A214" s="7" t="n">
        <v>223</v>
      </c>
      <c r="B214" s="8" t="inlineStr">
        <is>
          <t>| 223 |Ramannapeta</t>
        </is>
      </c>
      <c r="C214" s="9" t="n">
        <v>157</v>
      </c>
      <c r="D214" s="9" t="n">
        <v>393</v>
      </c>
      <c r="E214" s="9" t="n">
        <v>1</v>
      </c>
      <c r="F214" s="9" t="n">
        <v>9</v>
      </c>
      <c r="G214" s="9" t="n">
        <v>1</v>
      </c>
      <c r="H214" s="9" t="n">
        <v>1</v>
      </c>
      <c r="I214" s="9" t="n">
        <v>0</v>
      </c>
      <c r="J214" s="9" t="n">
        <v>0</v>
      </c>
      <c r="K214" s="9" t="n">
        <v>1</v>
      </c>
      <c r="L214" s="9" t="n">
        <v>0</v>
      </c>
      <c r="M214" s="9" t="n">
        <v>2</v>
      </c>
      <c r="N214" s="9" t="n">
        <v>3</v>
      </c>
      <c r="O214" s="9" t="n">
        <v>2</v>
      </c>
      <c r="P214" s="9" t="n">
        <v>1</v>
      </c>
      <c r="Q214" s="9" t="n">
        <v>0</v>
      </c>
      <c r="R214" s="9" t="n">
        <v>583</v>
      </c>
      <c r="S214" s="9" t="n">
        <v>4</v>
      </c>
      <c r="T214" s="9" t="n">
        <v>0</v>
      </c>
      <c r="U214" s="9" t="n">
        <v>8</v>
      </c>
      <c r="V214" s="10" t="n">
        <v>1166</v>
      </c>
      <c r="W214" s="10" t="n">
        <v>0</v>
      </c>
      <c r="X214" s="10" t="n">
        <v>0</v>
      </c>
      <c r="Y214" s="10" t="n">
        <v>1166</v>
      </c>
      <c r="Z214" s="10" t="n">
        <v>0</v>
      </c>
    </row>
    <row r="215">
      <c r="A215" s="7" t="n">
        <v>224</v>
      </c>
      <c r="B215" s="8" t="inlineStr">
        <is>
          <t>|Nagaram</t>
        </is>
      </c>
      <c r="C215" s="9" t="n">
        <v>220</v>
      </c>
      <c r="D215" s="9" t="n">
        <v>452</v>
      </c>
      <c r="E215" s="9" t="n">
        <v>33</v>
      </c>
      <c r="F215" s="9" t="n">
        <v>8</v>
      </c>
      <c r="G215" s="9" t="n">
        <v>2</v>
      </c>
      <c r="H215" s="9" t="n">
        <v>0</v>
      </c>
      <c r="I215" s="9" t="n">
        <v>0</v>
      </c>
      <c r="J215" s="9" t="n">
        <v>2</v>
      </c>
      <c r="K215" s="9" t="n">
        <v>0</v>
      </c>
      <c r="L215" s="9" t="n">
        <v>2</v>
      </c>
      <c r="M215" s="9" t="n">
        <v>0</v>
      </c>
      <c r="N215" s="9" t="n">
        <v>0</v>
      </c>
      <c r="O215" s="9" t="n">
        <v>1</v>
      </c>
      <c r="P215" s="9" t="n">
        <v>4</v>
      </c>
      <c r="Q215" s="9" t="n">
        <v>4</v>
      </c>
      <c r="R215" s="9" t="n">
        <v>729</v>
      </c>
      <c r="S215" s="9" t="n">
        <v>8</v>
      </c>
      <c r="T215" s="9" t="n">
        <v>0</v>
      </c>
      <c r="U215" s="9" t="n">
        <v>737</v>
      </c>
      <c r="V215" s="10" t="n">
        <v>2202</v>
      </c>
      <c r="W215" s="10" t="n">
        <v>0</v>
      </c>
      <c r="X215" s="10" t="n">
        <v>0</v>
      </c>
      <c r="Y215" s="10" t="n">
        <v>2202</v>
      </c>
      <c r="Z215" s="10" t="n">
        <v>0</v>
      </c>
    </row>
    <row r="216">
      <c r="A216" s="7" t="n">
        <v>225</v>
      </c>
      <c r="B216" s="8" t="inlineStr">
        <is>
          <t>| 225 |Malkapeta</t>
        </is>
      </c>
      <c r="C216" s="9" t="n">
        <v>218</v>
      </c>
      <c r="D216" s="9" t="n">
        <v>9</v>
      </c>
      <c r="E216" s="9" t="n">
        <v>26</v>
      </c>
      <c r="F216" s="9" t="n">
        <v>4</v>
      </c>
      <c r="G216" s="9" t="n">
        <v>2</v>
      </c>
      <c r="H216" s="9" t="n">
        <v>3</v>
      </c>
      <c r="I216" s="9" t="n">
        <v>2</v>
      </c>
      <c r="J216" s="9" t="n">
        <v>0</v>
      </c>
      <c r="K216" s="9" t="n">
        <v>3</v>
      </c>
      <c r="L216" s="9" t="n">
        <v>1</v>
      </c>
      <c r="M216" s="9" t="n">
        <v>0</v>
      </c>
      <c r="N216" s="9" t="n">
        <v>1</v>
      </c>
      <c r="O216" s="9" t="n">
        <v>5</v>
      </c>
      <c r="P216" s="9" t="n">
        <v>3</v>
      </c>
      <c r="Q216" s="9" t="n">
        <v>7</v>
      </c>
      <c r="R216" s="9" t="n">
        <v>504</v>
      </c>
      <c r="S216" s="9" t="n">
        <v>12</v>
      </c>
      <c r="T216" s="9" t="n">
        <v>0</v>
      </c>
      <c r="U216" s="9" t="n">
        <v>516</v>
      </c>
      <c r="V216" s="10" t="n">
        <v>1316</v>
      </c>
      <c r="W216" s="10" t="n">
        <v>0</v>
      </c>
      <c r="X216" s="10" t="n">
        <v>0</v>
      </c>
      <c r="Y216" s="10" t="n">
        <v>1316</v>
      </c>
      <c r="Z216" s="10" t="n">
        <v>0</v>
      </c>
    </row>
    <row r="217">
      <c r="A217" s="7" t="n">
        <v>226</v>
      </c>
      <c r="B217" s="8" t="inlineStr">
        <is>
          <t>| 226 |Malkapeta</t>
        </is>
      </c>
      <c r="C217" s="9" t="n">
        <v>233</v>
      </c>
      <c r="D217" s="9" t="n">
        <v>378</v>
      </c>
      <c r="E217" s="9" t="n">
        <v>25</v>
      </c>
      <c r="F217" s="9" t="n">
        <v>13</v>
      </c>
      <c r="G217" s="9" t="n">
        <v>0</v>
      </c>
      <c r="H217" s="9" t="n">
        <v>3</v>
      </c>
      <c r="I217" s="9" t="n">
        <v>3</v>
      </c>
      <c r="J217" s="9" t="n">
        <v>1</v>
      </c>
      <c r="K217" s="9" t="n">
        <v>0</v>
      </c>
      <c r="L217" s="9" t="n">
        <v>2</v>
      </c>
      <c r="M217" s="9" t="n">
        <v>4</v>
      </c>
      <c r="N217" s="9" t="n">
        <v>1</v>
      </c>
      <c r="O217" s="9" t="n">
        <v>2</v>
      </c>
      <c r="P217" s="9" t="n">
        <v>2</v>
      </c>
      <c r="Q217" s="9" t="n">
        <v>2</v>
      </c>
      <c r="R217" s="9" t="n">
        <v>669</v>
      </c>
      <c r="S217" s="9" t="n">
        <v>7</v>
      </c>
      <c r="T217" s="9" t="n">
        <v>0</v>
      </c>
      <c r="U217" s="9" t="n">
        <v>676</v>
      </c>
      <c r="V217" s="10" t="n">
        <v>2021</v>
      </c>
      <c r="W217" s="10" t="n">
        <v>0</v>
      </c>
      <c r="X217" s="10" t="n">
        <v>0</v>
      </c>
      <c r="Y217" s="10" t="n">
        <v>2021</v>
      </c>
      <c r="Z217" s="10" t="n">
        <v>0</v>
      </c>
    </row>
    <row r="218">
      <c r="A218" s="7" t="n">
        <v>227</v>
      </c>
      <c r="B218" s="8" t="inlineStr">
        <is>
          <t>|Dharmaram</t>
        </is>
      </c>
      <c r="C218" s="9" t="n">
        <v>281</v>
      </c>
      <c r="D218" s="9" t="n">
        <v>15</v>
      </c>
      <c r="E218" s="9" t="n">
        <v>35</v>
      </c>
      <c r="F218" s="9" t="n">
        <v>8</v>
      </c>
      <c r="G218" s="9" t="n">
        <v>2</v>
      </c>
      <c r="H218" s="9" t="n">
        <v>2</v>
      </c>
      <c r="I218" s="9" t="n">
        <v>2</v>
      </c>
      <c r="J218" s="9" t="n">
        <v>0</v>
      </c>
      <c r="K218" s="9" t="n">
        <v>0</v>
      </c>
      <c r="L218" s="9" t="n">
        <v>2</v>
      </c>
      <c r="M218" s="9" t="n">
        <v>2</v>
      </c>
      <c r="N218" s="9" t="n">
        <v>6</v>
      </c>
      <c r="O218" s="9" t="n">
        <v>3</v>
      </c>
      <c r="P218" s="9" t="n">
        <v>4</v>
      </c>
      <c r="Q218" s="9" t="n">
        <v>15</v>
      </c>
      <c r="R218" s="9" t="n">
        <v>7</v>
      </c>
      <c r="S218" s="9" t="n">
        <v>4</v>
      </c>
      <c r="T218" s="9" t="n">
        <v>0</v>
      </c>
      <c r="U218" s="9" t="n">
        <v>791</v>
      </c>
      <c r="V218" s="10" t="n">
        <v>1179</v>
      </c>
      <c r="W218" s="10" t="n">
        <v>0</v>
      </c>
      <c r="X218" s="10" t="n">
        <v>0</v>
      </c>
      <c r="Y218" s="10" t="n">
        <v>1179</v>
      </c>
      <c r="Z218" s="10" t="n">
        <v>0</v>
      </c>
    </row>
    <row r="219">
      <c r="A219" s="7" t="n">
        <v>228</v>
      </c>
      <c r="B219" s="8" t="inlineStr">
        <is>
          <t>|Dharmaram</t>
        </is>
      </c>
      <c r="C219" s="9" t="n">
        <v>210</v>
      </c>
      <c r="D219" s="9" t="n">
        <v>413</v>
      </c>
      <c r="E219" s="9" t="n">
        <v>27</v>
      </c>
      <c r="F219" s="9" t="n">
        <v>10</v>
      </c>
      <c r="G219" s="9" t="n">
        <v>1</v>
      </c>
      <c r="H219" s="9" t="n">
        <v>0</v>
      </c>
      <c r="I219" s="9" t="n">
        <v>1</v>
      </c>
      <c r="J219" s="9" t="n">
        <v>2</v>
      </c>
      <c r="K219" s="9" t="n">
        <v>2</v>
      </c>
      <c r="L219" s="9" t="n">
        <v>4</v>
      </c>
      <c r="M219" s="9" t="n">
        <v>3</v>
      </c>
      <c r="N219" s="9" t="n">
        <v>0</v>
      </c>
      <c r="O219" s="9" t="n">
        <v>3</v>
      </c>
      <c r="P219" s="9" t="n">
        <v>5</v>
      </c>
      <c r="Q219" s="9" t="n">
        <v>8</v>
      </c>
      <c r="R219" s="9" t="n">
        <v>691</v>
      </c>
      <c r="S219" s="9" t="n">
        <v>8</v>
      </c>
      <c r="T219" s="9" t="n">
        <v>0</v>
      </c>
      <c r="U219" s="9" t="n">
        <v>699</v>
      </c>
      <c r="V219" s="10" t="n">
        <v>2087</v>
      </c>
      <c r="W219" s="10" t="n">
        <v>0</v>
      </c>
      <c r="X219" s="10" t="n">
        <v>0</v>
      </c>
      <c r="Y219" s="10" t="n">
        <v>2087</v>
      </c>
      <c r="Z219" s="10" t="n">
        <v>0</v>
      </c>
    </row>
    <row r="220">
      <c r="A220" s="7" t="n">
        <v>229</v>
      </c>
      <c r="B220" s="8" t="inlineStr">
        <is>
          <t>| 229 |Martanapeta</t>
        </is>
      </c>
      <c r="C220" s="9" t="n">
        <v>237</v>
      </c>
      <c r="D220" s="9" t="n">
        <v>439</v>
      </c>
      <c r="E220" s="9" t="n">
        <v>16</v>
      </c>
      <c r="F220" s="9" t="n">
        <v>20</v>
      </c>
      <c r="G220" s="9" t="n">
        <v>0</v>
      </c>
      <c r="H220" s="9" t="n">
        <v>1</v>
      </c>
      <c r="I220" s="9" t="n">
        <v>3</v>
      </c>
      <c r="J220" s="9" t="n">
        <v>0</v>
      </c>
      <c r="K220" s="9" t="n">
        <v>0</v>
      </c>
      <c r="L220" s="9" t="n">
        <v>2</v>
      </c>
      <c r="M220" s="9" t="n">
        <v>0</v>
      </c>
      <c r="N220" s="9" t="n">
        <v>0</v>
      </c>
      <c r="O220" s="9" t="n">
        <v>2</v>
      </c>
      <c r="P220" s="9" t="n">
        <v>3</v>
      </c>
      <c r="Q220" s="9" t="n">
        <v>2</v>
      </c>
      <c r="R220" s="9" t="n">
        <v>727</v>
      </c>
      <c r="S220" s="9" t="n">
        <v>10</v>
      </c>
      <c r="T220" s="9" t="n">
        <v>0</v>
      </c>
      <c r="U220" s="9" t="n">
        <v>737</v>
      </c>
      <c r="V220" s="10" t="n">
        <v>2199</v>
      </c>
      <c r="W220" s="10" t="n">
        <v>0</v>
      </c>
      <c r="X220" s="10" t="n">
        <v>0</v>
      </c>
      <c r="Y220" s="10" t="n">
        <v>2199</v>
      </c>
      <c r="Z220" s="10" t="n">
        <v>0</v>
      </c>
    </row>
    <row r="221">
      <c r="A221" s="7" t="n">
        <v>230</v>
      </c>
      <c r="B221" s="8" t="inlineStr">
        <is>
          <t>+ =«©|Kolanooru</t>
        </is>
      </c>
      <c r="C221" s="9" t="n">
        <v>419</v>
      </c>
      <c r="D221" s="9" t="n">
        <v>387</v>
      </c>
      <c r="E221" s="9" t="n">
        <v>0</v>
      </c>
      <c r="F221" s="9" t="n">
        <v>8</v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1</v>
      </c>
      <c r="L221" s="9" t="n">
        <v>0</v>
      </c>
      <c r="M221" s="9" t="n">
        <v>4</v>
      </c>
      <c r="N221" s="9" t="n">
        <v>2</v>
      </c>
      <c r="O221" s="9" t="n">
        <v>3</v>
      </c>
      <c r="P221" s="9" t="n">
        <v>20</v>
      </c>
      <c r="Q221" s="9" t="n">
        <v>13</v>
      </c>
      <c r="R221" s="9" t="n">
        <v>855</v>
      </c>
      <c r="S221" s="9" t="n">
        <v>9</v>
      </c>
      <c r="T221" s="9" t="n">
        <v>0</v>
      </c>
      <c r="U221" s="9" t="n">
        <v>864</v>
      </c>
      <c r="V221" s="10" t="n">
        <v>2585</v>
      </c>
      <c r="W221" s="10" t="n">
        <v>0</v>
      </c>
      <c r="X221" s="10" t="n">
        <v>0</v>
      </c>
      <c r="Y221" s="10" t="n">
        <v>2585</v>
      </c>
      <c r="Z221" s="10" t="n">
        <v>0</v>
      </c>
    </row>
    <row r="222">
      <c r="A222" s="7" t="n">
        <v>231</v>
      </c>
      <c r="B222" s="8" t="inlineStr">
        <is>
          <t>| 231 |Kolanuru</t>
        </is>
      </c>
      <c r="C222" s="9" t="n">
        <v>206</v>
      </c>
      <c r="D222" s="9" t="n">
        <v>493</v>
      </c>
      <c r="E222" s="9" t="n">
        <v>8</v>
      </c>
      <c r="F222" s="9" t="n">
        <v>3</v>
      </c>
      <c r="G222" s="9" t="n">
        <v>0</v>
      </c>
      <c r="H222" s="9" t="n">
        <v>4</v>
      </c>
      <c r="I222" s="9" t="n">
        <v>3</v>
      </c>
      <c r="J222" s="9" t="n">
        <v>4</v>
      </c>
      <c r="K222" s="9" t="n">
        <v>2</v>
      </c>
      <c r="L222" s="9" t="n">
        <v>2</v>
      </c>
      <c r="M222" s="9" t="n">
        <v>2</v>
      </c>
      <c r="N222" s="9" t="n">
        <v>0</v>
      </c>
      <c r="O222" s="9" t="n">
        <v>3</v>
      </c>
      <c r="P222" s="9" t="n">
        <v>24</v>
      </c>
      <c r="Q222" s="9" t="n">
        <v>9</v>
      </c>
      <c r="R222" s="9" t="n">
        <v>763</v>
      </c>
      <c r="S222" s="9" t="n">
        <v>7</v>
      </c>
      <c r="T222" s="9" t="n">
        <v>0</v>
      </c>
      <c r="U222" s="9" t="n">
        <v>770</v>
      </c>
      <c r="V222" s="10" t="n">
        <v>2303</v>
      </c>
      <c r="W222" s="10" t="n">
        <v>0</v>
      </c>
      <c r="X222" s="10" t="n">
        <v>0</v>
      </c>
      <c r="Y222" s="10" t="n">
        <v>2303</v>
      </c>
      <c r="Z222" s="10" t="n">
        <v>0</v>
      </c>
    </row>
    <row r="223">
      <c r="A223" s="11" t="inlineStr">
        <is>
          <t>TOTAL EVM VOTES</t>
        </is>
      </c>
      <c r="B223" s="12" t="n"/>
      <c r="C223" s="13">
        <f>SUM(C6:C222)</f>
        <v/>
      </c>
      <c r="D223" s="13">
        <f>SUM(D6:D222)</f>
        <v/>
      </c>
      <c r="E223" s="13">
        <f>SUM(E6:E222)</f>
        <v/>
      </c>
      <c r="F223" s="13">
        <f>SUM(F6:F222)</f>
        <v/>
      </c>
      <c r="G223" s="13">
        <f>SUM(G6:G222)</f>
        <v/>
      </c>
      <c r="H223" s="13">
        <f>SUM(H6:H222)</f>
        <v/>
      </c>
      <c r="I223" s="13">
        <f>SUM(I6:I222)</f>
        <v/>
      </c>
      <c r="J223" s="13">
        <f>SUM(J6:J222)</f>
        <v/>
      </c>
      <c r="K223" s="13">
        <f>SUM(K6:K222)</f>
        <v/>
      </c>
      <c r="L223" s="13">
        <f>SUM(L6:L222)</f>
        <v/>
      </c>
      <c r="M223" s="13">
        <f>SUM(M6:M222)</f>
        <v/>
      </c>
      <c r="N223" s="13">
        <f>SUM(N6:N222)</f>
        <v/>
      </c>
      <c r="O223" s="13">
        <f>SUM(O6:O222)</f>
        <v/>
      </c>
      <c r="P223" s="13">
        <f>SUM(P6:P222)</f>
        <v/>
      </c>
      <c r="Q223" s="13">
        <f>SUM(Q6:Q222)</f>
        <v/>
      </c>
      <c r="R223" s="13">
        <f>SUM(R6:R222)</f>
        <v/>
      </c>
      <c r="S223" s="13">
        <f>SUM(S6:S222)</f>
        <v/>
      </c>
      <c r="T223" s="13">
        <f>SUM(T6:T222)</f>
        <v/>
      </c>
      <c r="U223" s="13">
        <f>SUM(U6:U222)</f>
        <v/>
      </c>
      <c r="V223" s="13">
        <f>SUM(V6:V222)</f>
        <v/>
      </c>
      <c r="W223" s="13">
        <f>SUM(W6:W222)</f>
        <v/>
      </c>
      <c r="X223" s="13">
        <f>SUM(X6:X222)</f>
        <v/>
      </c>
      <c r="Y223" s="13">
        <f>SUM(Y6:Y222)</f>
        <v/>
      </c>
      <c r="Z223" s="13">
        <f>SUM(Z6:Z222)</f>
        <v/>
      </c>
    </row>
    <row r="224">
      <c r="A224" s="11" t="inlineStr">
        <is>
          <t>POSTAL BALLOT VOTES</t>
        </is>
      </c>
      <c r="B224" s="12" t="n"/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</row>
    <row r="225">
      <c r="A225" s="11" t="inlineStr">
        <is>
          <t>TOTAL VOTES POLLED</t>
        </is>
      </c>
      <c r="B225" s="12" t="n"/>
      <c r="C225" s="14">
        <f>C223+C224</f>
        <v/>
      </c>
      <c r="D225" s="14">
        <f>D223+D224</f>
        <v/>
      </c>
      <c r="E225" s="14">
        <f>E223+E224</f>
        <v/>
      </c>
      <c r="F225" s="14">
        <f>F223+F224</f>
        <v/>
      </c>
      <c r="G225" s="14">
        <f>G223+G224</f>
        <v/>
      </c>
      <c r="H225" s="14">
        <f>H223+H224</f>
        <v/>
      </c>
      <c r="I225" s="14">
        <f>I223+I224</f>
        <v/>
      </c>
      <c r="J225" s="14">
        <f>J223+J224</f>
        <v/>
      </c>
      <c r="K225" s="14">
        <f>K223+K224</f>
        <v/>
      </c>
      <c r="L225" s="14">
        <f>L223+L224</f>
        <v/>
      </c>
      <c r="M225" s="14">
        <f>M223+M224</f>
        <v/>
      </c>
      <c r="N225" s="14">
        <f>N223+N224</f>
        <v/>
      </c>
      <c r="O225" s="14">
        <f>O223+O224</f>
        <v/>
      </c>
      <c r="P225" s="14">
        <f>P223+P224</f>
        <v/>
      </c>
      <c r="Q225" s="14">
        <f>Q223+Q224</f>
        <v/>
      </c>
      <c r="R225" s="14">
        <f>R223+R224</f>
        <v/>
      </c>
      <c r="S225" s="14">
        <f>S223+S224</f>
        <v/>
      </c>
      <c r="T225" s="14">
        <f>T223+T224</f>
        <v/>
      </c>
      <c r="U225" s="14">
        <f>U223+U224</f>
        <v/>
      </c>
      <c r="V225" s="14">
        <f>V223+V224</f>
        <v/>
      </c>
      <c r="W225" s="14">
        <f>W223+W224</f>
        <v/>
      </c>
      <c r="X225" s="14">
        <f>X223+X224</f>
        <v/>
      </c>
      <c r="Y225" s="14">
        <f>Y223+Y224</f>
        <v/>
      </c>
      <c r="Z225" s="14">
        <f>Z223+Z224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5" customWidth="1" min="3" max="3"/>
    <col width="32" customWidth="1" min="4" max="4"/>
    <col width="23" customWidth="1" min="5" max="5"/>
    <col width="21" customWidth="1" min="6" max="6"/>
    <col width="21" customWidth="1" min="7" max="7"/>
    <col width="18" customWidth="1" min="8" max="8"/>
    <col width="27" customWidth="1" min="9" max="9"/>
    <col width="24" customWidth="1" min="10" max="10"/>
    <col width="17" customWidth="1" min="11" max="11"/>
    <col width="18" customWidth="1" min="12" max="12"/>
    <col width="21" customWidth="1" min="13" max="13"/>
    <col width="26" customWidth="1" min="14" max="14"/>
    <col width="21" customWidth="1" min="15" max="15"/>
    <col width="20" customWidth="1" min="16" max="16"/>
    <col width="17" customWidth="1" min="17" max="17"/>
    <col width="16" customWidth="1" min="18" max="18"/>
    <col width="16" customWidth="1" min="19" max="19"/>
    <col width="17" customWidth="1" min="20" max="20"/>
  </cols>
  <sheetData>
    <row r="1">
      <c r="A1" s="1" t="inlineStr">
        <is>
          <t>Telangana Legislative Assembly General Election 2018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29-Sircilla Assembly Constituency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Avunoori Ramakanth Rao</t>
        </is>
      </c>
      <c r="D5" s="6" t="inlineStr">
        <is>
          <t>Kalvakuntla Taraka Rama Rao (K.T.R.)</t>
        </is>
      </c>
      <c r="E5" s="6" t="inlineStr">
        <is>
          <t>Mallugari Narsa Goud</t>
        </is>
      </c>
      <c r="F5" s="6" t="inlineStr">
        <is>
          <t>K.K.Mahender Reddy</t>
        </is>
      </c>
      <c r="G5" s="6" t="inlineStr">
        <is>
          <t>Karingula Yadagiri</t>
        </is>
      </c>
      <c r="H5" s="6" t="inlineStr">
        <is>
          <t>Kurapati Ramesh</t>
        </is>
      </c>
      <c r="I5" s="6" t="inlineStr">
        <is>
          <t>Gouta Ganesh Gangaputhra</t>
        </is>
      </c>
      <c r="J5" s="6" t="inlineStr">
        <is>
          <t>Choutapelli Venugopal</t>
        </is>
      </c>
      <c r="K5" s="6" t="inlineStr">
        <is>
          <t>Thakkala Kiran</t>
        </is>
      </c>
      <c r="L5" s="6" t="inlineStr">
        <is>
          <t>Dosala Chandram</t>
        </is>
      </c>
      <c r="M5" s="6" t="inlineStr">
        <is>
          <t>Srinivas Boinpally</t>
        </is>
      </c>
      <c r="N5" s="6" t="inlineStr">
        <is>
          <t>Alwala Kanakaraju (AKR)</t>
        </is>
      </c>
      <c r="O5" s="6" t="inlineStr">
        <is>
          <t>Koduri Bala Lingam</t>
        </is>
      </c>
      <c r="P5" s="5" t="inlineStr">
        <is>
          <t>Total_Valid_Votes</t>
        </is>
      </c>
      <c r="Q5" s="5" t="inlineStr">
        <is>
          <t>Rejected_Votes</t>
        </is>
      </c>
      <c r="R5" s="5" t="inlineStr">
        <is>
          <t>NOTA</t>
        </is>
      </c>
      <c r="S5" s="5" t="inlineStr">
        <is>
          <t>Total_Votes</t>
        </is>
      </c>
      <c r="T5" s="5" t="inlineStr">
        <is>
          <t>Tendered_Votes</t>
        </is>
      </c>
    </row>
    <row r="6">
      <c r="A6" s="7" t="n">
        <v>1</v>
      </c>
      <c r="B6" s="8" t="inlineStr">
        <is>
          <t>Polling Station 1</t>
        </is>
      </c>
      <c r="C6" s="9" t="n">
        <v>6</v>
      </c>
      <c r="D6" s="9" t="n">
        <v>651</v>
      </c>
      <c r="E6" s="9" t="n">
        <v>2</v>
      </c>
      <c r="F6" s="9" t="n">
        <v>20</v>
      </c>
      <c r="G6" s="9" t="n">
        <v>3</v>
      </c>
      <c r="H6" s="9" t="n">
        <v>0</v>
      </c>
      <c r="I6" s="9" t="n">
        <v>2</v>
      </c>
      <c r="J6" s="9" t="n">
        <v>4</v>
      </c>
      <c r="K6" s="9" t="n">
        <v>9</v>
      </c>
      <c r="L6" s="9" t="n">
        <v>4</v>
      </c>
      <c r="M6" s="9" t="n">
        <v>0</v>
      </c>
      <c r="N6" s="9" t="n">
        <v>3</v>
      </c>
      <c r="O6" s="9" t="n">
        <v>15</v>
      </c>
      <c r="P6" s="10" t="n">
        <v>719</v>
      </c>
      <c r="Q6" s="10" t="n">
        <v>0</v>
      </c>
      <c r="R6" s="10" t="n">
        <v>22</v>
      </c>
      <c r="S6" s="10" t="n">
        <v>741</v>
      </c>
      <c r="T6" s="10" t="n">
        <v>0</v>
      </c>
    </row>
    <row r="7">
      <c r="A7" s="7" t="n">
        <v>2</v>
      </c>
      <c r="B7" s="8" t="inlineStr">
        <is>
          <t>Polling Station 2</t>
        </is>
      </c>
      <c r="C7" s="9" t="n">
        <v>0</v>
      </c>
      <c r="D7" s="9" t="n">
        <v>0</v>
      </c>
      <c r="E7" s="9" t="n">
        <v>5</v>
      </c>
      <c r="F7" s="9" t="n">
        <v>6</v>
      </c>
      <c r="G7" s="9" t="n">
        <v>7</v>
      </c>
      <c r="H7" s="9" t="n">
        <v>8</v>
      </c>
      <c r="I7" s="9" t="n">
        <v>9</v>
      </c>
      <c r="J7" s="9" t="n">
        <v>10</v>
      </c>
      <c r="K7" s="9" t="n">
        <v>0</v>
      </c>
      <c r="L7" s="9" t="n">
        <v>12</v>
      </c>
      <c r="M7" s="9" t="n">
        <v>13</v>
      </c>
      <c r="N7" s="9" t="n">
        <v>0</v>
      </c>
      <c r="O7" s="9" t="n">
        <v>15</v>
      </c>
      <c r="P7" s="10" t="n">
        <v>85</v>
      </c>
      <c r="Q7" s="10" t="n">
        <v>0</v>
      </c>
      <c r="R7" s="10" t="n">
        <v>1</v>
      </c>
      <c r="S7" s="10" t="n">
        <v>86</v>
      </c>
      <c r="T7" s="10" t="n">
        <v>0</v>
      </c>
    </row>
    <row r="8">
      <c r="A8" s="7" t="n">
        <v>3</v>
      </c>
      <c r="B8" s="8" t="inlineStr">
        <is>
          <t>Polling Station 3</t>
        </is>
      </c>
      <c r="C8" s="9" t="n">
        <v>108</v>
      </c>
      <c r="D8" s="9" t="n">
        <v>627</v>
      </c>
      <c r="E8" s="9" t="n">
        <v>10</v>
      </c>
      <c r="F8" s="9" t="n">
        <v>118</v>
      </c>
      <c r="G8" s="9" t="n">
        <v>7</v>
      </c>
      <c r="H8" s="9" t="n">
        <v>6</v>
      </c>
      <c r="I8" s="9" t="n">
        <v>3</v>
      </c>
      <c r="J8" s="9" t="n">
        <v>2</v>
      </c>
      <c r="K8" s="9" t="n">
        <v>10</v>
      </c>
      <c r="L8" s="9" t="n">
        <v>6</v>
      </c>
      <c r="M8" s="9" t="n">
        <v>15</v>
      </c>
      <c r="N8" s="9" t="n">
        <v>0</v>
      </c>
      <c r="O8" s="9" t="n">
        <v>26</v>
      </c>
      <c r="P8" s="10" t="n">
        <v>938</v>
      </c>
      <c r="Q8" s="10" t="n">
        <v>0</v>
      </c>
      <c r="R8" s="10" t="n">
        <v>23</v>
      </c>
      <c r="S8" s="10" t="n">
        <v>961</v>
      </c>
      <c r="T8" s="10" t="n">
        <v>0</v>
      </c>
    </row>
    <row r="9">
      <c r="A9" s="7" t="n">
        <v>4</v>
      </c>
      <c r="B9" s="8" t="inlineStr">
        <is>
          <t>Polling Station 4</t>
        </is>
      </c>
      <c r="C9" s="9" t="n">
        <v>87</v>
      </c>
      <c r="D9" s="9" t="n">
        <v>381</v>
      </c>
      <c r="E9" s="9" t="n">
        <v>2</v>
      </c>
      <c r="F9" s="9" t="n">
        <v>7</v>
      </c>
      <c r="G9" s="9" t="n">
        <v>1</v>
      </c>
      <c r="H9" s="9" t="n">
        <v>1</v>
      </c>
      <c r="I9" s="9" t="n">
        <v>0</v>
      </c>
      <c r="J9" s="9" t="n">
        <v>3</v>
      </c>
      <c r="K9" s="9" t="n">
        <v>4</v>
      </c>
      <c r="L9" s="9" t="n">
        <v>1</v>
      </c>
      <c r="M9" s="9" t="n">
        <v>5</v>
      </c>
      <c r="N9" s="9" t="n">
        <v>0</v>
      </c>
      <c r="O9" s="9" t="n">
        <v>0</v>
      </c>
      <c r="P9" s="10" t="n">
        <v>492</v>
      </c>
      <c r="Q9" s="10" t="n">
        <v>0</v>
      </c>
      <c r="R9" s="10" t="n">
        <v>0</v>
      </c>
      <c r="S9" s="10" t="n">
        <v>492</v>
      </c>
      <c r="T9" s="10" t="n">
        <v>0</v>
      </c>
    </row>
    <row r="10">
      <c r="A10" s="7" t="n">
        <v>5</v>
      </c>
      <c r="B10" s="8" t="inlineStr">
        <is>
          <t>Polling Station 5</t>
        </is>
      </c>
      <c r="C10" s="9" t="n">
        <v>36</v>
      </c>
      <c r="D10" s="9" t="n">
        <v>556</v>
      </c>
      <c r="E10" s="9" t="n">
        <v>16</v>
      </c>
      <c r="F10" s="9" t="n">
        <v>175</v>
      </c>
      <c r="G10" s="9" t="n">
        <v>10</v>
      </c>
      <c r="H10" s="9" t="n">
        <v>5</v>
      </c>
      <c r="I10" s="9" t="n">
        <v>4</v>
      </c>
      <c r="J10" s="9" t="n">
        <v>3</v>
      </c>
      <c r="K10" s="9" t="n">
        <v>0</v>
      </c>
      <c r="L10" s="9" t="n">
        <v>1</v>
      </c>
      <c r="M10" s="9" t="n">
        <v>0</v>
      </c>
      <c r="N10" s="9" t="n">
        <v>0</v>
      </c>
      <c r="O10" s="9" t="n">
        <v>0</v>
      </c>
      <c r="P10" s="10" t="n">
        <v>806</v>
      </c>
      <c r="Q10" s="10" t="n">
        <v>0</v>
      </c>
      <c r="R10" s="10" t="n">
        <v>2</v>
      </c>
      <c r="S10" s="10" t="n">
        <v>808</v>
      </c>
      <c r="T10" s="10" t="n">
        <v>0</v>
      </c>
    </row>
    <row r="11">
      <c r="A11" s="7" t="n">
        <v>6</v>
      </c>
      <c r="B11" s="8" t="inlineStr">
        <is>
          <t>Polling Station 6</t>
        </is>
      </c>
      <c r="C11" s="9" t="n">
        <v>12</v>
      </c>
      <c r="D11" s="9" t="n">
        <v>607</v>
      </c>
      <c r="E11" s="9" t="n">
        <v>0</v>
      </c>
      <c r="F11" s="9" t="n">
        <v>498</v>
      </c>
      <c r="G11" s="9" t="n">
        <v>1</v>
      </c>
      <c r="H11" s="9" t="n">
        <v>2</v>
      </c>
      <c r="I11" s="9" t="n">
        <v>1</v>
      </c>
      <c r="J11" s="9" t="n">
        <v>0</v>
      </c>
      <c r="K11" s="9" t="n">
        <v>4</v>
      </c>
      <c r="L11" s="9" t="n">
        <v>1</v>
      </c>
      <c r="M11" s="9" t="n">
        <v>2</v>
      </c>
      <c r="N11" s="9" t="n">
        <v>0</v>
      </c>
      <c r="O11" s="9" t="n">
        <v>0</v>
      </c>
      <c r="P11" s="10" t="n">
        <v>1128</v>
      </c>
      <c r="Q11" s="10" t="n">
        <v>0</v>
      </c>
      <c r="R11" s="10" t="n">
        <v>0</v>
      </c>
      <c r="S11" s="10" t="n">
        <v>1128</v>
      </c>
      <c r="T11" s="10" t="n">
        <v>0</v>
      </c>
    </row>
    <row r="12">
      <c r="A12" s="7" t="n">
        <v>7</v>
      </c>
      <c r="B12" s="8" t="inlineStr">
        <is>
          <t>Polling Station 7</t>
        </is>
      </c>
      <c r="C12" s="9" t="n">
        <v>6</v>
      </c>
      <c r="D12" s="9" t="n">
        <v>415</v>
      </c>
      <c r="E12" s="9" t="n">
        <v>14</v>
      </c>
      <c r="F12" s="9" t="n">
        <v>110</v>
      </c>
      <c r="G12" s="9" t="n">
        <v>2</v>
      </c>
      <c r="H12" s="9" t="n">
        <v>1</v>
      </c>
      <c r="I12" s="9" t="n">
        <v>0</v>
      </c>
      <c r="J12" s="9" t="n">
        <v>0</v>
      </c>
      <c r="K12" s="9" t="n">
        <v>0</v>
      </c>
      <c r="L12" s="9" t="n">
        <v>1</v>
      </c>
      <c r="M12" s="9" t="n">
        <v>6</v>
      </c>
      <c r="N12" s="9" t="n">
        <v>0</v>
      </c>
      <c r="O12" s="9" t="n">
        <v>0</v>
      </c>
      <c r="P12" s="10" t="n">
        <v>555</v>
      </c>
      <c r="Q12" s="10" t="n">
        <v>0</v>
      </c>
      <c r="R12" s="10" t="n">
        <v>0</v>
      </c>
      <c r="S12" s="10" t="n">
        <v>555</v>
      </c>
      <c r="T12" s="10" t="n">
        <v>1</v>
      </c>
    </row>
    <row r="13">
      <c r="A13" s="7" t="n">
        <v>8</v>
      </c>
      <c r="B13" s="8" t="inlineStr">
        <is>
          <t>Polling Station 8</t>
        </is>
      </c>
      <c r="C13" s="9" t="n">
        <v>10</v>
      </c>
      <c r="D13" s="9" t="n">
        <v>303</v>
      </c>
      <c r="E13" s="9" t="n">
        <v>0</v>
      </c>
      <c r="F13" s="9" t="n">
        <v>134</v>
      </c>
      <c r="G13" s="9" t="n">
        <v>1</v>
      </c>
      <c r="H13" s="9" t="n">
        <v>0</v>
      </c>
      <c r="I13" s="9" t="n">
        <v>0</v>
      </c>
      <c r="J13" s="9" t="n">
        <v>3</v>
      </c>
      <c r="K13" s="9" t="n">
        <v>3</v>
      </c>
      <c r="L13" s="9" t="n">
        <v>2</v>
      </c>
      <c r="M13" s="9" t="n">
        <v>4</v>
      </c>
      <c r="N13" s="9" t="n">
        <v>0</v>
      </c>
      <c r="O13" s="9" t="n">
        <v>7</v>
      </c>
      <c r="P13" s="10" t="n">
        <v>467</v>
      </c>
      <c r="Q13" s="10" t="n">
        <v>0</v>
      </c>
      <c r="R13" s="10" t="n">
        <v>0</v>
      </c>
      <c r="S13" s="10" t="n">
        <v>467</v>
      </c>
      <c r="T13" s="10" t="n">
        <v>0</v>
      </c>
    </row>
    <row r="14">
      <c r="A14" s="7" t="n">
        <v>9</v>
      </c>
      <c r="B14" s="8" t="inlineStr">
        <is>
          <t>Polling Station 9</t>
        </is>
      </c>
      <c r="C14" s="9" t="n">
        <v>16</v>
      </c>
      <c r="D14" s="9" t="n">
        <v>393</v>
      </c>
      <c r="E14" s="9" t="n">
        <v>8</v>
      </c>
      <c r="F14" s="9" t="n">
        <v>138</v>
      </c>
      <c r="G14" s="9" t="n">
        <v>2</v>
      </c>
      <c r="H14" s="9" t="n">
        <v>15</v>
      </c>
      <c r="I14" s="9" t="n">
        <v>2</v>
      </c>
      <c r="J14" s="9" t="n">
        <v>1</v>
      </c>
      <c r="K14" s="9" t="n">
        <v>3</v>
      </c>
      <c r="L14" s="9" t="n">
        <v>0</v>
      </c>
      <c r="M14" s="9" t="n">
        <v>10</v>
      </c>
      <c r="N14" s="9" t="n">
        <v>0</v>
      </c>
      <c r="O14" s="9" t="n">
        <v>0</v>
      </c>
      <c r="P14" s="10" t="n">
        <v>588</v>
      </c>
      <c r="Q14" s="10" t="n">
        <v>0</v>
      </c>
      <c r="R14" s="10" t="n">
        <v>0</v>
      </c>
      <c r="S14" s="10" t="n">
        <v>588</v>
      </c>
      <c r="T14" s="10" t="n">
        <v>0</v>
      </c>
    </row>
    <row r="15">
      <c r="A15" s="7" t="n">
        <v>10</v>
      </c>
      <c r="B15" s="8" t="inlineStr">
        <is>
          <t>Polling Station 10</t>
        </is>
      </c>
      <c r="C15" s="9" t="n">
        <v>8</v>
      </c>
      <c r="D15" s="9" t="n">
        <v>483</v>
      </c>
      <c r="E15" s="9" t="n">
        <v>16</v>
      </c>
      <c r="F15" s="9" t="n">
        <v>160</v>
      </c>
      <c r="G15" s="9" t="n">
        <v>2</v>
      </c>
      <c r="H15" s="9" t="n">
        <v>3</v>
      </c>
      <c r="I15" s="9" t="n">
        <v>4</v>
      </c>
      <c r="J15" s="9" t="n">
        <v>0</v>
      </c>
      <c r="K15" s="9" t="n">
        <v>5</v>
      </c>
      <c r="L15" s="9" t="n">
        <v>2</v>
      </c>
      <c r="M15" s="9" t="n">
        <v>4</v>
      </c>
      <c r="N15" s="9" t="n">
        <v>0</v>
      </c>
      <c r="O15" s="9" t="n">
        <v>0</v>
      </c>
      <c r="P15" s="10" t="n">
        <v>687</v>
      </c>
      <c r="Q15" s="10" t="n">
        <v>0</v>
      </c>
      <c r="R15" s="10" t="n">
        <v>4</v>
      </c>
      <c r="S15" s="10" t="n">
        <v>691</v>
      </c>
      <c r="T15" s="10" t="n">
        <v>2</v>
      </c>
    </row>
    <row r="16">
      <c r="A16" s="7" t="n">
        <v>11</v>
      </c>
      <c r="B16" s="8" t="inlineStr">
        <is>
          <t>Polling Station 11</t>
        </is>
      </c>
      <c r="C16" s="9" t="n">
        <v>0</v>
      </c>
      <c r="D16" s="9" t="n">
        <v>655</v>
      </c>
      <c r="E16" s="9" t="n">
        <v>2</v>
      </c>
      <c r="F16" s="9" t="n">
        <v>127</v>
      </c>
      <c r="G16" s="9" t="n">
        <v>0</v>
      </c>
      <c r="H16" s="9" t="n">
        <v>3</v>
      </c>
      <c r="I16" s="9" t="n">
        <v>2</v>
      </c>
      <c r="J16" s="9" t="n">
        <v>8</v>
      </c>
      <c r="K16" s="9" t="n">
        <v>7</v>
      </c>
      <c r="L16" s="9" t="n">
        <v>6</v>
      </c>
      <c r="M16" s="9" t="n">
        <v>0</v>
      </c>
      <c r="N16" s="9" t="n">
        <v>0</v>
      </c>
      <c r="O16" s="9" t="n">
        <v>38</v>
      </c>
      <c r="P16" s="10" t="n">
        <v>848</v>
      </c>
      <c r="Q16" s="10" t="n">
        <v>0</v>
      </c>
      <c r="R16" s="10" t="n">
        <v>12</v>
      </c>
      <c r="S16" s="10" t="n">
        <v>860</v>
      </c>
      <c r="T16" s="10" t="n">
        <v>0</v>
      </c>
    </row>
    <row r="17">
      <c r="A17" s="7" t="n">
        <v>13</v>
      </c>
      <c r="B17" s="8" t="inlineStr">
        <is>
          <t>Polling Station 13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4</v>
      </c>
      <c r="I17" s="9" t="n">
        <v>2</v>
      </c>
      <c r="J17" s="9" t="n">
        <v>0</v>
      </c>
      <c r="K17" s="9" t="n">
        <v>5</v>
      </c>
      <c r="L17" s="9" t="n">
        <v>3</v>
      </c>
      <c r="M17" s="9" t="n">
        <v>0</v>
      </c>
      <c r="N17" s="9" t="n">
        <v>7</v>
      </c>
      <c r="O17" s="9" t="n">
        <v>6</v>
      </c>
      <c r="P17" s="10" t="n">
        <v>27</v>
      </c>
      <c r="Q17" s="10" t="n">
        <v>0</v>
      </c>
      <c r="R17" s="10" t="n">
        <v>0</v>
      </c>
      <c r="S17" s="10" t="n">
        <v>27</v>
      </c>
      <c r="T17" s="10" t="n">
        <v>0</v>
      </c>
    </row>
    <row r="18">
      <c r="A18" s="7" t="n">
        <v>14</v>
      </c>
      <c r="B18" s="8" t="inlineStr">
        <is>
          <t>Polling Station 14</t>
        </is>
      </c>
      <c r="C18" s="9" t="n">
        <v>0</v>
      </c>
      <c r="D18" s="9" t="n">
        <v>0</v>
      </c>
      <c r="E18" s="9" t="n">
        <v>0</v>
      </c>
      <c r="F18" s="9" t="n">
        <v>14</v>
      </c>
      <c r="G18" s="9" t="n">
        <v>0</v>
      </c>
      <c r="H18" s="9" t="n">
        <v>4</v>
      </c>
      <c r="I18" s="9" t="n">
        <v>0</v>
      </c>
      <c r="J18" s="9" t="n">
        <v>1</v>
      </c>
      <c r="K18" s="9" t="n">
        <v>0</v>
      </c>
      <c r="L18" s="9" t="n">
        <v>4</v>
      </c>
      <c r="M18" s="9" t="n">
        <v>8</v>
      </c>
      <c r="N18" s="9" t="n">
        <v>2</v>
      </c>
      <c r="O18" s="9" t="n">
        <v>0</v>
      </c>
      <c r="P18" s="10" t="n">
        <v>33</v>
      </c>
      <c r="Q18" s="10" t="n">
        <v>0</v>
      </c>
      <c r="R18" s="10" t="n">
        <v>0</v>
      </c>
      <c r="S18" s="10" t="n">
        <v>33</v>
      </c>
      <c r="T18" s="10" t="n">
        <v>0</v>
      </c>
    </row>
    <row r="19">
      <c r="A19" s="7" t="n">
        <v>15</v>
      </c>
      <c r="B19" s="8" t="inlineStr">
        <is>
          <t>Polling Station 15</t>
        </is>
      </c>
      <c r="C19" s="9" t="n">
        <v>3</v>
      </c>
      <c r="D19" s="9" t="n">
        <v>0</v>
      </c>
      <c r="E19" s="9" t="n">
        <v>0</v>
      </c>
      <c r="F19" s="9" t="n">
        <v>0</v>
      </c>
      <c r="G19" s="9" t="n">
        <v>2</v>
      </c>
      <c r="H19" s="9" t="n">
        <v>2</v>
      </c>
      <c r="I19" s="9" t="n">
        <v>0</v>
      </c>
      <c r="J19" s="9" t="n">
        <v>0</v>
      </c>
      <c r="K19" s="9" t="n">
        <v>5</v>
      </c>
      <c r="L19" s="9" t="n">
        <v>6</v>
      </c>
      <c r="M19" s="9" t="n">
        <v>4</v>
      </c>
      <c r="N19" s="9" t="n">
        <v>0</v>
      </c>
      <c r="O19" s="9" t="n">
        <v>0</v>
      </c>
      <c r="P19" s="10" t="n">
        <v>22</v>
      </c>
      <c r="Q19" s="10" t="n">
        <v>0</v>
      </c>
      <c r="R19" s="10" t="n">
        <v>0</v>
      </c>
      <c r="S19" s="10" t="n">
        <v>22</v>
      </c>
      <c r="T19" s="10" t="n">
        <v>0</v>
      </c>
    </row>
    <row r="20">
      <c r="A20" s="7" t="n">
        <v>16</v>
      </c>
      <c r="B20" s="8" t="inlineStr">
        <is>
          <t>Polling Station 16</t>
        </is>
      </c>
      <c r="C20" s="9" t="n">
        <v>0</v>
      </c>
      <c r="D20" s="9" t="n">
        <v>0</v>
      </c>
      <c r="E20" s="9" t="n">
        <v>0</v>
      </c>
      <c r="F20" s="9" t="n">
        <v>182</v>
      </c>
      <c r="G20" s="9" t="n">
        <v>3</v>
      </c>
      <c r="H20" s="9" t="n">
        <v>0</v>
      </c>
      <c r="I20" s="9" t="n">
        <v>0</v>
      </c>
      <c r="J20" s="9" t="n">
        <v>0</v>
      </c>
      <c r="K20" s="9" t="n">
        <v>3</v>
      </c>
      <c r="L20" s="9" t="n">
        <v>2</v>
      </c>
      <c r="M20" s="9" t="n">
        <v>0</v>
      </c>
      <c r="N20" s="9" t="n">
        <v>0</v>
      </c>
      <c r="O20" s="9" t="n">
        <v>0</v>
      </c>
      <c r="P20" s="10" t="n">
        <v>190</v>
      </c>
      <c r="Q20" s="10" t="n">
        <v>0</v>
      </c>
      <c r="R20" s="10" t="n">
        <v>0</v>
      </c>
      <c r="S20" s="10" t="n">
        <v>190</v>
      </c>
      <c r="T20" s="10" t="n">
        <v>0</v>
      </c>
    </row>
    <row r="21">
      <c r="A21" s="7" t="n">
        <v>17</v>
      </c>
      <c r="B21" s="8" t="inlineStr">
        <is>
          <t>Polling Station 17</t>
        </is>
      </c>
      <c r="C21" s="9" t="n">
        <v>2</v>
      </c>
      <c r="D21" s="9" t="n">
        <v>685</v>
      </c>
      <c r="E21" s="9" t="n">
        <v>47</v>
      </c>
      <c r="F21" s="9" t="n">
        <v>96</v>
      </c>
      <c r="G21" s="9" t="n">
        <v>0</v>
      </c>
      <c r="H21" s="9" t="n">
        <v>1</v>
      </c>
      <c r="I21" s="9" t="n">
        <v>0</v>
      </c>
      <c r="J21" s="9" t="n">
        <v>3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3</v>
      </c>
      <c r="P21" s="10" t="n">
        <v>837</v>
      </c>
      <c r="Q21" s="10" t="n">
        <v>0</v>
      </c>
      <c r="R21" s="10" t="n">
        <v>0</v>
      </c>
      <c r="S21" s="10" t="n">
        <v>837</v>
      </c>
      <c r="T21" s="10" t="n">
        <v>0</v>
      </c>
    </row>
    <row r="22">
      <c r="A22" s="7" t="n">
        <v>18</v>
      </c>
      <c r="B22" s="8" t="inlineStr">
        <is>
          <t>Polling Station 18</t>
        </is>
      </c>
      <c r="C22" s="9" t="n">
        <v>0</v>
      </c>
      <c r="D22" s="9" t="n">
        <v>493</v>
      </c>
      <c r="E22" s="9" t="n">
        <v>18</v>
      </c>
      <c r="F22" s="9" t="n">
        <v>106</v>
      </c>
      <c r="G22" s="9" t="n">
        <v>2</v>
      </c>
      <c r="H22" s="9" t="n">
        <v>3</v>
      </c>
      <c r="I22" s="9" t="n">
        <v>0</v>
      </c>
      <c r="J22" s="9" t="n">
        <v>2</v>
      </c>
      <c r="K22" s="9" t="n">
        <v>7</v>
      </c>
      <c r="L22" s="9" t="n">
        <v>0</v>
      </c>
      <c r="M22" s="9" t="n">
        <v>0</v>
      </c>
      <c r="N22" s="9" t="n">
        <v>0</v>
      </c>
      <c r="O22" s="9" t="n">
        <v>1</v>
      </c>
      <c r="P22" s="10" t="n">
        <v>632</v>
      </c>
      <c r="Q22" s="10" t="n">
        <v>0</v>
      </c>
      <c r="R22" s="10" t="n">
        <v>0</v>
      </c>
      <c r="S22" s="10" t="n">
        <v>632</v>
      </c>
      <c r="T22" s="10" t="n">
        <v>0</v>
      </c>
    </row>
    <row r="23">
      <c r="A23" s="7" t="n">
        <v>19</v>
      </c>
      <c r="B23" s="8" t="inlineStr">
        <is>
          <t>Polling Station 19</t>
        </is>
      </c>
      <c r="C23" s="9" t="n">
        <v>0</v>
      </c>
      <c r="D23" s="9" t="n">
        <v>493</v>
      </c>
      <c r="E23" s="9" t="n">
        <v>7</v>
      </c>
      <c r="F23" s="9" t="n">
        <v>128</v>
      </c>
      <c r="G23" s="9" t="n">
        <v>1</v>
      </c>
      <c r="H23" s="9" t="n">
        <v>1</v>
      </c>
      <c r="I23" s="9" t="n">
        <v>1</v>
      </c>
      <c r="J23" s="9" t="n">
        <v>0</v>
      </c>
      <c r="K23" s="9" t="n">
        <v>0</v>
      </c>
      <c r="L23" s="9" t="n">
        <v>1</v>
      </c>
      <c r="M23" s="9" t="n">
        <v>0</v>
      </c>
      <c r="N23" s="9" t="n">
        <v>0</v>
      </c>
      <c r="O23" s="9" t="n">
        <v>0</v>
      </c>
      <c r="P23" s="10" t="n">
        <v>632</v>
      </c>
      <c r="Q23" s="10" t="n">
        <v>0</v>
      </c>
      <c r="R23" s="10" t="n">
        <v>0</v>
      </c>
      <c r="S23" s="10" t="n">
        <v>632</v>
      </c>
      <c r="T23" s="10" t="n">
        <v>0</v>
      </c>
    </row>
    <row r="24">
      <c r="A24" s="7" t="n">
        <v>20</v>
      </c>
      <c r="B24" s="8" t="inlineStr">
        <is>
          <t>Polling Station 20</t>
        </is>
      </c>
      <c r="C24" s="9" t="n">
        <v>0</v>
      </c>
      <c r="D24" s="9" t="n">
        <v>622</v>
      </c>
      <c r="E24" s="9" t="n">
        <v>8</v>
      </c>
      <c r="F24" s="9" t="n">
        <v>474</v>
      </c>
      <c r="G24" s="9" t="n">
        <v>6</v>
      </c>
      <c r="H24" s="9" t="n">
        <v>2</v>
      </c>
      <c r="I24" s="9" t="n">
        <v>3</v>
      </c>
      <c r="J24" s="9" t="n">
        <v>2</v>
      </c>
      <c r="K24" s="9" t="n">
        <v>3</v>
      </c>
      <c r="L24" s="9" t="n">
        <v>2</v>
      </c>
      <c r="M24" s="9" t="n">
        <v>0</v>
      </c>
      <c r="N24" s="9" t="n">
        <v>2</v>
      </c>
      <c r="O24" s="9" t="n">
        <v>0</v>
      </c>
      <c r="P24" s="10" t="n">
        <v>1124</v>
      </c>
      <c r="Q24" s="10" t="n">
        <v>0</v>
      </c>
      <c r="R24" s="10" t="n">
        <v>0</v>
      </c>
      <c r="S24" s="10" t="n">
        <v>1124</v>
      </c>
      <c r="T24" s="10" t="n">
        <v>0</v>
      </c>
    </row>
    <row r="25">
      <c r="A25" s="7" t="n">
        <v>21</v>
      </c>
      <c r="B25" s="8" t="inlineStr">
        <is>
          <t>a
a</t>
        </is>
      </c>
      <c r="C25" s="9" t="n">
        <v>16</v>
      </c>
      <c r="D25" s="9" t="n">
        <v>328</v>
      </c>
      <c r="E25" s="9" t="n">
        <v>0</v>
      </c>
      <c r="F25" s="9" t="n">
        <v>15</v>
      </c>
      <c r="G25" s="9" t="n">
        <v>3</v>
      </c>
      <c r="H25" s="9" t="n">
        <v>1</v>
      </c>
      <c r="I25" s="9" t="n">
        <v>0</v>
      </c>
      <c r="J25" s="9" t="n">
        <v>0</v>
      </c>
      <c r="K25" s="9" t="n">
        <v>4</v>
      </c>
      <c r="L25" s="9" t="n">
        <v>0</v>
      </c>
      <c r="M25" s="9" t="n">
        <v>0</v>
      </c>
      <c r="N25" s="9" t="n">
        <v>4</v>
      </c>
      <c r="O25" s="9" t="n">
        <v>0</v>
      </c>
      <c r="P25" s="10" t="n">
        <v>371</v>
      </c>
      <c r="Q25" s="10" t="n">
        <v>0</v>
      </c>
      <c r="R25" s="10" t="n">
        <v>0</v>
      </c>
      <c r="S25" s="10" t="n">
        <v>371</v>
      </c>
      <c r="T25" s="10" t="n">
        <v>0</v>
      </c>
    </row>
    <row r="26">
      <c r="A26" s="7" t="n">
        <v>22</v>
      </c>
      <c r="B26" s="8" t="inlineStr">
        <is>
          <t>Polling Station 22</t>
        </is>
      </c>
      <c r="C26" s="9" t="n">
        <v>0</v>
      </c>
      <c r="D26" s="9" t="n">
        <v>361</v>
      </c>
      <c r="E26" s="9" t="n">
        <v>0</v>
      </c>
      <c r="F26" s="9" t="n">
        <v>12</v>
      </c>
      <c r="G26" s="9" t="n">
        <v>0</v>
      </c>
      <c r="H26" s="9" t="n">
        <v>0</v>
      </c>
      <c r="I26" s="9" t="n">
        <v>1</v>
      </c>
      <c r="J26" s="9" t="n">
        <v>1</v>
      </c>
      <c r="K26" s="9" t="n">
        <v>5</v>
      </c>
      <c r="L26" s="9" t="n">
        <v>0</v>
      </c>
      <c r="M26" s="9" t="n">
        <v>0</v>
      </c>
      <c r="N26" s="9" t="n">
        <v>0</v>
      </c>
      <c r="O26" s="9" t="n">
        <v>0</v>
      </c>
      <c r="P26" s="10" t="n">
        <v>380</v>
      </c>
      <c r="Q26" s="10" t="n">
        <v>0</v>
      </c>
      <c r="R26" s="10" t="n">
        <v>2</v>
      </c>
      <c r="S26" s="10" t="n">
        <v>382</v>
      </c>
      <c r="T26" s="10" t="n">
        <v>0</v>
      </c>
    </row>
    <row r="27">
      <c r="A27" s="7" t="n">
        <v>23</v>
      </c>
      <c r="B27" s="8" t="inlineStr">
        <is>
          <t>Polling Station 23</t>
        </is>
      </c>
      <c r="C27" s="9" t="n">
        <v>2</v>
      </c>
      <c r="D27" s="9" t="n">
        <v>610</v>
      </c>
      <c r="E27" s="9" t="n">
        <v>4</v>
      </c>
      <c r="F27" s="9" t="n">
        <v>24</v>
      </c>
      <c r="G27" s="9" t="n">
        <v>3</v>
      </c>
      <c r="H27" s="9" t="n">
        <v>2</v>
      </c>
      <c r="I27" s="9" t="n">
        <v>2</v>
      </c>
      <c r="J27" s="9" t="n">
        <v>3</v>
      </c>
      <c r="K27" s="9" t="n">
        <v>14</v>
      </c>
      <c r="L27" s="9" t="n">
        <v>4</v>
      </c>
      <c r="M27" s="9" t="n">
        <v>0</v>
      </c>
      <c r="N27" s="9" t="n">
        <v>8</v>
      </c>
      <c r="O27" s="9" t="n">
        <v>0</v>
      </c>
      <c r="P27" s="10" t="n">
        <v>676</v>
      </c>
      <c r="Q27" s="10" t="n">
        <v>0</v>
      </c>
      <c r="R27" s="10" t="n">
        <v>0</v>
      </c>
      <c r="S27" s="10" t="n">
        <v>676</v>
      </c>
      <c r="T27" s="10" t="n">
        <v>0</v>
      </c>
    </row>
    <row r="28">
      <c r="A28" s="7" t="n">
        <v>24</v>
      </c>
      <c r="B28" s="8" t="inlineStr">
        <is>
          <t>Polling Station 24</t>
        </is>
      </c>
      <c r="C28" s="9" t="n">
        <v>5</v>
      </c>
      <c r="D28" s="9" t="n">
        <v>474</v>
      </c>
      <c r="E28" s="9" t="n">
        <v>8</v>
      </c>
      <c r="F28" s="9" t="n">
        <v>176</v>
      </c>
      <c r="G28" s="9" t="n">
        <v>0</v>
      </c>
      <c r="H28" s="9" t="n">
        <v>0</v>
      </c>
      <c r="I28" s="9" t="n">
        <v>0</v>
      </c>
      <c r="J28" s="9" t="n">
        <v>3</v>
      </c>
      <c r="K28" s="9" t="n">
        <v>2</v>
      </c>
      <c r="L28" s="9" t="n">
        <v>0</v>
      </c>
      <c r="M28" s="9" t="n">
        <v>3</v>
      </c>
      <c r="N28" s="9" t="n">
        <v>1</v>
      </c>
      <c r="O28" s="9" t="n">
        <v>0</v>
      </c>
      <c r="P28" s="10" t="n">
        <v>672</v>
      </c>
      <c r="Q28" s="10" t="n">
        <v>0</v>
      </c>
      <c r="R28" s="10" t="n">
        <v>0</v>
      </c>
      <c r="S28" s="10" t="n">
        <v>672</v>
      </c>
      <c r="T28" s="10" t="n">
        <v>0</v>
      </c>
    </row>
    <row r="29">
      <c r="A29" s="7" t="n">
        <v>25</v>
      </c>
      <c r="B29" s="8" t="inlineStr">
        <is>
          <t>Polling Station 25</t>
        </is>
      </c>
      <c r="C29" s="9" t="n">
        <v>0</v>
      </c>
      <c r="D29" s="9" t="n">
        <v>0</v>
      </c>
      <c r="E29" s="9" t="n">
        <v>20</v>
      </c>
      <c r="F29" s="9" t="n">
        <v>139</v>
      </c>
      <c r="G29" s="9" t="n">
        <v>0</v>
      </c>
      <c r="H29" s="9" t="n">
        <v>3</v>
      </c>
      <c r="I29" s="9" t="n">
        <v>3</v>
      </c>
      <c r="J29" s="9" t="n">
        <v>0</v>
      </c>
      <c r="K29" s="9" t="n">
        <v>4</v>
      </c>
      <c r="L29" s="9" t="n">
        <v>0</v>
      </c>
      <c r="M29" s="9" t="n">
        <v>7</v>
      </c>
      <c r="N29" s="9" t="n">
        <v>4</v>
      </c>
      <c r="O29" s="9" t="n">
        <v>0</v>
      </c>
      <c r="P29" s="10" t="n">
        <v>180</v>
      </c>
      <c r="Q29" s="10" t="n">
        <v>0</v>
      </c>
      <c r="R29" s="10" t="n">
        <v>0</v>
      </c>
      <c r="S29" s="10" t="n">
        <v>180</v>
      </c>
      <c r="T29" s="10" t="n">
        <v>0</v>
      </c>
    </row>
    <row r="30">
      <c r="A30" s="7" t="n">
        <v>26</v>
      </c>
      <c r="B30" s="8" t="inlineStr">
        <is>
          <t>Polling Station 26</t>
        </is>
      </c>
      <c r="C30" s="9" t="n">
        <v>0</v>
      </c>
      <c r="D30" s="9" t="n">
        <v>0</v>
      </c>
      <c r="E30" s="9" t="n">
        <v>12</v>
      </c>
      <c r="F30" s="9" t="n">
        <v>88</v>
      </c>
      <c r="G30" s="9" t="n">
        <v>0</v>
      </c>
      <c r="H30" s="9" t="n">
        <v>1</v>
      </c>
      <c r="I30" s="9" t="n">
        <v>0</v>
      </c>
      <c r="J30" s="9" t="n">
        <v>0</v>
      </c>
      <c r="K30" s="9" t="n">
        <v>1</v>
      </c>
      <c r="L30" s="9" t="n">
        <v>2</v>
      </c>
      <c r="M30" s="9" t="n">
        <v>4</v>
      </c>
      <c r="N30" s="9" t="n">
        <v>0</v>
      </c>
      <c r="O30" s="9" t="n">
        <v>0</v>
      </c>
      <c r="P30" s="10" t="n">
        <v>108</v>
      </c>
      <c r="Q30" s="10" t="n">
        <v>0</v>
      </c>
      <c r="R30" s="10" t="n">
        <v>8</v>
      </c>
      <c r="S30" s="10" t="n">
        <v>116</v>
      </c>
      <c r="T30" s="10" t="n">
        <v>0</v>
      </c>
    </row>
    <row r="31">
      <c r="A31" s="7" t="n">
        <v>27</v>
      </c>
      <c r="B31" s="8" t="inlineStr">
        <is>
          <t>Polling Station 27</t>
        </is>
      </c>
      <c r="C31" s="9" t="n">
        <v>16</v>
      </c>
      <c r="D31" s="9" t="n">
        <v>0</v>
      </c>
      <c r="E31" s="9" t="n">
        <v>10</v>
      </c>
      <c r="F31" s="9" t="n">
        <v>66</v>
      </c>
      <c r="G31" s="9" t="n">
        <v>0</v>
      </c>
      <c r="H31" s="9" t="n">
        <v>2</v>
      </c>
      <c r="I31" s="9" t="n">
        <v>2</v>
      </c>
      <c r="J31" s="9" t="n">
        <v>1</v>
      </c>
      <c r="K31" s="9" t="n">
        <v>9</v>
      </c>
      <c r="L31" s="9" t="n">
        <v>2</v>
      </c>
      <c r="M31" s="9" t="n">
        <v>3</v>
      </c>
      <c r="N31" s="9" t="n">
        <v>3</v>
      </c>
      <c r="O31" s="9" t="n">
        <v>0</v>
      </c>
      <c r="P31" s="10" t="n">
        <v>114</v>
      </c>
      <c r="Q31" s="10" t="n">
        <v>0</v>
      </c>
      <c r="R31" s="10" t="n">
        <v>7</v>
      </c>
      <c r="S31" s="10" t="n">
        <v>121</v>
      </c>
      <c r="T31" s="10" t="n">
        <v>0</v>
      </c>
    </row>
    <row r="32">
      <c r="A32" s="7" t="n">
        <v>28</v>
      </c>
      <c r="B32" s="8" t="inlineStr">
        <is>
          <t>Polling Station 28</t>
        </is>
      </c>
      <c r="C32" s="9" t="n">
        <v>13</v>
      </c>
      <c r="D32" s="9" t="n">
        <v>7</v>
      </c>
      <c r="E32" s="9" t="n">
        <v>0</v>
      </c>
      <c r="F32" s="9" t="n">
        <v>147</v>
      </c>
      <c r="G32" s="9" t="n">
        <v>2</v>
      </c>
      <c r="H32" s="9" t="n">
        <v>0</v>
      </c>
      <c r="I32" s="9" t="n">
        <v>0</v>
      </c>
      <c r="J32" s="9" t="n">
        <v>0</v>
      </c>
      <c r="K32" s="9" t="n">
        <v>6</v>
      </c>
      <c r="L32" s="9" t="n">
        <v>3</v>
      </c>
      <c r="M32" s="9" t="n">
        <v>7</v>
      </c>
      <c r="N32" s="9" t="n">
        <v>7</v>
      </c>
      <c r="O32" s="9" t="n">
        <v>15</v>
      </c>
      <c r="P32" s="10" t="n">
        <v>207</v>
      </c>
      <c r="Q32" s="10" t="n">
        <v>0</v>
      </c>
      <c r="R32" s="10" t="n">
        <v>19</v>
      </c>
      <c r="S32" s="10" t="n">
        <v>226</v>
      </c>
      <c r="T32" s="10" t="n">
        <v>0</v>
      </c>
    </row>
    <row r="33">
      <c r="A33" s="7" t="n">
        <v>29</v>
      </c>
      <c r="B33" s="8" t="inlineStr">
        <is>
          <t>Polling Station 29</t>
        </is>
      </c>
      <c r="C33" s="9" t="n">
        <v>30</v>
      </c>
      <c r="D33" s="9" t="n">
        <v>701</v>
      </c>
      <c r="E33" s="9" t="n">
        <v>0</v>
      </c>
      <c r="F33" s="9" t="n">
        <v>130</v>
      </c>
      <c r="G33" s="9" t="n">
        <v>0</v>
      </c>
      <c r="H33" s="9" t="n">
        <v>3</v>
      </c>
      <c r="I33" s="9" t="n">
        <v>1</v>
      </c>
      <c r="J33" s="9" t="n">
        <v>1</v>
      </c>
      <c r="K33" s="9" t="n">
        <v>0</v>
      </c>
      <c r="L33" s="9" t="n">
        <v>4</v>
      </c>
      <c r="M33" s="9" t="n">
        <v>6</v>
      </c>
      <c r="N33" s="9" t="n">
        <v>8</v>
      </c>
      <c r="O33" s="9" t="n">
        <v>19</v>
      </c>
      <c r="P33" s="10" t="n">
        <v>903</v>
      </c>
      <c r="Q33" s="10" t="n">
        <v>0</v>
      </c>
      <c r="R33" s="10" t="n">
        <v>13</v>
      </c>
      <c r="S33" s="10" t="n">
        <v>916</v>
      </c>
      <c r="T33" s="10" t="n">
        <v>0</v>
      </c>
    </row>
    <row r="34">
      <c r="A34" s="7" t="n">
        <v>30</v>
      </c>
      <c r="B34" s="8" t="inlineStr">
        <is>
          <t>Polling Station 30</t>
        </is>
      </c>
      <c r="C34" s="9" t="n">
        <v>0</v>
      </c>
      <c r="D34" s="9" t="n">
        <v>0</v>
      </c>
      <c r="E34" s="9" t="n">
        <v>7</v>
      </c>
      <c r="F34" s="9" t="n">
        <v>230</v>
      </c>
      <c r="G34" s="9" t="n">
        <v>6</v>
      </c>
      <c r="H34" s="9" t="n">
        <v>8</v>
      </c>
      <c r="I34" s="9" t="n">
        <v>1</v>
      </c>
      <c r="J34" s="9" t="n">
        <v>1</v>
      </c>
      <c r="K34" s="9" t="n">
        <v>0</v>
      </c>
      <c r="L34" s="9" t="n">
        <v>2</v>
      </c>
      <c r="M34" s="9" t="n">
        <v>1</v>
      </c>
      <c r="N34" s="9" t="n">
        <v>2</v>
      </c>
      <c r="O34" s="9" t="n">
        <v>9</v>
      </c>
      <c r="P34" s="10" t="n">
        <v>267</v>
      </c>
      <c r="Q34" s="10" t="n">
        <v>0</v>
      </c>
      <c r="R34" s="10" t="n">
        <v>4</v>
      </c>
      <c r="S34" s="10" t="n">
        <v>271</v>
      </c>
      <c r="T34" s="10" t="n">
        <v>0</v>
      </c>
    </row>
    <row r="35">
      <c r="A35" s="7" t="n">
        <v>31</v>
      </c>
      <c r="B35" s="8" t="inlineStr">
        <is>
          <t>Polling Station 31</t>
        </is>
      </c>
      <c r="C35" s="9" t="n">
        <v>19</v>
      </c>
      <c r="D35" s="9" t="n">
        <v>875</v>
      </c>
      <c r="E35" s="9" t="n">
        <v>8</v>
      </c>
      <c r="F35" s="9" t="n">
        <v>76</v>
      </c>
      <c r="G35" s="9" t="n">
        <v>2</v>
      </c>
      <c r="H35" s="9" t="n">
        <v>2</v>
      </c>
      <c r="I35" s="9" t="n">
        <v>1</v>
      </c>
      <c r="J35" s="9" t="n">
        <v>1</v>
      </c>
      <c r="K35" s="9" t="n">
        <v>6</v>
      </c>
      <c r="L35" s="9" t="n">
        <v>1</v>
      </c>
      <c r="M35" s="9" t="n">
        <v>7</v>
      </c>
      <c r="N35" s="9" t="n">
        <v>0</v>
      </c>
      <c r="O35" s="9" t="n">
        <v>0</v>
      </c>
      <c r="P35" s="10" t="n">
        <v>998</v>
      </c>
      <c r="Q35" s="10" t="n">
        <v>0</v>
      </c>
      <c r="R35" s="10" t="n">
        <v>13</v>
      </c>
      <c r="S35" s="10" t="n">
        <v>1011</v>
      </c>
      <c r="T35" s="10" t="n">
        <v>0</v>
      </c>
    </row>
    <row r="36">
      <c r="A36" s="7" t="n">
        <v>32</v>
      </c>
      <c r="B36" s="8" t="inlineStr">
        <is>
          <t>Polling Station 32</t>
        </is>
      </c>
      <c r="C36" s="9" t="n">
        <v>0</v>
      </c>
      <c r="D36" s="9" t="n">
        <v>0</v>
      </c>
      <c r="E36" s="9" t="n">
        <v>10</v>
      </c>
      <c r="F36" s="9" t="n">
        <v>8</v>
      </c>
      <c r="G36" s="9" t="n">
        <v>1</v>
      </c>
      <c r="H36" s="9" t="n">
        <v>0</v>
      </c>
      <c r="I36" s="9" t="n">
        <v>0</v>
      </c>
      <c r="J36" s="9" t="n">
        <v>0</v>
      </c>
      <c r="K36" s="9" t="n">
        <v>3</v>
      </c>
      <c r="L36" s="9" t="n">
        <v>4</v>
      </c>
      <c r="M36" s="9" t="n">
        <v>3</v>
      </c>
      <c r="N36" s="9" t="n">
        <v>1</v>
      </c>
      <c r="O36" s="9" t="n">
        <v>4</v>
      </c>
      <c r="P36" s="10" t="n">
        <v>34</v>
      </c>
      <c r="Q36" s="10" t="n">
        <v>0</v>
      </c>
      <c r="R36" s="10" t="n">
        <v>9</v>
      </c>
      <c r="S36" s="10" t="n">
        <v>43</v>
      </c>
      <c r="T36" s="10" t="n">
        <v>0</v>
      </c>
    </row>
    <row r="37">
      <c r="A37" s="7" t="n">
        <v>33</v>
      </c>
      <c r="B37" s="8" t="inlineStr">
        <is>
          <t>Polling Station 33</t>
        </is>
      </c>
      <c r="C37" s="9" t="n">
        <v>2</v>
      </c>
      <c r="D37" s="9" t="n">
        <v>870</v>
      </c>
      <c r="E37" s="9" t="n">
        <v>12</v>
      </c>
      <c r="F37" s="9" t="n">
        <v>193</v>
      </c>
      <c r="G37" s="9" t="n">
        <v>2</v>
      </c>
      <c r="H37" s="9" t="n">
        <v>0</v>
      </c>
      <c r="I37" s="9" t="n">
        <v>3</v>
      </c>
      <c r="J37" s="9" t="n">
        <v>2</v>
      </c>
      <c r="K37" s="9" t="n">
        <v>1</v>
      </c>
      <c r="L37" s="9" t="n">
        <v>2</v>
      </c>
      <c r="M37" s="9" t="n">
        <v>0</v>
      </c>
      <c r="N37" s="9" t="n">
        <v>1</v>
      </c>
      <c r="O37" s="9" t="n">
        <v>14</v>
      </c>
      <c r="P37" s="10" t="n">
        <v>1102</v>
      </c>
      <c r="Q37" s="10" t="n">
        <v>0</v>
      </c>
      <c r="R37" s="10" t="n">
        <v>9</v>
      </c>
      <c r="S37" s="10" t="n">
        <v>1111</v>
      </c>
      <c r="T37" s="10" t="n">
        <v>0</v>
      </c>
    </row>
    <row r="38">
      <c r="A38" s="7" t="n">
        <v>34</v>
      </c>
      <c r="B38" s="8" t="inlineStr">
        <is>
          <t>Polling Station 34</t>
        </is>
      </c>
      <c r="C38" s="9" t="n">
        <v>0</v>
      </c>
      <c r="D38" s="9" t="n">
        <v>337</v>
      </c>
      <c r="E38" s="9" t="n">
        <v>9</v>
      </c>
      <c r="F38" s="9" t="n">
        <v>113</v>
      </c>
      <c r="G38" s="9" t="n">
        <v>2</v>
      </c>
      <c r="H38" s="9" t="n">
        <v>4</v>
      </c>
      <c r="I38" s="9" t="n">
        <v>0</v>
      </c>
      <c r="J38" s="9" t="n">
        <v>0</v>
      </c>
      <c r="K38" s="9" t="n">
        <v>2</v>
      </c>
      <c r="L38" s="9" t="n">
        <v>1</v>
      </c>
      <c r="M38" s="9" t="n">
        <v>0</v>
      </c>
      <c r="N38" s="9" t="n">
        <v>1</v>
      </c>
      <c r="O38" s="9" t="n">
        <v>4</v>
      </c>
      <c r="P38" s="10" t="n">
        <v>473</v>
      </c>
      <c r="Q38" s="10" t="n">
        <v>0</v>
      </c>
      <c r="R38" s="10" t="n">
        <v>1</v>
      </c>
      <c r="S38" s="10" t="n">
        <v>474</v>
      </c>
      <c r="T38" s="10" t="n">
        <v>0</v>
      </c>
    </row>
    <row r="39">
      <c r="A39" s="7" t="n">
        <v>35</v>
      </c>
      <c r="B39" s="8" t="inlineStr">
        <is>
          <t>Polling Station 35</t>
        </is>
      </c>
      <c r="C39" s="9" t="n">
        <v>0</v>
      </c>
      <c r="D39" s="9" t="n">
        <v>430</v>
      </c>
      <c r="E39" s="9" t="n">
        <v>0</v>
      </c>
      <c r="F39" s="9" t="n">
        <v>68</v>
      </c>
      <c r="G39" s="9" t="n">
        <v>0</v>
      </c>
      <c r="H39" s="9" t="n">
        <v>2</v>
      </c>
      <c r="I39" s="9" t="n">
        <v>0</v>
      </c>
      <c r="J39" s="9" t="n">
        <v>1</v>
      </c>
      <c r="K39" s="9" t="n">
        <v>0</v>
      </c>
      <c r="L39" s="9" t="n">
        <v>2</v>
      </c>
      <c r="M39" s="9" t="n">
        <v>1</v>
      </c>
      <c r="N39" s="9" t="n">
        <v>3</v>
      </c>
      <c r="O39" s="9" t="n">
        <v>5</v>
      </c>
      <c r="P39" s="10" t="n">
        <v>512</v>
      </c>
      <c r="Q39" s="10" t="n">
        <v>0</v>
      </c>
      <c r="R39" s="10" t="n">
        <v>0</v>
      </c>
      <c r="S39" s="10" t="n">
        <v>512</v>
      </c>
      <c r="T39" s="10" t="n">
        <v>0</v>
      </c>
    </row>
    <row r="40">
      <c r="A40" s="7" t="n">
        <v>36</v>
      </c>
      <c r="B40" s="8" t="inlineStr">
        <is>
          <t>Polling Station 36</t>
        </is>
      </c>
      <c r="C40" s="9" t="n">
        <v>10</v>
      </c>
      <c r="D40" s="9" t="n">
        <v>470</v>
      </c>
      <c r="E40" s="9" t="n">
        <v>0</v>
      </c>
      <c r="F40" s="9" t="n">
        <v>87</v>
      </c>
      <c r="G40" s="9" t="n">
        <v>1</v>
      </c>
      <c r="H40" s="9" t="n">
        <v>1</v>
      </c>
      <c r="I40" s="9" t="n">
        <v>0</v>
      </c>
      <c r="J40" s="9" t="n">
        <v>0</v>
      </c>
      <c r="K40" s="9" t="n">
        <v>3</v>
      </c>
      <c r="L40" s="9" t="n">
        <v>0</v>
      </c>
      <c r="M40" s="9" t="n">
        <v>0</v>
      </c>
      <c r="N40" s="9" t="n">
        <v>1</v>
      </c>
      <c r="O40" s="9" t="n">
        <v>7</v>
      </c>
      <c r="P40" s="10" t="n">
        <v>580</v>
      </c>
      <c r="Q40" s="10" t="n">
        <v>0</v>
      </c>
      <c r="R40" s="10" t="n">
        <v>0</v>
      </c>
      <c r="S40" s="10" t="n">
        <v>580</v>
      </c>
      <c r="T40" s="10" t="n">
        <v>0</v>
      </c>
    </row>
    <row r="41">
      <c r="A41" s="7" t="n">
        <v>37</v>
      </c>
      <c r="B41" s="8" t="inlineStr">
        <is>
          <t>Polling Station 37</t>
        </is>
      </c>
      <c r="C41" s="9" t="n">
        <v>2</v>
      </c>
      <c r="D41" s="9" t="n">
        <v>390</v>
      </c>
      <c r="E41" s="9" t="n">
        <v>4</v>
      </c>
      <c r="F41" s="9" t="n">
        <v>65</v>
      </c>
      <c r="G41" s="9" t="n">
        <v>1</v>
      </c>
      <c r="H41" s="9" t="n">
        <v>1</v>
      </c>
      <c r="I41" s="9" t="n">
        <v>0</v>
      </c>
      <c r="J41" s="9" t="n">
        <v>2</v>
      </c>
      <c r="K41" s="9" t="n">
        <v>8</v>
      </c>
      <c r="L41" s="9" t="n">
        <v>1</v>
      </c>
      <c r="M41" s="9" t="n">
        <v>5</v>
      </c>
      <c r="N41" s="9" t="n">
        <v>2</v>
      </c>
      <c r="O41" s="9" t="n">
        <v>19</v>
      </c>
      <c r="P41" s="10" t="n">
        <v>500</v>
      </c>
      <c r="Q41" s="10" t="n">
        <v>0</v>
      </c>
      <c r="R41" s="10" t="n">
        <v>0</v>
      </c>
      <c r="S41" s="10" t="n">
        <v>500</v>
      </c>
      <c r="T41" s="10" t="n">
        <v>0</v>
      </c>
    </row>
    <row r="42">
      <c r="A42" s="7" t="n">
        <v>38</v>
      </c>
      <c r="B42" s="8" t="inlineStr">
        <is>
          <t>Polling Station 38</t>
        </is>
      </c>
      <c r="C42" s="9" t="n">
        <v>0</v>
      </c>
      <c r="D42" s="9" t="n">
        <v>2</v>
      </c>
      <c r="E42" s="9" t="n">
        <v>6</v>
      </c>
      <c r="F42" s="9" t="n">
        <v>92</v>
      </c>
      <c r="G42" s="9" t="n">
        <v>1</v>
      </c>
      <c r="H42" s="9" t="n">
        <v>1</v>
      </c>
      <c r="I42" s="9" t="n">
        <v>2</v>
      </c>
      <c r="J42" s="9" t="n">
        <v>0</v>
      </c>
      <c r="K42" s="9" t="n">
        <v>0</v>
      </c>
      <c r="L42" s="9" t="n">
        <v>0</v>
      </c>
      <c r="M42" s="9" t="n">
        <v>1</v>
      </c>
      <c r="N42" s="9" t="n">
        <v>0</v>
      </c>
      <c r="O42" s="9" t="n">
        <v>2</v>
      </c>
      <c r="P42" s="10" t="n">
        <v>107</v>
      </c>
      <c r="Q42" s="10" t="n">
        <v>0</v>
      </c>
      <c r="R42" s="10" t="n">
        <v>3</v>
      </c>
      <c r="S42" s="10" t="n">
        <v>110</v>
      </c>
      <c r="T42" s="10" t="n">
        <v>0</v>
      </c>
    </row>
    <row r="43">
      <c r="A43" s="7" t="n">
        <v>39</v>
      </c>
      <c r="B43" s="8" t="inlineStr">
        <is>
          <t>Polling Station 39</t>
        </is>
      </c>
      <c r="C43" s="9" t="n">
        <v>13</v>
      </c>
      <c r="D43" s="9" t="n">
        <v>0</v>
      </c>
      <c r="E43" s="9" t="n">
        <v>18</v>
      </c>
      <c r="F43" s="9" t="n">
        <v>1</v>
      </c>
      <c r="G43" s="9" t="n">
        <v>0</v>
      </c>
      <c r="H43" s="9" t="n">
        <v>0</v>
      </c>
      <c r="I43" s="9" t="n">
        <v>3</v>
      </c>
      <c r="J43" s="9" t="n">
        <v>0</v>
      </c>
      <c r="K43" s="9" t="n">
        <v>0</v>
      </c>
      <c r="L43" s="9" t="n">
        <v>1</v>
      </c>
      <c r="M43" s="9" t="n">
        <v>3</v>
      </c>
      <c r="N43" s="9" t="n">
        <v>3</v>
      </c>
      <c r="O43" s="9" t="n">
        <v>0</v>
      </c>
      <c r="P43" s="10" t="n">
        <v>42</v>
      </c>
      <c r="Q43" s="10" t="n">
        <v>0</v>
      </c>
      <c r="R43" s="10" t="n">
        <v>16</v>
      </c>
      <c r="S43" s="10" t="n">
        <v>58</v>
      </c>
      <c r="T43" s="10" t="n">
        <v>0</v>
      </c>
    </row>
    <row r="44">
      <c r="A44" s="7" t="n">
        <v>40</v>
      </c>
      <c r="B44" s="8" t="inlineStr">
        <is>
          <t>Polling Station 40</t>
        </is>
      </c>
      <c r="C44" s="9" t="n">
        <v>0</v>
      </c>
      <c r="D44" s="9" t="n">
        <v>501</v>
      </c>
      <c r="E44" s="9" t="n">
        <v>7</v>
      </c>
      <c r="F44" s="9" t="n">
        <v>8</v>
      </c>
      <c r="G44" s="9" t="n">
        <v>2</v>
      </c>
      <c r="H44" s="9" t="n">
        <v>2</v>
      </c>
      <c r="I44" s="9" t="n">
        <v>13</v>
      </c>
      <c r="J44" s="9" t="n">
        <v>4</v>
      </c>
      <c r="K44" s="9" t="n">
        <v>7</v>
      </c>
      <c r="L44" s="9" t="n">
        <v>3</v>
      </c>
      <c r="M44" s="9" t="n">
        <v>4</v>
      </c>
      <c r="N44" s="9" t="n">
        <v>0</v>
      </c>
      <c r="O44" s="9" t="n">
        <v>2</v>
      </c>
      <c r="P44" s="10" t="n">
        <v>553</v>
      </c>
      <c r="Q44" s="10" t="n">
        <v>0</v>
      </c>
      <c r="R44" s="10" t="n">
        <v>0</v>
      </c>
      <c r="S44" s="10" t="n">
        <v>553</v>
      </c>
      <c r="T44" s="10" t="n">
        <v>0</v>
      </c>
    </row>
    <row r="45">
      <c r="A45" s="7" t="n">
        <v>41</v>
      </c>
      <c r="B45" s="8" t="inlineStr">
        <is>
          <t>Polling Station 41</t>
        </is>
      </c>
      <c r="C45" s="9" t="n">
        <v>0</v>
      </c>
      <c r="D45" s="9" t="n">
        <v>583</v>
      </c>
      <c r="E45" s="9" t="n">
        <v>0</v>
      </c>
      <c r="F45" s="9" t="n">
        <v>213</v>
      </c>
      <c r="G45" s="9" t="n">
        <v>4</v>
      </c>
      <c r="H45" s="9" t="n">
        <v>2</v>
      </c>
      <c r="I45" s="9" t="n">
        <v>0</v>
      </c>
      <c r="J45" s="9" t="n">
        <v>3</v>
      </c>
      <c r="K45" s="9" t="n">
        <v>14</v>
      </c>
      <c r="L45" s="9" t="n">
        <v>7</v>
      </c>
      <c r="M45" s="9" t="n">
        <v>0</v>
      </c>
      <c r="N45" s="9" t="n">
        <v>8</v>
      </c>
      <c r="O45" s="9" t="n">
        <v>2</v>
      </c>
      <c r="P45" s="10" t="n">
        <v>836</v>
      </c>
      <c r="Q45" s="10" t="n">
        <v>0</v>
      </c>
      <c r="R45" s="10" t="n">
        <v>0</v>
      </c>
      <c r="S45" s="10" t="n">
        <v>836</v>
      </c>
      <c r="T45" s="10" t="n">
        <v>0</v>
      </c>
    </row>
    <row r="46">
      <c r="A46" s="7" t="n">
        <v>42</v>
      </c>
      <c r="B46" s="8" t="inlineStr">
        <is>
          <t>Polling Station 42</t>
        </is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5</v>
      </c>
      <c r="H46" s="9" t="n">
        <v>4</v>
      </c>
      <c r="I46" s="9" t="n">
        <v>4</v>
      </c>
      <c r="J46" s="9" t="n">
        <v>1</v>
      </c>
      <c r="K46" s="9" t="n">
        <v>7</v>
      </c>
      <c r="L46" s="9" t="n">
        <v>2</v>
      </c>
      <c r="M46" s="9" t="n">
        <v>3</v>
      </c>
      <c r="N46" s="9" t="n">
        <v>8</v>
      </c>
      <c r="O46" s="9" t="n">
        <v>2</v>
      </c>
      <c r="P46" s="10" t="n">
        <v>36</v>
      </c>
      <c r="Q46" s="10" t="n">
        <v>0</v>
      </c>
      <c r="R46" s="10" t="n">
        <v>0</v>
      </c>
      <c r="S46" s="10" t="n">
        <v>36</v>
      </c>
      <c r="T46" s="10" t="n">
        <v>0</v>
      </c>
    </row>
    <row r="47">
      <c r="A47" s="7" t="n">
        <v>44</v>
      </c>
      <c r="B47" s="8" t="inlineStr">
        <is>
          <t>Polling Station 44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</row>
    <row r="48">
      <c r="A48" s="7" t="n">
        <v>45</v>
      </c>
      <c r="B48" s="8" t="inlineStr">
        <is>
          <t>‘SINo.of Polling
Station</t>
        </is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7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10" t="n">
        <v>7</v>
      </c>
      <c r="Q48" s="10" t="n">
        <v>0</v>
      </c>
      <c r="R48" s="10" t="n">
        <v>0</v>
      </c>
      <c r="S48" s="10" t="n">
        <v>7</v>
      </c>
      <c r="T48" s="10" t="n">
        <v>0</v>
      </c>
    </row>
    <row r="49">
      <c r="A49" s="7" t="n">
        <v>46</v>
      </c>
      <c r="B49" s="8" t="inlineStr">
        <is>
          <t>Polling Station 46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8</v>
      </c>
      <c r="I49" s="9" t="n">
        <v>9</v>
      </c>
      <c r="J49" s="9" t="n">
        <v>10</v>
      </c>
      <c r="K49" s="9" t="n">
        <v>1</v>
      </c>
      <c r="L49" s="9" t="n">
        <v>2</v>
      </c>
      <c r="M49" s="9" t="n">
        <v>3</v>
      </c>
      <c r="N49" s="9" t="n">
        <v>4</v>
      </c>
      <c r="O49" s="9" t="n">
        <v>7</v>
      </c>
      <c r="P49" s="10" t="n">
        <v>44</v>
      </c>
      <c r="Q49" s="10" t="n">
        <v>0</v>
      </c>
      <c r="R49" s="10" t="n">
        <v>0</v>
      </c>
      <c r="S49" s="10" t="n">
        <v>44</v>
      </c>
      <c r="T49" s="10" t="n">
        <v>7</v>
      </c>
    </row>
    <row r="50">
      <c r="A50" s="7" t="n">
        <v>47</v>
      </c>
      <c r="B50" s="8" t="inlineStr">
        <is>
          <t>Polling Station 47</t>
        </is>
      </c>
      <c r="C50" s="9" t="n">
        <v>0</v>
      </c>
      <c r="D50" s="9" t="n">
        <v>690</v>
      </c>
      <c r="E50" s="9" t="n">
        <v>0</v>
      </c>
      <c r="F50" s="9" t="n">
        <v>0</v>
      </c>
      <c r="G50" s="9" t="n">
        <v>2</v>
      </c>
      <c r="H50" s="9" t="n">
        <v>1</v>
      </c>
      <c r="I50" s="9" t="n">
        <v>2</v>
      </c>
      <c r="J50" s="9" t="n">
        <v>2</v>
      </c>
      <c r="K50" s="9" t="n">
        <v>0</v>
      </c>
      <c r="L50" s="9" t="n">
        <v>3</v>
      </c>
      <c r="M50" s="9" t="n">
        <v>5</v>
      </c>
      <c r="N50" s="9" t="n">
        <v>0</v>
      </c>
      <c r="O50" s="9" t="n">
        <v>7</v>
      </c>
      <c r="P50" s="10" t="n">
        <v>712</v>
      </c>
      <c r="Q50" s="10" t="n">
        <v>0</v>
      </c>
      <c r="R50" s="10" t="n">
        <v>0</v>
      </c>
      <c r="S50" s="10" t="n">
        <v>712</v>
      </c>
      <c r="T50" s="10" t="n">
        <v>2</v>
      </c>
    </row>
    <row r="51">
      <c r="A51" s="7" t="n">
        <v>48</v>
      </c>
      <c r="B51" s="8" t="inlineStr">
        <is>
          <t>Polling Station 48</t>
        </is>
      </c>
      <c r="C51" s="9" t="n">
        <v>0</v>
      </c>
      <c r="D51" s="9" t="n">
        <v>43</v>
      </c>
      <c r="E51" s="9" t="n">
        <v>0</v>
      </c>
      <c r="F51" s="9" t="n">
        <v>0</v>
      </c>
      <c r="G51" s="9" t="n">
        <v>3</v>
      </c>
      <c r="H51" s="9" t="n">
        <v>2</v>
      </c>
      <c r="I51" s="9" t="n">
        <v>2</v>
      </c>
      <c r="J51" s="9" t="n">
        <v>0</v>
      </c>
      <c r="K51" s="9" t="n">
        <v>4</v>
      </c>
      <c r="L51" s="9" t="n">
        <v>4</v>
      </c>
      <c r="M51" s="9" t="n">
        <v>4</v>
      </c>
      <c r="N51" s="9" t="n">
        <v>0</v>
      </c>
      <c r="O51" s="9" t="n">
        <v>0</v>
      </c>
      <c r="P51" s="10" t="n">
        <v>62</v>
      </c>
      <c r="Q51" s="10" t="n">
        <v>0</v>
      </c>
      <c r="R51" s="10" t="n">
        <v>2</v>
      </c>
      <c r="S51" s="10" t="n">
        <v>64</v>
      </c>
      <c r="T51" s="10" t="n">
        <v>0</v>
      </c>
    </row>
    <row r="52">
      <c r="A52" s="7" t="n">
        <v>49</v>
      </c>
      <c r="B52" s="8" t="inlineStr">
        <is>
          <t>Polling Station 49</t>
        </is>
      </c>
      <c r="C52" s="9" t="n">
        <v>13</v>
      </c>
      <c r="D52" s="9" t="n">
        <v>0</v>
      </c>
      <c r="E52" s="9" t="n">
        <v>32</v>
      </c>
      <c r="F52" s="9" t="n">
        <v>101</v>
      </c>
      <c r="G52" s="9" t="n">
        <v>0</v>
      </c>
      <c r="H52" s="9" t="n">
        <v>2</v>
      </c>
      <c r="I52" s="9" t="n">
        <v>0</v>
      </c>
      <c r="J52" s="9" t="n">
        <v>0</v>
      </c>
      <c r="K52" s="9" t="n">
        <v>5</v>
      </c>
      <c r="L52" s="9" t="n">
        <v>0</v>
      </c>
      <c r="M52" s="9" t="n">
        <v>0</v>
      </c>
      <c r="N52" s="9" t="n">
        <v>6</v>
      </c>
      <c r="O52" s="9" t="n">
        <v>0</v>
      </c>
      <c r="P52" s="10" t="n">
        <v>159</v>
      </c>
      <c r="Q52" s="10" t="n">
        <v>7</v>
      </c>
      <c r="R52" s="10" t="n">
        <v>0</v>
      </c>
      <c r="S52" s="10" t="n">
        <v>166</v>
      </c>
      <c r="T52" s="10" t="n">
        <v>0</v>
      </c>
    </row>
    <row r="53">
      <c r="A53" s="7" t="n">
        <v>50</v>
      </c>
      <c r="B53" s="8" t="inlineStr">
        <is>
          <t>Polling Station 50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7</v>
      </c>
      <c r="O53" s="9" t="n">
        <v>0</v>
      </c>
      <c r="P53" s="10" t="n">
        <v>7</v>
      </c>
      <c r="Q53" s="10" t="n">
        <v>0</v>
      </c>
      <c r="R53" s="10" t="n">
        <v>0</v>
      </c>
      <c r="S53" s="10" t="n">
        <v>7</v>
      </c>
      <c r="T53" s="10" t="n">
        <v>0</v>
      </c>
    </row>
    <row r="54">
      <c r="A54" s="7" t="n">
        <v>51</v>
      </c>
      <c r="B54" s="8" t="inlineStr">
        <is>
          <t>‘SI.No.of Polling
Station</t>
        </is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7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10" t="n">
        <v>7</v>
      </c>
      <c r="Q54" s="10" t="n">
        <v>0</v>
      </c>
      <c r="R54" s="10" t="n">
        <v>0</v>
      </c>
      <c r="S54" s="10" t="n">
        <v>7</v>
      </c>
      <c r="T54" s="10" t="n">
        <v>0</v>
      </c>
    </row>
    <row r="55">
      <c r="A55" s="7" t="n">
        <v>52</v>
      </c>
      <c r="B55" s="8" t="inlineStr">
        <is>
          <t>Polling Station 52</t>
        </is>
      </c>
      <c r="C55" s="9" t="n">
        <v>3</v>
      </c>
      <c r="D55" s="9" t="n">
        <v>4</v>
      </c>
      <c r="E55" s="9" t="n">
        <v>5</v>
      </c>
      <c r="F55" s="9" t="n">
        <v>6</v>
      </c>
      <c r="G55" s="9" t="n">
        <v>7</v>
      </c>
      <c r="H55" s="9" t="n">
        <v>8</v>
      </c>
      <c r="I55" s="9" t="n">
        <v>9</v>
      </c>
      <c r="J55" s="9" t="n">
        <v>10</v>
      </c>
      <c r="K55" s="9" t="n">
        <v>0</v>
      </c>
      <c r="L55" s="9" t="n">
        <v>2</v>
      </c>
      <c r="M55" s="9" t="n">
        <v>0</v>
      </c>
      <c r="N55" s="9" t="n">
        <v>7</v>
      </c>
      <c r="O55" s="9" t="n">
        <v>0</v>
      </c>
      <c r="P55" s="10" t="n">
        <v>61</v>
      </c>
      <c r="Q55" s="10" t="n">
        <v>0</v>
      </c>
      <c r="R55" s="10" t="n">
        <v>0</v>
      </c>
      <c r="S55" s="10" t="n">
        <v>61</v>
      </c>
      <c r="T55" s="10" t="n">
        <v>0</v>
      </c>
    </row>
    <row r="56">
      <c r="A56" s="7" t="n">
        <v>53</v>
      </c>
      <c r="B56" s="8" t="inlineStr">
        <is>
          <t>Polling Station 53</t>
        </is>
      </c>
      <c r="C56" s="9" t="n">
        <v>0</v>
      </c>
      <c r="D56" s="9" t="n">
        <v>437</v>
      </c>
      <c r="E56" s="9" t="n">
        <v>42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2</v>
      </c>
      <c r="K56" s="9" t="n">
        <v>1</v>
      </c>
      <c r="L56" s="9" t="n">
        <v>5</v>
      </c>
      <c r="M56" s="9" t="n">
        <v>1</v>
      </c>
      <c r="N56" s="9" t="n">
        <v>3</v>
      </c>
      <c r="O56" s="9" t="n">
        <v>0</v>
      </c>
      <c r="P56" s="10" t="n">
        <v>491</v>
      </c>
      <c r="Q56" s="10" t="n">
        <v>0</v>
      </c>
      <c r="R56" s="10" t="n">
        <v>3</v>
      </c>
      <c r="S56" s="10" t="n">
        <v>494</v>
      </c>
      <c r="T56" s="10" t="n">
        <v>0</v>
      </c>
    </row>
    <row r="57">
      <c r="A57" s="7" t="n">
        <v>54</v>
      </c>
      <c r="B57" s="8" t="inlineStr">
        <is>
          <t>Polling Station 54</t>
        </is>
      </c>
      <c r="C57" s="9" t="n">
        <v>3</v>
      </c>
      <c r="D57" s="9" t="n">
        <v>597</v>
      </c>
      <c r="E57" s="9" t="n">
        <v>0</v>
      </c>
      <c r="F57" s="9" t="n">
        <v>103</v>
      </c>
      <c r="G57" s="9" t="n">
        <v>2</v>
      </c>
      <c r="H57" s="9" t="n">
        <v>2</v>
      </c>
      <c r="I57" s="9" t="n">
        <v>0</v>
      </c>
      <c r="J57" s="9" t="n">
        <v>3</v>
      </c>
      <c r="K57" s="9" t="n">
        <v>1</v>
      </c>
      <c r="L57" s="9" t="n">
        <v>0</v>
      </c>
      <c r="M57" s="9" t="n">
        <v>0</v>
      </c>
      <c r="N57" s="9" t="n">
        <v>1</v>
      </c>
      <c r="O57" s="9" t="n">
        <v>4</v>
      </c>
      <c r="P57" s="10" t="n">
        <v>716</v>
      </c>
      <c r="Q57" s="10" t="n">
        <v>0</v>
      </c>
      <c r="R57" s="10" t="n">
        <v>10</v>
      </c>
      <c r="S57" s="10" t="n">
        <v>726</v>
      </c>
      <c r="T57" s="10" t="n">
        <v>0</v>
      </c>
    </row>
    <row r="58">
      <c r="A58" s="7" t="n">
        <v>55</v>
      </c>
      <c r="B58" s="8" t="inlineStr">
        <is>
          <t>Polling Station 55</t>
        </is>
      </c>
      <c r="C58" s="9" t="n">
        <v>0</v>
      </c>
      <c r="D58" s="9" t="n">
        <v>3</v>
      </c>
      <c r="E58" s="9" t="n">
        <v>0</v>
      </c>
      <c r="F58" s="9" t="n">
        <v>104</v>
      </c>
      <c r="G58" s="9" t="n">
        <v>1</v>
      </c>
      <c r="H58" s="9" t="n">
        <v>1</v>
      </c>
      <c r="I58" s="9" t="n">
        <v>2</v>
      </c>
      <c r="J58" s="9" t="n">
        <v>1</v>
      </c>
      <c r="K58" s="9" t="n">
        <v>2</v>
      </c>
      <c r="L58" s="9" t="n">
        <v>1</v>
      </c>
      <c r="M58" s="9" t="n">
        <v>3</v>
      </c>
      <c r="N58" s="9" t="n">
        <v>3</v>
      </c>
      <c r="O58" s="9" t="n">
        <v>0</v>
      </c>
      <c r="P58" s="10" t="n">
        <v>121</v>
      </c>
      <c r="Q58" s="10" t="n">
        <v>0</v>
      </c>
      <c r="R58" s="10" t="n">
        <v>12</v>
      </c>
      <c r="S58" s="10" t="n">
        <v>133</v>
      </c>
      <c r="T58" s="10" t="n">
        <v>0</v>
      </c>
    </row>
    <row r="59">
      <c r="A59" s="7" t="n">
        <v>56</v>
      </c>
      <c r="B59" s="8" t="inlineStr">
        <is>
          <t>Polling Station 56</t>
        </is>
      </c>
      <c r="C59" s="9" t="n">
        <v>10</v>
      </c>
      <c r="D59" s="9" t="n">
        <v>335</v>
      </c>
      <c r="E59" s="9" t="n">
        <v>0</v>
      </c>
      <c r="F59" s="9" t="n">
        <v>7</v>
      </c>
      <c r="G59" s="9" t="n">
        <v>4</v>
      </c>
      <c r="H59" s="9" t="n">
        <v>1</v>
      </c>
      <c r="I59" s="9" t="n">
        <v>0</v>
      </c>
      <c r="J59" s="9" t="n">
        <v>1</v>
      </c>
      <c r="K59" s="9" t="n">
        <v>0</v>
      </c>
      <c r="L59" s="9" t="n">
        <v>1</v>
      </c>
      <c r="M59" s="9" t="n">
        <v>4</v>
      </c>
      <c r="N59" s="9" t="n">
        <v>4</v>
      </c>
      <c r="O59" s="9" t="n">
        <v>7</v>
      </c>
      <c r="P59" s="10" t="n">
        <v>374</v>
      </c>
      <c r="Q59" s="10" t="n">
        <v>0</v>
      </c>
      <c r="R59" s="10" t="n">
        <v>0</v>
      </c>
      <c r="S59" s="10" t="n">
        <v>374</v>
      </c>
      <c r="T59" s="10" t="n">
        <v>0</v>
      </c>
    </row>
    <row r="60">
      <c r="A60" s="7" t="n">
        <v>57</v>
      </c>
      <c r="B60" s="8" t="inlineStr">
        <is>
          <t>Polling Station 57</t>
        </is>
      </c>
      <c r="C60" s="9" t="n">
        <v>2</v>
      </c>
      <c r="D60" s="9" t="n">
        <v>776</v>
      </c>
      <c r="E60" s="9" t="n">
        <v>7</v>
      </c>
      <c r="F60" s="9" t="n">
        <v>2</v>
      </c>
      <c r="G60" s="9" t="n">
        <v>3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1</v>
      </c>
      <c r="M60" s="9" t="n">
        <v>0</v>
      </c>
      <c r="N60" s="9" t="n">
        <v>0</v>
      </c>
      <c r="O60" s="9" t="n">
        <v>2</v>
      </c>
      <c r="P60" s="10" t="n">
        <v>793</v>
      </c>
      <c r="Q60" s="10" t="n">
        <v>0</v>
      </c>
      <c r="R60" s="10" t="n">
        <v>2</v>
      </c>
      <c r="S60" s="10" t="n">
        <v>795</v>
      </c>
      <c r="T60" s="10" t="n">
        <v>0</v>
      </c>
    </row>
    <row r="61">
      <c r="A61" s="7" t="n">
        <v>58</v>
      </c>
      <c r="B61" s="8" t="inlineStr">
        <is>
          <t>Polling Station 58</t>
        </is>
      </c>
      <c r="C61" s="9" t="n">
        <v>4</v>
      </c>
      <c r="D61" s="9" t="n">
        <v>413</v>
      </c>
      <c r="E61" s="9" t="n">
        <v>10</v>
      </c>
      <c r="F61" s="9" t="n">
        <v>150</v>
      </c>
      <c r="G61" s="9" t="n">
        <v>3</v>
      </c>
      <c r="H61" s="9" t="n">
        <v>2</v>
      </c>
      <c r="I61" s="9" t="n">
        <v>2</v>
      </c>
      <c r="J61" s="9" t="n">
        <v>1</v>
      </c>
      <c r="K61" s="9" t="n">
        <v>2</v>
      </c>
      <c r="L61" s="9" t="n">
        <v>0</v>
      </c>
      <c r="M61" s="9" t="n">
        <v>6</v>
      </c>
      <c r="N61" s="9" t="n">
        <v>1</v>
      </c>
      <c r="O61" s="9" t="n">
        <v>7</v>
      </c>
      <c r="P61" s="10" t="n">
        <v>601</v>
      </c>
      <c r="Q61" s="10" t="n">
        <v>0</v>
      </c>
      <c r="R61" s="10" t="n">
        <v>3</v>
      </c>
      <c r="S61" s="10" t="n">
        <v>604</v>
      </c>
      <c r="T61" s="10" t="n">
        <v>0</v>
      </c>
    </row>
    <row r="62">
      <c r="A62" s="7" t="n">
        <v>59</v>
      </c>
      <c r="B62" s="8" t="inlineStr">
        <is>
          <t>Polling Station 59</t>
        </is>
      </c>
      <c r="C62" s="9" t="n">
        <v>0</v>
      </c>
      <c r="D62" s="9" t="n">
        <v>424</v>
      </c>
      <c r="E62" s="9" t="n">
        <v>16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6</v>
      </c>
      <c r="L62" s="9" t="n">
        <v>4</v>
      </c>
      <c r="M62" s="9" t="n">
        <v>2</v>
      </c>
      <c r="N62" s="9" t="n">
        <v>3</v>
      </c>
      <c r="O62" s="9" t="n">
        <v>5</v>
      </c>
      <c r="P62" s="10" t="n">
        <v>460</v>
      </c>
      <c r="Q62" s="10" t="n">
        <v>0</v>
      </c>
      <c r="R62" s="10" t="n">
        <v>13</v>
      </c>
      <c r="S62" s="10" t="n">
        <v>473</v>
      </c>
      <c r="T62" s="10" t="n">
        <v>0</v>
      </c>
    </row>
    <row r="63">
      <c r="A63" s="7" t="n">
        <v>60</v>
      </c>
      <c r="B63" s="8" t="inlineStr">
        <is>
          <t>Polling Station 60</t>
        </is>
      </c>
      <c r="C63" s="9" t="n">
        <v>0</v>
      </c>
      <c r="D63" s="9" t="n">
        <v>341</v>
      </c>
      <c r="E63" s="9" t="n">
        <v>0</v>
      </c>
      <c r="F63" s="9" t="n">
        <v>8</v>
      </c>
      <c r="G63" s="9" t="n">
        <v>1</v>
      </c>
      <c r="H63" s="9" t="n">
        <v>1</v>
      </c>
      <c r="I63" s="9" t="n">
        <v>1</v>
      </c>
      <c r="J63" s="9" t="n">
        <v>0</v>
      </c>
      <c r="K63" s="9" t="n">
        <v>4</v>
      </c>
      <c r="L63" s="9" t="n">
        <v>1</v>
      </c>
      <c r="M63" s="9" t="n">
        <v>1</v>
      </c>
      <c r="N63" s="9" t="n">
        <v>2</v>
      </c>
      <c r="O63" s="9" t="n">
        <v>3</v>
      </c>
      <c r="P63" s="10" t="n">
        <v>363</v>
      </c>
      <c r="Q63" s="10" t="n">
        <v>0</v>
      </c>
      <c r="R63" s="10" t="n">
        <v>3</v>
      </c>
      <c r="S63" s="10" t="n">
        <v>366</v>
      </c>
      <c r="T63" s="10" t="n">
        <v>0</v>
      </c>
    </row>
    <row r="64">
      <c r="A64" s="7" t="n">
        <v>61</v>
      </c>
      <c r="B64" s="8" t="inlineStr">
        <is>
          <t>Polling Station 61</t>
        </is>
      </c>
      <c r="C64" s="9" t="n">
        <v>25</v>
      </c>
      <c r="D64" s="9" t="n">
        <v>0</v>
      </c>
      <c r="E64" s="9" t="n">
        <v>18</v>
      </c>
      <c r="F64" s="9" t="n">
        <v>0</v>
      </c>
      <c r="G64" s="9" t="n">
        <v>0</v>
      </c>
      <c r="H64" s="9" t="n">
        <v>3</v>
      </c>
      <c r="I64" s="9" t="n">
        <v>0</v>
      </c>
      <c r="J64" s="9" t="n">
        <v>0</v>
      </c>
      <c r="K64" s="9" t="n">
        <v>2</v>
      </c>
      <c r="L64" s="9" t="n">
        <v>4</v>
      </c>
      <c r="M64" s="9" t="n">
        <v>1</v>
      </c>
      <c r="N64" s="9" t="n">
        <v>1</v>
      </c>
      <c r="O64" s="9" t="n">
        <v>9</v>
      </c>
      <c r="P64" s="10" t="n">
        <v>63</v>
      </c>
      <c r="Q64" s="10" t="n">
        <v>0</v>
      </c>
      <c r="R64" s="10" t="n">
        <v>1</v>
      </c>
      <c r="S64" s="10" t="n">
        <v>64</v>
      </c>
      <c r="T64" s="10" t="n">
        <v>0</v>
      </c>
    </row>
    <row r="65">
      <c r="A65" s="7" t="n">
        <v>62</v>
      </c>
      <c r="B65" s="8" t="inlineStr">
        <is>
          <t>Polling Station 62</t>
        </is>
      </c>
      <c r="C65" s="9" t="n">
        <v>12</v>
      </c>
      <c r="D65" s="9" t="n">
        <v>5</v>
      </c>
      <c r="E65" s="9" t="n">
        <v>19</v>
      </c>
      <c r="F65" s="9" t="n">
        <v>123</v>
      </c>
      <c r="G65" s="9" t="n">
        <v>0</v>
      </c>
      <c r="H65" s="9" t="n">
        <v>0</v>
      </c>
      <c r="I65" s="9" t="n">
        <v>0</v>
      </c>
      <c r="J65" s="9" t="n">
        <v>1</v>
      </c>
      <c r="K65" s="9" t="n">
        <v>1</v>
      </c>
      <c r="L65" s="9" t="n">
        <v>0</v>
      </c>
      <c r="M65" s="9" t="n">
        <v>2</v>
      </c>
      <c r="N65" s="9" t="n">
        <v>0</v>
      </c>
      <c r="O65" s="9" t="n">
        <v>10</v>
      </c>
      <c r="P65" s="10" t="n">
        <v>173</v>
      </c>
      <c r="Q65" s="10" t="n">
        <v>0</v>
      </c>
      <c r="R65" s="10" t="n">
        <v>12</v>
      </c>
      <c r="S65" s="10" t="n">
        <v>185</v>
      </c>
      <c r="T65" s="10" t="n">
        <v>0</v>
      </c>
    </row>
    <row r="66">
      <c r="A66" s="7" t="n">
        <v>63</v>
      </c>
      <c r="B66" s="8" t="inlineStr">
        <is>
          <t>Polling Station 63</t>
        </is>
      </c>
      <c r="C66" s="9" t="n">
        <v>13</v>
      </c>
      <c r="D66" s="9" t="n">
        <v>313</v>
      </c>
      <c r="E66" s="9" t="n">
        <v>10</v>
      </c>
      <c r="F66" s="9" t="n">
        <v>118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1</v>
      </c>
      <c r="N66" s="9" t="n">
        <v>2</v>
      </c>
      <c r="O66" s="9" t="n">
        <v>1</v>
      </c>
      <c r="P66" s="10" t="n">
        <v>458</v>
      </c>
      <c r="Q66" s="10" t="n">
        <v>0</v>
      </c>
      <c r="R66" s="10" t="n">
        <v>2</v>
      </c>
      <c r="S66" s="10" t="n">
        <v>460</v>
      </c>
      <c r="T66" s="10" t="n">
        <v>0</v>
      </c>
    </row>
    <row r="67">
      <c r="A67" s="7" t="n">
        <v>64</v>
      </c>
      <c r="B67" s="8" t="inlineStr">
        <is>
          <t>Polling Station 64</t>
        </is>
      </c>
      <c r="C67" s="9" t="n">
        <v>0</v>
      </c>
      <c r="D67" s="9" t="n">
        <v>399</v>
      </c>
      <c r="E67" s="9" t="n">
        <v>20</v>
      </c>
      <c r="F67" s="9" t="n">
        <v>129</v>
      </c>
      <c r="G67" s="9" t="n">
        <v>1</v>
      </c>
      <c r="H67" s="9" t="n">
        <v>1</v>
      </c>
      <c r="I67" s="9" t="n">
        <v>1</v>
      </c>
      <c r="J67" s="9" t="n">
        <v>0</v>
      </c>
      <c r="K67" s="9" t="n">
        <v>0</v>
      </c>
      <c r="L67" s="9" t="n">
        <v>1</v>
      </c>
      <c r="M67" s="9" t="n">
        <v>1</v>
      </c>
      <c r="N67" s="9" t="n">
        <v>0</v>
      </c>
      <c r="O67" s="9" t="n">
        <v>3</v>
      </c>
      <c r="P67" s="10" t="n">
        <v>556</v>
      </c>
      <c r="Q67" s="10" t="n">
        <v>0</v>
      </c>
      <c r="R67" s="10" t="n">
        <v>0</v>
      </c>
      <c r="S67" s="10" t="n">
        <v>556</v>
      </c>
      <c r="T67" s="10" t="n">
        <v>0</v>
      </c>
    </row>
    <row r="68">
      <c r="A68" s="7" t="n">
        <v>65</v>
      </c>
      <c r="B68" s="8" t="inlineStr">
        <is>
          <t>Polling Station 65</t>
        </is>
      </c>
      <c r="C68" s="9" t="n">
        <v>23</v>
      </c>
      <c r="D68" s="9" t="n">
        <v>575</v>
      </c>
      <c r="E68" s="9" t="n">
        <v>0</v>
      </c>
      <c r="F68" s="9" t="n">
        <v>233</v>
      </c>
      <c r="G68" s="9" t="n">
        <v>4</v>
      </c>
      <c r="H68" s="9" t="n">
        <v>3</v>
      </c>
      <c r="I68" s="9" t="n">
        <v>0</v>
      </c>
      <c r="J68" s="9" t="n">
        <v>1</v>
      </c>
      <c r="K68" s="9" t="n">
        <v>0</v>
      </c>
      <c r="L68" s="9" t="n">
        <v>4</v>
      </c>
      <c r="M68" s="9" t="n">
        <v>5</v>
      </c>
      <c r="N68" s="9" t="n">
        <v>0</v>
      </c>
      <c r="O68" s="9" t="n">
        <v>0</v>
      </c>
      <c r="P68" s="10" t="n">
        <v>848</v>
      </c>
      <c r="Q68" s="10" t="n">
        <v>0</v>
      </c>
      <c r="R68" s="10" t="n">
        <v>0</v>
      </c>
      <c r="S68" s="10" t="n">
        <v>848</v>
      </c>
      <c r="T68" s="10" t="n">
        <v>0</v>
      </c>
    </row>
    <row r="69">
      <c r="A69" s="7" t="n">
        <v>66</v>
      </c>
      <c r="B69" s="8" t="inlineStr">
        <is>
          <t>Polling Station 66</t>
        </is>
      </c>
      <c r="C69" s="9" t="n">
        <v>16</v>
      </c>
      <c r="D69" s="9" t="n">
        <v>0</v>
      </c>
      <c r="E69" s="9" t="n">
        <v>16</v>
      </c>
      <c r="F69" s="9" t="n">
        <v>114</v>
      </c>
      <c r="G69" s="9" t="n">
        <v>1</v>
      </c>
      <c r="H69" s="9" t="n">
        <v>2</v>
      </c>
      <c r="I69" s="9" t="n">
        <v>0</v>
      </c>
      <c r="J69" s="9" t="n">
        <v>0</v>
      </c>
      <c r="K69" s="9" t="n">
        <v>0</v>
      </c>
      <c r="L69" s="9" t="n">
        <v>2</v>
      </c>
      <c r="M69" s="9" t="n">
        <v>5</v>
      </c>
      <c r="N69" s="9" t="n">
        <v>0</v>
      </c>
      <c r="O69" s="9" t="n">
        <v>5</v>
      </c>
      <c r="P69" s="10" t="n">
        <v>161</v>
      </c>
      <c r="Q69" s="10" t="n">
        <v>0</v>
      </c>
      <c r="R69" s="10" t="n">
        <v>1</v>
      </c>
      <c r="S69" s="10" t="n">
        <v>162</v>
      </c>
      <c r="T69" s="10" t="n">
        <v>7</v>
      </c>
    </row>
    <row r="70">
      <c r="A70" s="7" t="n">
        <v>67</v>
      </c>
      <c r="B70" s="8" t="inlineStr">
        <is>
          <t>Polling Station 67</t>
        </is>
      </c>
      <c r="C70" s="9" t="n">
        <v>413</v>
      </c>
      <c r="D70" s="9" t="n">
        <v>531</v>
      </c>
      <c r="E70" s="9" t="n">
        <v>16</v>
      </c>
      <c r="F70" s="9" t="n">
        <v>140</v>
      </c>
      <c r="G70" s="9" t="n">
        <v>0</v>
      </c>
      <c r="H70" s="9" t="n">
        <v>1</v>
      </c>
      <c r="I70" s="9" t="n">
        <v>0</v>
      </c>
      <c r="J70" s="9" t="n">
        <v>2</v>
      </c>
      <c r="K70" s="9" t="n">
        <v>1</v>
      </c>
      <c r="L70" s="9" t="n">
        <v>2</v>
      </c>
      <c r="M70" s="9" t="n">
        <v>0</v>
      </c>
      <c r="N70" s="9" t="n">
        <v>0</v>
      </c>
      <c r="O70" s="9" t="n">
        <v>0</v>
      </c>
      <c r="P70" s="10" t="n">
        <v>1106</v>
      </c>
      <c r="Q70" s="10" t="n">
        <v>0</v>
      </c>
      <c r="R70" s="10" t="n">
        <v>0</v>
      </c>
      <c r="S70" s="10" t="n">
        <v>1106</v>
      </c>
      <c r="T70" s="10" t="n">
        <v>0</v>
      </c>
    </row>
    <row r="71">
      <c r="A71" s="7" t="n">
        <v>68</v>
      </c>
      <c r="B71" s="8" t="inlineStr">
        <is>
          <t>Polling Station 68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7</v>
      </c>
      <c r="O71" s="9" t="n">
        <v>0</v>
      </c>
      <c r="P71" s="10" t="n">
        <v>7</v>
      </c>
      <c r="Q71" s="10" t="n">
        <v>0</v>
      </c>
      <c r="R71" s="10" t="n">
        <v>0</v>
      </c>
      <c r="S71" s="10" t="n">
        <v>7</v>
      </c>
      <c r="T71" s="10" t="n">
        <v>0</v>
      </c>
    </row>
    <row r="72">
      <c r="A72" s="7" t="n">
        <v>69</v>
      </c>
      <c r="B72" s="8" t="inlineStr">
        <is>
          <t>Polling Station 69</t>
        </is>
      </c>
      <c r="C72" s="9" t="n">
        <v>10</v>
      </c>
      <c r="D72" s="9" t="n">
        <v>593</v>
      </c>
      <c r="E72" s="9" t="n">
        <v>18</v>
      </c>
      <c r="F72" s="9" t="n">
        <v>145</v>
      </c>
      <c r="G72" s="9" t="n">
        <v>0</v>
      </c>
      <c r="H72" s="9" t="n">
        <v>2</v>
      </c>
      <c r="I72" s="9" t="n">
        <v>2</v>
      </c>
      <c r="J72" s="9" t="n">
        <v>2</v>
      </c>
      <c r="K72" s="9" t="n">
        <v>7</v>
      </c>
      <c r="L72" s="9" t="n">
        <v>7</v>
      </c>
      <c r="M72" s="9" t="n">
        <v>0</v>
      </c>
      <c r="N72" s="9" t="n">
        <v>0</v>
      </c>
      <c r="O72" s="9" t="n">
        <v>0</v>
      </c>
      <c r="P72" s="10" t="n">
        <v>786</v>
      </c>
      <c r="Q72" s="10" t="n">
        <v>0</v>
      </c>
      <c r="R72" s="10" t="n">
        <v>0</v>
      </c>
      <c r="S72" s="10" t="n">
        <v>786</v>
      </c>
      <c r="T72" s="10" t="n">
        <v>0</v>
      </c>
    </row>
    <row r="73">
      <c r="A73" s="7" t="n">
        <v>70</v>
      </c>
      <c r="B73" s="8" t="inlineStr">
        <is>
          <t>Polling Station 70</t>
        </is>
      </c>
      <c r="C73" s="9" t="n">
        <v>0</v>
      </c>
      <c r="D73" s="9" t="n">
        <v>0</v>
      </c>
      <c r="E73" s="9" t="n">
        <v>0</v>
      </c>
      <c r="F73" s="9" t="n">
        <v>6</v>
      </c>
      <c r="G73" s="9" t="n">
        <v>7</v>
      </c>
      <c r="H73" s="9" t="n">
        <v>8</v>
      </c>
      <c r="I73" s="9" t="n">
        <v>9</v>
      </c>
      <c r="J73" s="9" t="n">
        <v>10</v>
      </c>
      <c r="K73" s="9" t="n">
        <v>0</v>
      </c>
      <c r="L73" s="9" t="n">
        <v>0</v>
      </c>
      <c r="M73" s="9" t="n">
        <v>3</v>
      </c>
      <c r="N73" s="9" t="n">
        <v>1</v>
      </c>
      <c r="O73" s="9" t="n">
        <v>0</v>
      </c>
      <c r="P73" s="10" t="n">
        <v>44</v>
      </c>
      <c r="Q73" s="10" t="n">
        <v>0</v>
      </c>
      <c r="R73" s="10" t="n">
        <v>0</v>
      </c>
      <c r="S73" s="10" t="n">
        <v>44</v>
      </c>
      <c r="T73" s="10" t="n">
        <v>7</v>
      </c>
    </row>
    <row r="74">
      <c r="A74" s="7" t="n">
        <v>71</v>
      </c>
      <c r="B74" s="8" t="inlineStr">
        <is>
          <t>nm
m1</t>
        </is>
      </c>
      <c r="C74" s="9" t="n">
        <v>0</v>
      </c>
      <c r="D74" s="9" t="n">
        <v>0</v>
      </c>
      <c r="E74" s="9" t="n">
        <v>15</v>
      </c>
      <c r="F74" s="9" t="n">
        <v>0</v>
      </c>
      <c r="G74" s="9" t="n">
        <v>4</v>
      </c>
      <c r="H74" s="9" t="n">
        <v>1</v>
      </c>
      <c r="I74" s="9" t="n">
        <v>0</v>
      </c>
      <c r="J74" s="9" t="n">
        <v>0</v>
      </c>
      <c r="K74" s="9" t="n">
        <v>2</v>
      </c>
      <c r="L74" s="9" t="n">
        <v>0</v>
      </c>
      <c r="M74" s="9" t="n">
        <v>0</v>
      </c>
      <c r="N74" s="9" t="n">
        <v>0</v>
      </c>
      <c r="O74" s="9" t="n">
        <v>0</v>
      </c>
      <c r="P74" s="10" t="n">
        <v>22</v>
      </c>
      <c r="Q74" s="10" t="n">
        <v>0</v>
      </c>
      <c r="R74" s="10" t="n">
        <v>0</v>
      </c>
      <c r="S74" s="10" t="n">
        <v>22</v>
      </c>
      <c r="T74" s="10" t="n">
        <v>0</v>
      </c>
    </row>
    <row r="75">
      <c r="A75" s="7" t="n">
        <v>72</v>
      </c>
      <c r="B75" s="8" t="inlineStr">
        <is>
          <t>Polling Station 72</t>
        </is>
      </c>
      <c r="C75" s="9" t="n">
        <v>0</v>
      </c>
      <c r="D75" s="9" t="n">
        <v>170</v>
      </c>
      <c r="E75" s="9" t="n">
        <v>0</v>
      </c>
      <c r="F75" s="9" t="n">
        <v>112</v>
      </c>
      <c r="G75" s="9" t="n">
        <v>1</v>
      </c>
      <c r="H75" s="9" t="n">
        <v>1</v>
      </c>
      <c r="I75" s="9" t="n">
        <v>0</v>
      </c>
      <c r="J75" s="9" t="n">
        <v>1</v>
      </c>
      <c r="K75" s="9" t="n">
        <v>9</v>
      </c>
      <c r="L75" s="9" t="n">
        <v>0</v>
      </c>
      <c r="M75" s="9" t="n">
        <v>0</v>
      </c>
      <c r="N75" s="9" t="n">
        <v>0</v>
      </c>
      <c r="O75" s="9" t="n">
        <v>0</v>
      </c>
      <c r="P75" s="10" t="n">
        <v>294</v>
      </c>
      <c r="Q75" s="10" t="n">
        <v>0</v>
      </c>
      <c r="R75" s="10" t="n">
        <v>0</v>
      </c>
      <c r="S75" s="10" t="n">
        <v>294</v>
      </c>
      <c r="T75" s="10" t="n">
        <v>0</v>
      </c>
    </row>
    <row r="76">
      <c r="A76" s="7" t="n">
        <v>73</v>
      </c>
      <c r="B76" s="8" t="inlineStr">
        <is>
          <t>Polling Station 73</t>
        </is>
      </c>
      <c r="C76" s="9" t="n">
        <v>2</v>
      </c>
      <c r="D76" s="9" t="n">
        <v>312</v>
      </c>
      <c r="E76" s="9" t="n">
        <v>13</v>
      </c>
      <c r="F76" s="9" t="n">
        <v>0</v>
      </c>
      <c r="G76" s="9" t="n">
        <v>2</v>
      </c>
      <c r="H76" s="9" t="n">
        <v>1</v>
      </c>
      <c r="I76" s="9" t="n">
        <v>4</v>
      </c>
      <c r="J76" s="9" t="n">
        <v>0</v>
      </c>
      <c r="K76" s="9" t="n">
        <v>1</v>
      </c>
      <c r="L76" s="9" t="n">
        <v>1</v>
      </c>
      <c r="M76" s="9" t="n">
        <v>0</v>
      </c>
      <c r="N76" s="9" t="n">
        <v>0</v>
      </c>
      <c r="O76" s="9" t="n">
        <v>0</v>
      </c>
      <c r="P76" s="10" t="n">
        <v>336</v>
      </c>
      <c r="Q76" s="10" t="n">
        <v>0</v>
      </c>
      <c r="R76" s="10" t="n">
        <v>0</v>
      </c>
      <c r="S76" s="10" t="n">
        <v>336</v>
      </c>
      <c r="T76" s="10" t="n">
        <v>0</v>
      </c>
    </row>
    <row r="77">
      <c r="A77" s="7" t="n">
        <v>75</v>
      </c>
      <c r="B77" s="8" t="inlineStr">
        <is>
          <t>Polling Station 75</t>
        </is>
      </c>
      <c r="C77" s="9" t="n">
        <v>13</v>
      </c>
      <c r="D77" s="9" t="n">
        <v>383</v>
      </c>
      <c r="E77" s="9" t="n">
        <v>15</v>
      </c>
      <c r="F77" s="9" t="n">
        <v>202</v>
      </c>
      <c r="G77" s="9" t="n">
        <v>2</v>
      </c>
      <c r="H77" s="9" t="n">
        <v>3</v>
      </c>
      <c r="I77" s="9" t="n">
        <v>1</v>
      </c>
      <c r="J77" s="9" t="n">
        <v>1</v>
      </c>
      <c r="K77" s="9" t="n">
        <v>9</v>
      </c>
      <c r="L77" s="9" t="n">
        <v>2</v>
      </c>
      <c r="M77" s="9" t="n">
        <v>0</v>
      </c>
      <c r="N77" s="9" t="n">
        <v>0</v>
      </c>
      <c r="O77" s="9" t="n">
        <v>20</v>
      </c>
      <c r="P77" s="10" t="n">
        <v>651</v>
      </c>
      <c r="Q77" s="10" t="n">
        <v>0</v>
      </c>
      <c r="R77" s="10" t="n">
        <v>7</v>
      </c>
      <c r="S77" s="10" t="n">
        <v>658</v>
      </c>
      <c r="T77" s="10" t="n">
        <v>0</v>
      </c>
    </row>
    <row r="78">
      <c r="A78" s="7" t="n">
        <v>76</v>
      </c>
      <c r="B78" s="8" t="inlineStr">
        <is>
          <t>Polling Station 76</t>
        </is>
      </c>
      <c r="C78" s="9" t="n">
        <v>2</v>
      </c>
      <c r="D78" s="9" t="n">
        <v>493</v>
      </c>
      <c r="E78" s="9" t="n">
        <v>18</v>
      </c>
      <c r="F78" s="9" t="n">
        <v>103</v>
      </c>
      <c r="G78" s="9" t="n">
        <v>1</v>
      </c>
      <c r="H78" s="9" t="n">
        <v>2</v>
      </c>
      <c r="I78" s="9" t="n">
        <v>0</v>
      </c>
      <c r="J78" s="9" t="n">
        <v>2</v>
      </c>
      <c r="K78" s="9" t="n">
        <v>7</v>
      </c>
      <c r="L78" s="9" t="n">
        <v>4</v>
      </c>
      <c r="M78" s="9" t="n">
        <v>0</v>
      </c>
      <c r="N78" s="9" t="n">
        <v>4</v>
      </c>
      <c r="O78" s="9" t="n">
        <v>6</v>
      </c>
      <c r="P78" s="10" t="n">
        <v>642</v>
      </c>
      <c r="Q78" s="10" t="n">
        <v>0</v>
      </c>
      <c r="R78" s="10" t="n">
        <v>0</v>
      </c>
      <c r="S78" s="10" t="n">
        <v>642</v>
      </c>
      <c r="T78" s="10" t="n">
        <v>0</v>
      </c>
    </row>
    <row r="79">
      <c r="A79" s="7" t="n">
        <v>81</v>
      </c>
      <c r="B79" s="8" t="inlineStr">
        <is>
          <t>a</t>
        </is>
      </c>
      <c r="C79" s="9" t="n">
        <v>4</v>
      </c>
      <c r="D79" s="9" t="n">
        <v>517</v>
      </c>
      <c r="E79" s="9" t="n">
        <v>0</v>
      </c>
      <c r="F79" s="9" t="n">
        <v>0</v>
      </c>
      <c r="G79" s="9" t="n">
        <v>1</v>
      </c>
      <c r="H79" s="9" t="n">
        <v>0</v>
      </c>
      <c r="I79" s="9" t="n">
        <v>0</v>
      </c>
      <c r="J79" s="9" t="n">
        <v>0</v>
      </c>
      <c r="K79" s="9" t="n">
        <v>4</v>
      </c>
      <c r="L79" s="9" t="n">
        <v>2</v>
      </c>
      <c r="M79" s="9" t="n">
        <v>3</v>
      </c>
      <c r="N79" s="9" t="n">
        <v>5</v>
      </c>
      <c r="O79" s="9" t="n">
        <v>0</v>
      </c>
      <c r="P79" s="10" t="n">
        <v>536</v>
      </c>
      <c r="Q79" s="10" t="n">
        <v>0</v>
      </c>
      <c r="R79" s="10" t="n">
        <v>0</v>
      </c>
      <c r="S79" s="10" t="n">
        <v>536</v>
      </c>
      <c r="T79" s="10" t="n">
        <v>0</v>
      </c>
    </row>
    <row r="80">
      <c r="A80" s="7" t="n">
        <v>82</v>
      </c>
      <c r="B80" s="8" t="inlineStr">
        <is>
          <t>Polling Station 82</t>
        </is>
      </c>
      <c r="C80" s="9" t="n">
        <v>15</v>
      </c>
      <c r="D80" s="9" t="n">
        <v>401</v>
      </c>
      <c r="E80" s="9" t="n">
        <v>0</v>
      </c>
      <c r="F80" s="9" t="n">
        <v>0</v>
      </c>
      <c r="G80" s="9" t="n">
        <v>0</v>
      </c>
      <c r="H80" s="9" t="n">
        <v>1</v>
      </c>
      <c r="I80" s="9" t="n">
        <v>0</v>
      </c>
      <c r="J80" s="9" t="n">
        <v>0</v>
      </c>
      <c r="K80" s="9" t="n">
        <v>2</v>
      </c>
      <c r="L80" s="9" t="n">
        <v>2</v>
      </c>
      <c r="M80" s="9" t="n">
        <v>0</v>
      </c>
      <c r="N80" s="9" t="n">
        <v>2</v>
      </c>
      <c r="O80" s="9" t="n">
        <v>9</v>
      </c>
      <c r="P80" s="10" t="n">
        <v>432</v>
      </c>
      <c r="Q80" s="10" t="n">
        <v>0</v>
      </c>
      <c r="R80" s="10" t="n">
        <v>6</v>
      </c>
      <c r="S80" s="10" t="n">
        <v>438</v>
      </c>
      <c r="T80" s="10" t="n">
        <v>0</v>
      </c>
    </row>
    <row r="81">
      <c r="A81" s="7" t="n">
        <v>83</v>
      </c>
      <c r="B81" s="8" t="inlineStr">
        <is>
          <t>Polling Station 83</t>
        </is>
      </c>
      <c r="C81" s="9" t="n">
        <v>22</v>
      </c>
      <c r="D81" s="9" t="n">
        <v>506</v>
      </c>
      <c r="E81" s="9" t="n">
        <v>4</v>
      </c>
      <c r="F81" s="9" t="n">
        <v>2</v>
      </c>
      <c r="G81" s="9" t="n">
        <v>0</v>
      </c>
      <c r="H81" s="9" t="n">
        <v>0</v>
      </c>
      <c r="I81" s="9" t="n">
        <v>0</v>
      </c>
      <c r="J81" s="9" t="n">
        <v>2</v>
      </c>
      <c r="K81" s="9" t="n">
        <v>5</v>
      </c>
      <c r="L81" s="9" t="n">
        <v>2</v>
      </c>
      <c r="M81" s="9" t="n">
        <v>4</v>
      </c>
      <c r="N81" s="9" t="n">
        <v>0</v>
      </c>
      <c r="O81" s="9" t="n">
        <v>10</v>
      </c>
      <c r="P81" s="10" t="n">
        <v>557</v>
      </c>
      <c r="Q81" s="10" t="n">
        <v>0</v>
      </c>
      <c r="R81" s="10" t="n">
        <v>0</v>
      </c>
      <c r="S81" s="10" t="n">
        <v>557</v>
      </c>
      <c r="T81" s="10" t="n">
        <v>0</v>
      </c>
    </row>
    <row r="82">
      <c r="A82" s="7" t="n">
        <v>84</v>
      </c>
      <c r="B82" s="8" t="inlineStr">
        <is>
          <t>Polling Station 84</t>
        </is>
      </c>
      <c r="C82" s="9" t="n">
        <v>2</v>
      </c>
      <c r="D82" s="9" t="n">
        <v>450</v>
      </c>
      <c r="E82" s="9" t="n">
        <v>0</v>
      </c>
      <c r="F82" s="9" t="n">
        <v>0</v>
      </c>
      <c r="G82" s="9" t="n">
        <v>0</v>
      </c>
      <c r="H82" s="9" t="n">
        <v>1</v>
      </c>
      <c r="I82" s="9" t="n">
        <v>0</v>
      </c>
      <c r="J82" s="9" t="n">
        <v>1</v>
      </c>
      <c r="K82" s="9" t="n">
        <v>1</v>
      </c>
      <c r="L82" s="9" t="n">
        <v>1</v>
      </c>
      <c r="M82" s="9" t="n">
        <v>1</v>
      </c>
      <c r="N82" s="9" t="n">
        <v>3</v>
      </c>
      <c r="O82" s="9" t="n">
        <v>7</v>
      </c>
      <c r="P82" s="10" t="n">
        <v>467</v>
      </c>
      <c r="Q82" s="10" t="n">
        <v>0</v>
      </c>
      <c r="R82" s="10" t="n">
        <v>0</v>
      </c>
      <c r="S82" s="10" t="n">
        <v>467</v>
      </c>
      <c r="T82" s="10" t="n">
        <v>0</v>
      </c>
    </row>
    <row r="83">
      <c r="A83" s="7" t="n">
        <v>85</v>
      </c>
      <c r="B83" s="8" t="inlineStr">
        <is>
          <t>Polling Station 85</t>
        </is>
      </c>
      <c r="C83" s="9" t="n">
        <v>20</v>
      </c>
      <c r="D83" s="9" t="n">
        <v>19</v>
      </c>
      <c r="E83" s="9" t="n">
        <v>15</v>
      </c>
      <c r="F83" s="9" t="n">
        <v>108</v>
      </c>
      <c r="G83" s="9" t="n">
        <v>0</v>
      </c>
      <c r="H83" s="9" t="n">
        <v>1</v>
      </c>
      <c r="I83" s="9" t="n">
        <v>1</v>
      </c>
      <c r="J83" s="9" t="n">
        <v>1</v>
      </c>
      <c r="K83" s="9" t="n">
        <v>1</v>
      </c>
      <c r="L83" s="9" t="n">
        <v>0</v>
      </c>
      <c r="M83" s="9" t="n">
        <v>2</v>
      </c>
      <c r="N83" s="9" t="n">
        <v>3</v>
      </c>
      <c r="O83" s="9" t="n">
        <v>7</v>
      </c>
      <c r="P83" s="10" t="n">
        <v>178</v>
      </c>
      <c r="Q83" s="10" t="n">
        <v>0</v>
      </c>
      <c r="R83" s="10" t="n">
        <v>0</v>
      </c>
      <c r="S83" s="10" t="n">
        <v>178</v>
      </c>
      <c r="T83" s="10" t="n">
        <v>0</v>
      </c>
    </row>
    <row r="84">
      <c r="A84" s="7" t="n">
        <v>86</v>
      </c>
      <c r="B84" s="8" t="inlineStr">
        <is>
          <t>Polling Station 86</t>
        </is>
      </c>
      <c r="C84" s="9" t="n">
        <v>10</v>
      </c>
      <c r="D84" s="9" t="n">
        <v>708</v>
      </c>
      <c r="E84" s="9" t="n">
        <v>0</v>
      </c>
      <c r="F84" s="9" t="n">
        <v>9</v>
      </c>
      <c r="G84" s="9" t="n">
        <v>1</v>
      </c>
      <c r="H84" s="9" t="n">
        <v>1</v>
      </c>
      <c r="I84" s="9" t="n">
        <v>1</v>
      </c>
      <c r="J84" s="9" t="n">
        <v>3</v>
      </c>
      <c r="K84" s="9" t="n">
        <v>2</v>
      </c>
      <c r="L84" s="9" t="n">
        <v>2</v>
      </c>
      <c r="M84" s="9" t="n">
        <v>0</v>
      </c>
      <c r="N84" s="9" t="n">
        <v>1</v>
      </c>
      <c r="O84" s="9" t="n">
        <v>4</v>
      </c>
      <c r="P84" s="10" t="n">
        <v>742</v>
      </c>
      <c r="Q84" s="10" t="n">
        <v>0</v>
      </c>
      <c r="R84" s="10" t="n">
        <v>13</v>
      </c>
      <c r="S84" s="10" t="n">
        <v>755</v>
      </c>
      <c r="T84" s="10" t="n">
        <v>0</v>
      </c>
    </row>
    <row r="85">
      <c r="A85" s="7" t="n">
        <v>87</v>
      </c>
      <c r="B85" s="8" t="inlineStr">
        <is>
          <t>Polling Station 87</t>
        </is>
      </c>
      <c r="C85" s="9" t="n">
        <v>4</v>
      </c>
      <c r="D85" s="9" t="n">
        <v>905</v>
      </c>
      <c r="E85" s="9" t="n">
        <v>0</v>
      </c>
      <c r="F85" s="9" t="n">
        <v>119</v>
      </c>
      <c r="G85" s="9" t="n">
        <v>0</v>
      </c>
      <c r="H85" s="9" t="n">
        <v>2</v>
      </c>
      <c r="I85" s="9" t="n">
        <v>1</v>
      </c>
      <c r="J85" s="9" t="n">
        <v>1</v>
      </c>
      <c r="K85" s="9" t="n">
        <v>5</v>
      </c>
      <c r="L85" s="9" t="n">
        <v>3</v>
      </c>
      <c r="M85" s="9" t="n">
        <v>4</v>
      </c>
      <c r="N85" s="9" t="n">
        <v>5</v>
      </c>
      <c r="O85" s="9" t="n">
        <v>12</v>
      </c>
      <c r="P85" s="10" t="n">
        <v>1061</v>
      </c>
      <c r="Q85" s="10" t="n">
        <v>0</v>
      </c>
      <c r="R85" s="10" t="n">
        <v>7</v>
      </c>
      <c r="S85" s="10" t="n">
        <v>1068</v>
      </c>
      <c r="T85" s="10" t="n">
        <v>0</v>
      </c>
    </row>
    <row r="86">
      <c r="A86" s="7" t="n">
        <v>88</v>
      </c>
      <c r="B86" s="8" t="inlineStr">
        <is>
          <t>Polling Station 88</t>
        </is>
      </c>
      <c r="C86" s="9" t="n">
        <v>15</v>
      </c>
      <c r="D86" s="9" t="n">
        <v>683</v>
      </c>
      <c r="E86" s="9" t="n">
        <v>4</v>
      </c>
      <c r="F86" s="9" t="n">
        <v>161</v>
      </c>
      <c r="G86" s="9" t="n">
        <v>4</v>
      </c>
      <c r="H86" s="9" t="n">
        <v>1</v>
      </c>
      <c r="I86" s="9" t="n">
        <v>1</v>
      </c>
      <c r="J86" s="9" t="n">
        <v>1</v>
      </c>
      <c r="K86" s="9" t="n">
        <v>5</v>
      </c>
      <c r="L86" s="9" t="n">
        <v>2</v>
      </c>
      <c r="M86" s="9" t="n">
        <v>3</v>
      </c>
      <c r="N86" s="9" t="n">
        <v>1</v>
      </c>
      <c r="O86" s="9" t="n">
        <v>4</v>
      </c>
      <c r="P86" s="10" t="n">
        <v>885</v>
      </c>
      <c r="Q86" s="10" t="n">
        <v>0</v>
      </c>
      <c r="R86" s="10" t="n">
        <v>4</v>
      </c>
      <c r="S86" s="10" t="n">
        <v>889</v>
      </c>
      <c r="T86" s="10" t="n">
        <v>0</v>
      </c>
    </row>
    <row r="87">
      <c r="A87" s="7" t="n">
        <v>89</v>
      </c>
      <c r="B87" s="8" t="inlineStr">
        <is>
          <t>Polling Station 89</t>
        </is>
      </c>
      <c r="C87" s="9" t="n">
        <v>0</v>
      </c>
      <c r="D87" s="9" t="n">
        <v>5</v>
      </c>
      <c r="E87" s="9" t="n">
        <v>7</v>
      </c>
      <c r="F87" s="9" t="n">
        <v>135</v>
      </c>
      <c r="G87" s="9" t="n">
        <v>4</v>
      </c>
      <c r="H87" s="9" t="n">
        <v>4</v>
      </c>
      <c r="I87" s="9" t="n">
        <v>1</v>
      </c>
      <c r="J87" s="9" t="n">
        <v>0</v>
      </c>
      <c r="K87" s="9" t="n">
        <v>9</v>
      </c>
      <c r="L87" s="9" t="n">
        <v>0</v>
      </c>
      <c r="M87" s="9" t="n">
        <v>4</v>
      </c>
      <c r="N87" s="9" t="n">
        <v>0</v>
      </c>
      <c r="O87" s="9" t="n">
        <v>13</v>
      </c>
      <c r="P87" s="10" t="n">
        <v>182</v>
      </c>
      <c r="Q87" s="10" t="n">
        <v>0</v>
      </c>
      <c r="R87" s="10" t="n">
        <v>2</v>
      </c>
      <c r="S87" s="10" t="n">
        <v>184</v>
      </c>
      <c r="T87" s="10" t="n">
        <v>0</v>
      </c>
    </row>
    <row r="88">
      <c r="A88" s="7" t="n">
        <v>90</v>
      </c>
      <c r="B88" s="8" t="inlineStr">
        <is>
          <t>Polling Station 90</t>
        </is>
      </c>
      <c r="C88" s="9" t="n">
        <v>3</v>
      </c>
      <c r="D88" s="9" t="n">
        <v>374</v>
      </c>
      <c r="E88" s="9" t="n">
        <v>0</v>
      </c>
      <c r="F88" s="9" t="n">
        <v>0</v>
      </c>
      <c r="G88" s="9" t="n">
        <v>3</v>
      </c>
      <c r="H88" s="9" t="n">
        <v>2</v>
      </c>
      <c r="I88" s="9" t="n">
        <v>1</v>
      </c>
      <c r="J88" s="9" t="n">
        <v>1</v>
      </c>
      <c r="K88" s="9" t="n">
        <v>1</v>
      </c>
      <c r="L88" s="9" t="n">
        <v>0</v>
      </c>
      <c r="M88" s="9" t="n">
        <v>1</v>
      </c>
      <c r="N88" s="9" t="n">
        <v>0</v>
      </c>
      <c r="O88" s="9" t="n">
        <v>4</v>
      </c>
      <c r="P88" s="10" t="n">
        <v>390</v>
      </c>
      <c r="Q88" s="10" t="n">
        <v>0</v>
      </c>
      <c r="R88" s="10" t="n">
        <v>3</v>
      </c>
      <c r="S88" s="10" t="n">
        <v>393</v>
      </c>
      <c r="T88" s="10" t="n">
        <v>0</v>
      </c>
    </row>
    <row r="89">
      <c r="A89" s="7" t="n">
        <v>92</v>
      </c>
      <c r="B89" s="8" t="inlineStr">
        <is>
          <t>Polling Station 92</t>
        </is>
      </c>
      <c r="C89" s="9" t="n">
        <v>36</v>
      </c>
      <c r="D89" s="9" t="n">
        <v>4</v>
      </c>
      <c r="E89" s="9" t="n">
        <v>5</v>
      </c>
      <c r="F89" s="9" t="n">
        <v>6</v>
      </c>
      <c r="G89" s="9" t="n">
        <v>7</v>
      </c>
      <c r="H89" s="9" t="n">
        <v>8</v>
      </c>
      <c r="I89" s="9" t="n">
        <v>9</v>
      </c>
      <c r="J89" s="9" t="n">
        <v>10</v>
      </c>
      <c r="K89" s="9" t="n">
        <v>1</v>
      </c>
      <c r="L89" s="9" t="n">
        <v>2</v>
      </c>
      <c r="M89" s="9" t="n">
        <v>3</v>
      </c>
      <c r="N89" s="9" t="n">
        <v>4</v>
      </c>
      <c r="O89" s="9" t="n">
        <v>1</v>
      </c>
      <c r="P89" s="10" t="n">
        <v>96</v>
      </c>
      <c r="Q89" s="10" t="n">
        <v>7</v>
      </c>
      <c r="R89" s="10" t="n">
        <v>8</v>
      </c>
      <c r="S89" s="10" t="n">
        <v>111</v>
      </c>
      <c r="T89" s="10" t="n">
        <v>0</v>
      </c>
    </row>
    <row r="90">
      <c r="A90" s="7" t="n">
        <v>95</v>
      </c>
      <c r="B90" s="8" t="inlineStr">
        <is>
          <t>Polling Station 95</t>
        </is>
      </c>
      <c r="C90" s="9" t="n">
        <v>3</v>
      </c>
      <c r="D90" s="9" t="n">
        <v>517</v>
      </c>
      <c r="E90" s="9" t="n">
        <v>0</v>
      </c>
      <c r="F90" s="9" t="n">
        <v>163</v>
      </c>
      <c r="G90" s="9" t="n">
        <v>1</v>
      </c>
      <c r="H90" s="9" t="n">
        <v>0</v>
      </c>
      <c r="I90" s="9" t="n">
        <v>8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4</v>
      </c>
      <c r="P90" s="10" t="n">
        <v>696</v>
      </c>
      <c r="Q90" s="10" t="n">
        <v>0</v>
      </c>
      <c r="R90" s="10" t="n">
        <v>6</v>
      </c>
      <c r="S90" s="10" t="n">
        <v>702</v>
      </c>
      <c r="T90" s="10" t="n">
        <v>0</v>
      </c>
    </row>
    <row r="91">
      <c r="A91" s="7" t="n">
        <v>96</v>
      </c>
      <c r="B91" s="8" t="inlineStr">
        <is>
          <t>Polling Station 96</t>
        </is>
      </c>
      <c r="C91" s="9" t="n">
        <v>1</v>
      </c>
      <c r="D91" s="9" t="n">
        <v>430</v>
      </c>
      <c r="E91" s="9" t="n">
        <v>0</v>
      </c>
      <c r="F91" s="9" t="n">
        <v>92</v>
      </c>
      <c r="G91" s="9" t="n">
        <v>0</v>
      </c>
      <c r="H91" s="9" t="n">
        <v>2</v>
      </c>
      <c r="I91" s="9" t="n">
        <v>0</v>
      </c>
      <c r="J91" s="9" t="n">
        <v>1</v>
      </c>
      <c r="K91" s="9" t="n">
        <v>1</v>
      </c>
      <c r="L91" s="9" t="n">
        <v>0</v>
      </c>
      <c r="M91" s="9" t="n">
        <v>1</v>
      </c>
      <c r="N91" s="9" t="n">
        <v>0</v>
      </c>
      <c r="O91" s="9" t="n">
        <v>1</v>
      </c>
      <c r="P91" s="10" t="n">
        <v>529</v>
      </c>
      <c r="Q91" s="10" t="n">
        <v>0</v>
      </c>
      <c r="R91" s="10" t="n">
        <v>4</v>
      </c>
      <c r="S91" s="10" t="n">
        <v>533</v>
      </c>
      <c r="T91" s="10" t="n">
        <v>0</v>
      </c>
    </row>
    <row r="92">
      <c r="A92" s="7" t="n">
        <v>97</v>
      </c>
      <c r="B92" s="8" t="inlineStr">
        <is>
          <t>Polling Station 97</t>
        </is>
      </c>
      <c r="C92" s="9" t="n">
        <v>3</v>
      </c>
      <c r="D92" s="9" t="n">
        <v>582</v>
      </c>
      <c r="E92" s="9" t="n">
        <v>12</v>
      </c>
      <c r="F92" s="9" t="n">
        <v>8</v>
      </c>
      <c r="G92" s="9" t="n">
        <v>2</v>
      </c>
      <c r="H92" s="9" t="n">
        <v>2</v>
      </c>
      <c r="I92" s="9" t="n">
        <v>1</v>
      </c>
      <c r="J92" s="9" t="n">
        <v>1</v>
      </c>
      <c r="K92" s="9" t="n">
        <v>2</v>
      </c>
      <c r="L92" s="9" t="n">
        <v>0</v>
      </c>
      <c r="M92" s="9" t="n">
        <v>7</v>
      </c>
      <c r="N92" s="9" t="n">
        <v>1</v>
      </c>
      <c r="O92" s="9" t="n">
        <v>3</v>
      </c>
      <c r="P92" s="10" t="n">
        <v>624</v>
      </c>
      <c r="Q92" s="10" t="n">
        <v>0</v>
      </c>
      <c r="R92" s="10" t="n">
        <v>9</v>
      </c>
      <c r="S92" s="10" t="n">
        <v>633</v>
      </c>
      <c r="T92" s="10" t="n">
        <v>0</v>
      </c>
    </row>
    <row r="93">
      <c r="A93" s="7" t="n">
        <v>98</v>
      </c>
      <c r="B93" s="8" t="inlineStr">
        <is>
          <t>Polling Station 98</t>
        </is>
      </c>
      <c r="C93" s="9" t="n">
        <v>1</v>
      </c>
      <c r="D93" s="9" t="n">
        <v>360</v>
      </c>
      <c r="E93" s="9" t="n">
        <v>8</v>
      </c>
      <c r="F93" s="9" t="n">
        <v>123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1</v>
      </c>
      <c r="P93" s="10" t="n">
        <v>493</v>
      </c>
      <c r="Q93" s="10" t="n">
        <v>0</v>
      </c>
      <c r="R93" s="10" t="n">
        <v>3</v>
      </c>
      <c r="S93" s="10" t="n">
        <v>496</v>
      </c>
      <c r="T93" s="10" t="n">
        <v>0</v>
      </c>
    </row>
    <row r="94">
      <c r="A94" s="7" t="n">
        <v>99</v>
      </c>
      <c r="B94" s="8" t="inlineStr">
        <is>
          <t>Polling Station 99</t>
        </is>
      </c>
      <c r="C94" s="9" t="n">
        <v>3</v>
      </c>
      <c r="D94" s="9" t="n">
        <v>304</v>
      </c>
      <c r="E94" s="9" t="n">
        <v>3</v>
      </c>
      <c r="F94" s="9" t="n">
        <v>167</v>
      </c>
      <c r="G94" s="9" t="n">
        <v>0</v>
      </c>
      <c r="H94" s="9" t="n">
        <v>1</v>
      </c>
      <c r="I94" s="9" t="n">
        <v>0</v>
      </c>
      <c r="J94" s="9" t="n">
        <v>0</v>
      </c>
      <c r="K94" s="9" t="n">
        <v>0</v>
      </c>
      <c r="L94" s="9" t="n">
        <v>1</v>
      </c>
      <c r="M94" s="9" t="n">
        <v>0</v>
      </c>
      <c r="N94" s="9" t="n">
        <v>0</v>
      </c>
      <c r="O94" s="9" t="n">
        <v>2</v>
      </c>
      <c r="P94" s="10" t="n">
        <v>481</v>
      </c>
      <c r="Q94" s="10" t="n">
        <v>0</v>
      </c>
      <c r="R94" s="10" t="n">
        <v>10</v>
      </c>
      <c r="S94" s="10" t="n">
        <v>491</v>
      </c>
      <c r="T94" s="10" t="n">
        <v>0</v>
      </c>
    </row>
    <row r="95">
      <c r="A95" s="7" t="n">
        <v>100</v>
      </c>
      <c r="B95" s="8" t="inlineStr">
        <is>
          <t>| 100 |
100</t>
        </is>
      </c>
      <c r="C95" s="9" t="n">
        <v>0</v>
      </c>
      <c r="D95" s="9" t="n">
        <v>390</v>
      </c>
      <c r="E95" s="9" t="n">
        <v>0</v>
      </c>
      <c r="F95" s="9" t="n">
        <v>164</v>
      </c>
      <c r="G95" s="9" t="n">
        <v>2</v>
      </c>
      <c r="H95" s="9" t="n">
        <v>0</v>
      </c>
      <c r="I95" s="9" t="n">
        <v>0</v>
      </c>
      <c r="J95" s="9" t="n">
        <v>1</v>
      </c>
      <c r="K95" s="9" t="n">
        <v>0</v>
      </c>
      <c r="L95" s="9" t="n">
        <v>0</v>
      </c>
      <c r="M95" s="9" t="n">
        <v>2</v>
      </c>
      <c r="N95" s="9" t="n">
        <v>0</v>
      </c>
      <c r="O95" s="9" t="n">
        <v>0</v>
      </c>
      <c r="P95" s="10" t="n">
        <v>559</v>
      </c>
      <c r="Q95" s="10" t="n">
        <v>0</v>
      </c>
      <c r="R95" s="10" t="n">
        <v>6</v>
      </c>
      <c r="S95" s="10" t="n">
        <v>565</v>
      </c>
      <c r="T95" s="10" t="n">
        <v>1</v>
      </c>
    </row>
    <row r="96">
      <c r="A96" s="7" t="n">
        <v>101</v>
      </c>
      <c r="B96" s="8" t="inlineStr">
        <is>
          <t>Polling Station 101</t>
        </is>
      </c>
      <c r="C96" s="9" t="n">
        <v>5</v>
      </c>
      <c r="D96" s="9" t="n">
        <v>514</v>
      </c>
      <c r="E96" s="9" t="n">
        <v>12</v>
      </c>
      <c r="F96" s="9" t="n">
        <v>116</v>
      </c>
      <c r="G96" s="9" t="n">
        <v>0</v>
      </c>
      <c r="H96" s="9" t="n">
        <v>2</v>
      </c>
      <c r="I96" s="9" t="n">
        <v>1</v>
      </c>
      <c r="J96" s="9" t="n">
        <v>0</v>
      </c>
      <c r="K96" s="9" t="n">
        <v>5</v>
      </c>
      <c r="L96" s="9" t="n">
        <v>1</v>
      </c>
      <c r="M96" s="9" t="n">
        <v>2</v>
      </c>
      <c r="N96" s="9" t="n">
        <v>1</v>
      </c>
      <c r="O96" s="9" t="n">
        <v>2</v>
      </c>
      <c r="P96" s="10" t="n">
        <v>661</v>
      </c>
      <c r="Q96" s="10" t="n">
        <v>0</v>
      </c>
      <c r="R96" s="10" t="n">
        <v>2</v>
      </c>
      <c r="S96" s="10" t="n">
        <v>663</v>
      </c>
      <c r="T96" s="10" t="n">
        <v>0</v>
      </c>
    </row>
    <row r="97">
      <c r="A97" s="7" t="n">
        <v>102</v>
      </c>
      <c r="B97" s="8" t="inlineStr">
        <is>
          <t>Polling Station 102</t>
        </is>
      </c>
      <c r="C97" s="9" t="n">
        <v>3</v>
      </c>
      <c r="D97" s="9" t="n">
        <v>481</v>
      </c>
      <c r="E97" s="9" t="n">
        <v>0</v>
      </c>
      <c r="F97" s="9" t="n">
        <v>143</v>
      </c>
      <c r="G97" s="9" t="n">
        <v>0</v>
      </c>
      <c r="H97" s="9" t="n">
        <v>1</v>
      </c>
      <c r="I97" s="9" t="n">
        <v>0</v>
      </c>
      <c r="J97" s="9" t="n">
        <v>0</v>
      </c>
      <c r="K97" s="9" t="n">
        <v>0</v>
      </c>
      <c r="L97" s="9" t="n">
        <v>1</v>
      </c>
      <c r="M97" s="9" t="n">
        <v>1</v>
      </c>
      <c r="N97" s="9" t="n">
        <v>1</v>
      </c>
      <c r="O97" s="9" t="n">
        <v>3</v>
      </c>
      <c r="P97" s="10" t="n">
        <v>634</v>
      </c>
      <c r="Q97" s="10" t="n">
        <v>0</v>
      </c>
      <c r="R97" s="10" t="n">
        <v>5</v>
      </c>
      <c r="S97" s="10" t="n">
        <v>639</v>
      </c>
      <c r="T97" s="10" t="n">
        <v>0</v>
      </c>
    </row>
    <row r="98">
      <c r="A98" s="7" t="n">
        <v>103</v>
      </c>
      <c r="B98" s="8" t="inlineStr">
        <is>
          <t>Polling Station 103</t>
        </is>
      </c>
      <c r="C98" s="9" t="n">
        <v>4</v>
      </c>
      <c r="D98" s="9" t="n">
        <v>374</v>
      </c>
      <c r="E98" s="9" t="n">
        <v>2</v>
      </c>
      <c r="F98" s="9" t="n">
        <v>65</v>
      </c>
      <c r="G98" s="9" t="n">
        <v>1</v>
      </c>
      <c r="H98" s="9" t="n">
        <v>2</v>
      </c>
      <c r="I98" s="9" t="n">
        <v>1</v>
      </c>
      <c r="J98" s="9" t="n">
        <v>0</v>
      </c>
      <c r="K98" s="9" t="n">
        <v>1</v>
      </c>
      <c r="L98" s="9" t="n">
        <v>0</v>
      </c>
      <c r="M98" s="9" t="n">
        <v>3</v>
      </c>
      <c r="N98" s="9" t="n">
        <v>0</v>
      </c>
      <c r="O98" s="9" t="n">
        <v>0</v>
      </c>
      <c r="P98" s="10" t="n">
        <v>453</v>
      </c>
      <c r="Q98" s="10" t="n">
        <v>0</v>
      </c>
      <c r="R98" s="10" t="n">
        <v>3</v>
      </c>
      <c r="S98" s="10" t="n">
        <v>456</v>
      </c>
      <c r="T98" s="10" t="n">
        <v>0</v>
      </c>
    </row>
    <row r="99">
      <c r="A99" s="7" t="n">
        <v>104</v>
      </c>
      <c r="B99" s="8" t="inlineStr">
        <is>
          <t>Polling Station 104</t>
        </is>
      </c>
      <c r="C99" s="9" t="n">
        <v>2</v>
      </c>
      <c r="D99" s="9" t="n">
        <v>9</v>
      </c>
      <c r="E99" s="9" t="n">
        <v>0</v>
      </c>
      <c r="F99" s="9" t="n">
        <v>100</v>
      </c>
      <c r="G99" s="9" t="n">
        <v>0</v>
      </c>
      <c r="H99" s="9" t="n">
        <v>0</v>
      </c>
      <c r="I99" s="9" t="n">
        <v>1</v>
      </c>
      <c r="J99" s="9" t="n">
        <v>0</v>
      </c>
      <c r="K99" s="9" t="n">
        <v>0</v>
      </c>
      <c r="L99" s="9" t="n">
        <v>0</v>
      </c>
      <c r="M99" s="9" t="n">
        <v>2</v>
      </c>
      <c r="N99" s="9" t="n">
        <v>1</v>
      </c>
      <c r="O99" s="9" t="n">
        <v>0</v>
      </c>
      <c r="P99" s="10" t="n">
        <v>115</v>
      </c>
      <c r="Q99" s="10" t="n">
        <v>0</v>
      </c>
      <c r="R99" s="10" t="n">
        <v>4</v>
      </c>
      <c r="S99" s="10" t="n">
        <v>119</v>
      </c>
      <c r="T99" s="10" t="n">
        <v>0</v>
      </c>
    </row>
    <row r="100">
      <c r="A100" s="7" t="n">
        <v>105</v>
      </c>
      <c r="B100" s="8" t="inlineStr">
        <is>
          <t>Polling Station 105</t>
        </is>
      </c>
      <c r="C100" s="9" t="n">
        <v>4</v>
      </c>
      <c r="D100" s="9" t="n">
        <v>0</v>
      </c>
      <c r="E100" s="9" t="n">
        <v>8</v>
      </c>
      <c r="F100" s="9" t="n">
        <v>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2</v>
      </c>
      <c r="N100" s="9" t="n">
        <v>0</v>
      </c>
      <c r="O100" s="9" t="n">
        <v>1</v>
      </c>
      <c r="P100" s="10" t="n">
        <v>21</v>
      </c>
      <c r="Q100" s="10" t="n">
        <v>0</v>
      </c>
      <c r="R100" s="10" t="n">
        <v>4</v>
      </c>
      <c r="S100" s="10" t="n">
        <v>25</v>
      </c>
      <c r="T100" s="10" t="n">
        <v>0</v>
      </c>
    </row>
    <row r="101">
      <c r="A101" s="7" t="n">
        <v>106</v>
      </c>
      <c r="B101" s="8" t="inlineStr">
        <is>
          <t>Polling Station 106</t>
        </is>
      </c>
      <c r="C101" s="9" t="n">
        <v>0</v>
      </c>
      <c r="D101" s="9" t="n">
        <v>379</v>
      </c>
      <c r="E101" s="9" t="n">
        <v>4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2</v>
      </c>
      <c r="N101" s="9" t="n">
        <v>1</v>
      </c>
      <c r="O101" s="9" t="n">
        <v>7</v>
      </c>
      <c r="P101" s="10" t="n">
        <v>393</v>
      </c>
      <c r="Q101" s="10" t="n">
        <v>0</v>
      </c>
      <c r="R101" s="10" t="n">
        <v>9</v>
      </c>
      <c r="S101" s="10" t="n">
        <v>402</v>
      </c>
      <c r="T101" s="10" t="n">
        <v>0</v>
      </c>
    </row>
    <row r="102">
      <c r="A102" s="7" t="n">
        <v>107</v>
      </c>
      <c r="B102" s="8" t="inlineStr">
        <is>
          <t>| 107 | 107</t>
        </is>
      </c>
      <c r="C102" s="9" t="n">
        <v>2</v>
      </c>
      <c r="D102" s="9" t="n">
        <v>27</v>
      </c>
      <c r="E102" s="9" t="n">
        <v>0</v>
      </c>
      <c r="F102" s="9" t="n">
        <v>7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10" t="n">
        <v>36</v>
      </c>
      <c r="Q102" s="10" t="n">
        <v>0</v>
      </c>
      <c r="R102" s="10" t="n">
        <v>3</v>
      </c>
      <c r="S102" s="10" t="n">
        <v>39</v>
      </c>
      <c r="T102" s="10" t="n">
        <v>0</v>
      </c>
    </row>
    <row r="103">
      <c r="A103" s="7" t="n">
        <v>108</v>
      </c>
      <c r="B103" s="8" t="inlineStr">
        <is>
          <t>| 108 | 108</t>
        </is>
      </c>
      <c r="C103" s="9" t="n">
        <v>3</v>
      </c>
      <c r="D103" s="9" t="n">
        <v>6</v>
      </c>
      <c r="E103" s="9" t="n">
        <v>0</v>
      </c>
      <c r="F103" s="9" t="n">
        <v>1</v>
      </c>
      <c r="G103" s="9" t="n">
        <v>4</v>
      </c>
      <c r="H103" s="9" t="n">
        <v>1</v>
      </c>
      <c r="I103" s="9" t="n">
        <v>2</v>
      </c>
      <c r="J103" s="9" t="n">
        <v>1</v>
      </c>
      <c r="K103" s="9" t="n">
        <v>0</v>
      </c>
      <c r="L103" s="9" t="n">
        <v>1</v>
      </c>
      <c r="M103" s="9" t="n">
        <v>1</v>
      </c>
      <c r="N103" s="9" t="n">
        <v>1</v>
      </c>
      <c r="O103" s="9" t="n">
        <v>0</v>
      </c>
      <c r="P103" s="10" t="n">
        <v>21</v>
      </c>
      <c r="Q103" s="10" t="n">
        <v>0</v>
      </c>
      <c r="R103" s="10" t="n">
        <v>8</v>
      </c>
      <c r="S103" s="10" t="n">
        <v>29</v>
      </c>
      <c r="T103" s="10" t="n">
        <v>0</v>
      </c>
    </row>
    <row r="104">
      <c r="A104" s="7" t="n">
        <v>109</v>
      </c>
      <c r="B104" s="8" t="inlineStr">
        <is>
          <t>Polling Station 109</t>
        </is>
      </c>
      <c r="C104" s="9" t="n">
        <v>3</v>
      </c>
      <c r="D104" s="9" t="n">
        <v>627</v>
      </c>
      <c r="E104" s="9" t="n">
        <v>0</v>
      </c>
      <c r="F104" s="9" t="n">
        <v>0</v>
      </c>
      <c r="G104" s="9" t="n">
        <v>0</v>
      </c>
      <c r="H104" s="9" t="n">
        <v>3</v>
      </c>
      <c r="I104" s="9" t="n">
        <v>0</v>
      </c>
      <c r="J104" s="9" t="n">
        <v>0</v>
      </c>
      <c r="K104" s="9" t="n">
        <v>1</v>
      </c>
      <c r="L104" s="9" t="n">
        <v>1</v>
      </c>
      <c r="M104" s="9" t="n">
        <v>0</v>
      </c>
      <c r="N104" s="9" t="n">
        <v>1</v>
      </c>
      <c r="O104" s="9" t="n">
        <v>5</v>
      </c>
      <c r="P104" s="10" t="n">
        <v>641</v>
      </c>
      <c r="Q104" s="10" t="n">
        <v>0</v>
      </c>
      <c r="R104" s="10" t="n">
        <v>8</v>
      </c>
      <c r="S104" s="10" t="n">
        <v>649</v>
      </c>
      <c r="T104" s="10" t="n">
        <v>0</v>
      </c>
    </row>
    <row r="105">
      <c r="A105" s="7" t="n">
        <v>110</v>
      </c>
      <c r="B105" s="8" t="inlineStr">
        <is>
          <t>Polling Station 110</t>
        </is>
      </c>
      <c r="C105" s="9" t="n">
        <v>5</v>
      </c>
      <c r="D105" s="9" t="n">
        <v>526</v>
      </c>
      <c r="E105" s="9" t="n">
        <v>0</v>
      </c>
      <c r="F105" s="9" t="n">
        <v>0</v>
      </c>
      <c r="G105" s="9" t="n">
        <v>2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1</v>
      </c>
      <c r="M105" s="9" t="n">
        <v>0</v>
      </c>
      <c r="N105" s="9" t="n">
        <v>0</v>
      </c>
      <c r="O105" s="9" t="n">
        <v>2</v>
      </c>
      <c r="P105" s="10" t="n">
        <v>536</v>
      </c>
      <c r="Q105" s="10" t="n">
        <v>0</v>
      </c>
      <c r="R105" s="10" t="n">
        <v>0</v>
      </c>
      <c r="S105" s="10" t="n">
        <v>536</v>
      </c>
      <c r="T105" s="10" t="n">
        <v>0</v>
      </c>
    </row>
    <row r="106">
      <c r="A106" s="7" t="n">
        <v>111</v>
      </c>
      <c r="B106" s="8" t="inlineStr">
        <is>
          <t>Pee ee</t>
        </is>
      </c>
      <c r="C106" s="9" t="n">
        <v>2</v>
      </c>
      <c r="D106" s="9" t="n">
        <v>61</v>
      </c>
      <c r="E106" s="9" t="n">
        <v>9</v>
      </c>
      <c r="F106" s="9" t="n">
        <v>4</v>
      </c>
      <c r="G106" s="9" t="n">
        <v>4</v>
      </c>
      <c r="H106" s="9" t="n">
        <v>4</v>
      </c>
      <c r="I106" s="9" t="n">
        <v>0</v>
      </c>
      <c r="J106" s="9" t="n">
        <v>1</v>
      </c>
      <c r="K106" s="9" t="n">
        <v>0</v>
      </c>
      <c r="L106" s="9" t="n">
        <v>2</v>
      </c>
      <c r="M106" s="9" t="n">
        <v>1</v>
      </c>
      <c r="N106" s="9" t="n">
        <v>1</v>
      </c>
      <c r="O106" s="9" t="n">
        <v>1</v>
      </c>
      <c r="P106" s="10" t="n">
        <v>90</v>
      </c>
      <c r="Q106" s="10" t="n">
        <v>0</v>
      </c>
      <c r="R106" s="10" t="n">
        <v>5</v>
      </c>
      <c r="S106" s="10" t="n">
        <v>95</v>
      </c>
      <c r="T106" s="10" t="n">
        <v>0</v>
      </c>
    </row>
    <row r="107">
      <c r="A107" s="7" t="n">
        <v>112</v>
      </c>
      <c r="B107" s="8" t="inlineStr">
        <is>
          <t>) 112 | 112</t>
        </is>
      </c>
      <c r="C107" s="9" t="n">
        <v>0</v>
      </c>
      <c r="D107" s="9" t="n">
        <v>520</v>
      </c>
      <c r="E107" s="9" t="n">
        <v>0</v>
      </c>
      <c r="F107" s="9" t="n">
        <v>61</v>
      </c>
      <c r="G107" s="9" t="n">
        <v>1</v>
      </c>
      <c r="H107" s="9" t="n">
        <v>0</v>
      </c>
      <c r="I107" s="9" t="n">
        <v>2</v>
      </c>
      <c r="J107" s="9" t="n">
        <v>2</v>
      </c>
      <c r="K107" s="9" t="n">
        <v>2</v>
      </c>
      <c r="L107" s="9" t="n">
        <v>0</v>
      </c>
      <c r="M107" s="9" t="n">
        <v>1</v>
      </c>
      <c r="N107" s="9" t="n">
        <v>1</v>
      </c>
      <c r="O107" s="9" t="n">
        <v>1</v>
      </c>
      <c r="P107" s="10" t="n">
        <v>591</v>
      </c>
      <c r="Q107" s="10" t="n">
        <v>0</v>
      </c>
      <c r="R107" s="10" t="n">
        <v>3</v>
      </c>
      <c r="S107" s="10" t="n">
        <v>594</v>
      </c>
      <c r="T107" s="10" t="n">
        <v>0</v>
      </c>
    </row>
    <row r="108">
      <c r="A108" s="7" t="n">
        <v>113</v>
      </c>
      <c r="B108" s="8" t="inlineStr">
        <is>
          <t>Polling Station 113</t>
        </is>
      </c>
      <c r="C108" s="9" t="n">
        <v>3</v>
      </c>
      <c r="D108" s="9" t="n">
        <v>78</v>
      </c>
      <c r="E108" s="9" t="n">
        <v>2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</v>
      </c>
      <c r="L108" s="9" t="n">
        <v>1</v>
      </c>
      <c r="M108" s="9" t="n">
        <v>3</v>
      </c>
      <c r="N108" s="9" t="n">
        <v>1</v>
      </c>
      <c r="O108" s="9" t="n">
        <v>4</v>
      </c>
      <c r="P108" s="10" t="n">
        <v>93</v>
      </c>
      <c r="Q108" s="10" t="n">
        <v>0</v>
      </c>
      <c r="R108" s="10" t="n">
        <v>10</v>
      </c>
      <c r="S108" s="10" t="n">
        <v>103</v>
      </c>
      <c r="T108" s="10" t="n">
        <v>0</v>
      </c>
    </row>
    <row r="109">
      <c r="A109" s="7" t="n">
        <v>114</v>
      </c>
      <c r="B109" s="8" t="inlineStr">
        <is>
          <t>"4
114</t>
        </is>
      </c>
      <c r="C109" s="9" t="n">
        <v>6</v>
      </c>
      <c r="D109" s="9" t="n">
        <v>19</v>
      </c>
      <c r="E109" s="9" t="n">
        <v>2</v>
      </c>
      <c r="F109" s="9" t="n">
        <v>163</v>
      </c>
      <c r="G109" s="9" t="n">
        <v>4</v>
      </c>
      <c r="H109" s="9" t="n">
        <v>4</v>
      </c>
      <c r="I109" s="9" t="n">
        <v>0</v>
      </c>
      <c r="J109" s="9" t="n">
        <v>1</v>
      </c>
      <c r="K109" s="9" t="n">
        <v>0</v>
      </c>
      <c r="L109" s="9" t="n">
        <v>1</v>
      </c>
      <c r="M109" s="9" t="n">
        <v>5</v>
      </c>
      <c r="N109" s="9" t="n">
        <v>3</v>
      </c>
      <c r="O109" s="9" t="n">
        <v>4</v>
      </c>
      <c r="P109" s="10" t="n">
        <v>212</v>
      </c>
      <c r="Q109" s="10" t="n">
        <v>0</v>
      </c>
      <c r="R109" s="10" t="n">
        <v>8</v>
      </c>
      <c r="S109" s="10" t="n">
        <v>220</v>
      </c>
      <c r="T109" s="10" t="n">
        <v>0</v>
      </c>
    </row>
    <row r="110">
      <c r="A110" s="7" t="n">
        <v>115</v>
      </c>
      <c r="B110" s="8" t="inlineStr">
        <is>
          <t>Polling Station 115</t>
        </is>
      </c>
      <c r="C110" s="9" t="n">
        <v>4</v>
      </c>
      <c r="D110" s="9" t="n">
        <v>0</v>
      </c>
      <c r="E110" s="9" t="n">
        <v>0</v>
      </c>
      <c r="F110" s="9" t="n">
        <v>2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10" t="n">
        <v>6</v>
      </c>
      <c r="Q110" s="10" t="n">
        <v>0</v>
      </c>
      <c r="R110" s="10" t="n">
        <v>0</v>
      </c>
      <c r="S110" s="10" t="n">
        <v>6</v>
      </c>
      <c r="T110" s="10" t="n">
        <v>0</v>
      </c>
    </row>
    <row r="111">
      <c r="A111" s="7" t="n">
        <v>116</v>
      </c>
      <c r="B111" s="8" t="inlineStr">
        <is>
          <t>Polling Station 116</t>
        </is>
      </c>
      <c r="C111" s="9" t="n">
        <v>0</v>
      </c>
      <c r="D111" s="9" t="n">
        <v>532</v>
      </c>
      <c r="E111" s="9" t="n">
        <v>0</v>
      </c>
      <c r="F111" s="9" t="n">
        <v>4</v>
      </c>
      <c r="G111" s="9" t="n">
        <v>2</v>
      </c>
      <c r="H111" s="9" t="n">
        <v>7</v>
      </c>
      <c r="I111" s="9" t="n">
        <v>0</v>
      </c>
      <c r="J111" s="9" t="n">
        <v>1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2</v>
      </c>
      <c r="P111" s="10" t="n">
        <v>548</v>
      </c>
      <c r="Q111" s="10" t="n">
        <v>0</v>
      </c>
      <c r="R111" s="10" t="n">
        <v>0</v>
      </c>
      <c r="S111" s="10" t="n">
        <v>548</v>
      </c>
      <c r="T111" s="10" t="n">
        <v>0</v>
      </c>
    </row>
    <row r="112">
      <c r="A112" s="7" t="n">
        <v>117</v>
      </c>
      <c r="B112" s="8" t="inlineStr">
        <is>
          <t>Polling Station 117</t>
        </is>
      </c>
      <c r="C112" s="9" t="n">
        <v>3</v>
      </c>
      <c r="D112" s="9" t="n">
        <v>0</v>
      </c>
      <c r="E112" s="9" t="n">
        <v>0</v>
      </c>
      <c r="F112" s="9" t="n">
        <v>0</v>
      </c>
      <c r="G112" s="9" t="n">
        <v>7</v>
      </c>
      <c r="H112" s="9" t="n">
        <v>8</v>
      </c>
      <c r="I112" s="9" t="n">
        <v>9</v>
      </c>
      <c r="J112" s="9" t="n">
        <v>10</v>
      </c>
      <c r="K112" s="9" t="n">
        <v>0</v>
      </c>
      <c r="L112" s="9" t="n">
        <v>42</v>
      </c>
      <c r="M112" s="9" t="n">
        <v>0</v>
      </c>
      <c r="N112" s="9" t="n">
        <v>1</v>
      </c>
      <c r="O112" s="9" t="n">
        <v>0</v>
      </c>
      <c r="P112" s="10" t="n">
        <v>80</v>
      </c>
      <c r="Q112" s="10" t="n">
        <v>0</v>
      </c>
      <c r="R112" s="10" t="n">
        <v>0</v>
      </c>
      <c r="S112" s="10" t="n">
        <v>80</v>
      </c>
      <c r="T112" s="10" t="n">
        <v>0</v>
      </c>
    </row>
    <row r="113">
      <c r="A113" s="7" t="n">
        <v>119</v>
      </c>
      <c r="B113" s="8" t="inlineStr">
        <is>
          <t>Polling Station 119</t>
        </is>
      </c>
      <c r="C113" s="9" t="n">
        <v>3</v>
      </c>
      <c r="D113" s="9" t="n">
        <v>0</v>
      </c>
      <c r="E113" s="9" t="n">
        <v>18</v>
      </c>
      <c r="F113" s="9" t="n">
        <v>89</v>
      </c>
      <c r="G113" s="9" t="n">
        <v>0</v>
      </c>
      <c r="H113" s="9" t="n">
        <v>2</v>
      </c>
      <c r="I113" s="9" t="n">
        <v>1</v>
      </c>
      <c r="J113" s="9" t="n">
        <v>1</v>
      </c>
      <c r="K113" s="9" t="n">
        <v>0</v>
      </c>
      <c r="L113" s="9" t="n">
        <v>0</v>
      </c>
      <c r="M113" s="9" t="n">
        <v>0</v>
      </c>
      <c r="N113" s="9" t="n">
        <v>3</v>
      </c>
      <c r="O113" s="9" t="n">
        <v>3</v>
      </c>
      <c r="P113" s="10" t="n">
        <v>120</v>
      </c>
      <c r="Q113" s="10" t="n">
        <v>0</v>
      </c>
      <c r="R113" s="10" t="n">
        <v>0</v>
      </c>
      <c r="S113" s="10" t="n">
        <v>120</v>
      </c>
      <c r="T113" s="10" t="n">
        <v>0</v>
      </c>
    </row>
    <row r="114">
      <c r="A114" s="7" t="n">
        <v>120</v>
      </c>
      <c r="B114" s="8" t="inlineStr">
        <is>
          <t>Polling Station 120</t>
        </is>
      </c>
      <c r="C114" s="9" t="n">
        <v>2</v>
      </c>
      <c r="D114" s="9" t="n">
        <v>470</v>
      </c>
      <c r="E114" s="9" t="n">
        <v>0</v>
      </c>
      <c r="F114" s="9" t="n">
        <v>146</v>
      </c>
      <c r="G114" s="9" t="n">
        <v>1</v>
      </c>
      <c r="H114" s="9" t="n">
        <v>1</v>
      </c>
      <c r="I114" s="9" t="n">
        <v>2</v>
      </c>
      <c r="J114" s="9" t="n">
        <v>2</v>
      </c>
      <c r="K114" s="9" t="n">
        <v>7</v>
      </c>
      <c r="L114" s="9" t="n">
        <v>0</v>
      </c>
      <c r="M114" s="9" t="n">
        <v>3</v>
      </c>
      <c r="N114" s="9" t="n">
        <v>2</v>
      </c>
      <c r="O114" s="9" t="n">
        <v>0</v>
      </c>
      <c r="P114" s="10" t="n">
        <v>636</v>
      </c>
      <c r="Q114" s="10" t="n">
        <v>0</v>
      </c>
      <c r="R114" s="10" t="n">
        <v>0</v>
      </c>
      <c r="S114" s="10" t="n">
        <v>636</v>
      </c>
      <c r="T114" s="10" t="n">
        <v>0</v>
      </c>
    </row>
    <row r="115">
      <c r="A115" s="7" t="n">
        <v>121</v>
      </c>
      <c r="B115" s="8" t="inlineStr">
        <is>
          <t>Polling Station 121</t>
        </is>
      </c>
      <c r="C115" s="9" t="n">
        <v>0</v>
      </c>
      <c r="D115" s="9" t="n">
        <v>671</v>
      </c>
      <c r="E115" s="9" t="n">
        <v>0</v>
      </c>
      <c r="F115" s="9" t="n">
        <v>67</v>
      </c>
      <c r="G115" s="9" t="n">
        <v>0</v>
      </c>
      <c r="H115" s="9" t="n">
        <v>2</v>
      </c>
      <c r="I115" s="9" t="n">
        <v>0</v>
      </c>
      <c r="J115" s="9" t="n">
        <v>1</v>
      </c>
      <c r="K115" s="9" t="n">
        <v>5</v>
      </c>
      <c r="L115" s="9" t="n">
        <v>0</v>
      </c>
      <c r="M115" s="9" t="n">
        <v>1</v>
      </c>
      <c r="N115" s="9" t="n">
        <v>4</v>
      </c>
      <c r="O115" s="9" t="n">
        <v>4</v>
      </c>
      <c r="P115" s="10" t="n">
        <v>755</v>
      </c>
      <c r="Q115" s="10" t="n">
        <v>0</v>
      </c>
      <c r="R115" s="10" t="n">
        <v>0</v>
      </c>
      <c r="S115" s="10" t="n">
        <v>755</v>
      </c>
      <c r="T115" s="10" t="n">
        <v>0</v>
      </c>
    </row>
    <row r="116">
      <c r="A116" s="7" t="n">
        <v>122</v>
      </c>
      <c r="B116" s="8" t="inlineStr">
        <is>
          <t>Polling Station 122</t>
        </is>
      </c>
      <c r="C116" s="9" t="n">
        <v>5</v>
      </c>
      <c r="D116" s="9" t="n">
        <v>556</v>
      </c>
      <c r="E116" s="9" t="n">
        <v>47</v>
      </c>
      <c r="F116" s="9" t="n">
        <v>61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</v>
      </c>
      <c r="L116" s="9" t="n">
        <v>1</v>
      </c>
      <c r="M116" s="9" t="n">
        <v>0</v>
      </c>
      <c r="N116" s="9" t="n">
        <v>1</v>
      </c>
      <c r="O116" s="9" t="n">
        <v>1</v>
      </c>
      <c r="P116" s="10" t="n">
        <v>673</v>
      </c>
      <c r="Q116" s="10" t="n">
        <v>0</v>
      </c>
      <c r="R116" s="10" t="n">
        <v>0</v>
      </c>
      <c r="S116" s="10" t="n">
        <v>673</v>
      </c>
      <c r="T116" s="10" t="n">
        <v>0</v>
      </c>
    </row>
    <row r="117">
      <c r="A117" s="7" t="n">
        <v>123</v>
      </c>
      <c r="B117" s="8" t="inlineStr">
        <is>
          <t>Polling Station 123</t>
        </is>
      </c>
      <c r="C117" s="9" t="n">
        <v>0</v>
      </c>
      <c r="D117" s="9" t="n">
        <v>531</v>
      </c>
      <c r="E117" s="9" t="n">
        <v>4</v>
      </c>
      <c r="F117" s="9" t="n">
        <v>2</v>
      </c>
      <c r="G117" s="9" t="n">
        <v>1</v>
      </c>
      <c r="H117" s="9" t="n">
        <v>1</v>
      </c>
      <c r="I117" s="9" t="n">
        <v>0</v>
      </c>
      <c r="J117" s="9" t="n">
        <v>1</v>
      </c>
      <c r="K117" s="9" t="n">
        <v>1</v>
      </c>
      <c r="L117" s="9" t="n">
        <v>1</v>
      </c>
      <c r="M117" s="9" t="n">
        <v>0</v>
      </c>
      <c r="N117" s="9" t="n">
        <v>1</v>
      </c>
      <c r="O117" s="9" t="n">
        <v>4</v>
      </c>
      <c r="P117" s="10" t="n">
        <v>547</v>
      </c>
      <c r="Q117" s="10" t="n">
        <v>0</v>
      </c>
      <c r="R117" s="10" t="n">
        <v>8</v>
      </c>
      <c r="S117" s="10" t="n">
        <v>555</v>
      </c>
      <c r="T117" s="10" t="n">
        <v>0</v>
      </c>
    </row>
    <row r="118">
      <c r="A118" s="7" t="n">
        <v>124</v>
      </c>
      <c r="B118" s="8" t="inlineStr">
        <is>
          <t>Polling Station 124</t>
        </is>
      </c>
      <c r="C118" s="9" t="n">
        <v>0</v>
      </c>
      <c r="D118" s="9" t="n">
        <v>703</v>
      </c>
      <c r="E118" s="9" t="n">
        <v>12</v>
      </c>
      <c r="F118" s="9" t="n">
        <v>0</v>
      </c>
      <c r="G118" s="9" t="n">
        <v>0</v>
      </c>
      <c r="H118" s="9" t="n">
        <v>3</v>
      </c>
      <c r="I118" s="9" t="n">
        <v>1</v>
      </c>
      <c r="J118" s="9" t="n">
        <v>2</v>
      </c>
      <c r="K118" s="9" t="n">
        <v>0</v>
      </c>
      <c r="L118" s="9" t="n">
        <v>2</v>
      </c>
      <c r="M118" s="9" t="n">
        <v>2</v>
      </c>
      <c r="N118" s="9" t="n">
        <v>1</v>
      </c>
      <c r="O118" s="9" t="n">
        <v>8</v>
      </c>
      <c r="P118" s="10" t="n">
        <v>734</v>
      </c>
      <c r="Q118" s="10" t="n">
        <v>0</v>
      </c>
      <c r="R118" s="10" t="n">
        <v>0</v>
      </c>
      <c r="S118" s="10" t="n">
        <v>734</v>
      </c>
      <c r="T118" s="10" t="n">
        <v>0</v>
      </c>
    </row>
    <row r="119">
      <c r="A119" s="7" t="n">
        <v>125</v>
      </c>
      <c r="B119" s="8" t="inlineStr">
        <is>
          <t>Polling Station 125</t>
        </is>
      </c>
      <c r="C119" s="9" t="n">
        <v>0</v>
      </c>
      <c r="D119" s="9" t="n">
        <v>670</v>
      </c>
      <c r="E119" s="9" t="n">
        <v>13</v>
      </c>
      <c r="F119" s="9" t="n">
        <v>143</v>
      </c>
      <c r="G119" s="9" t="n">
        <v>1</v>
      </c>
      <c r="H119" s="9" t="n">
        <v>0</v>
      </c>
      <c r="I119" s="9" t="n">
        <v>0</v>
      </c>
      <c r="J119" s="9" t="n">
        <v>1</v>
      </c>
      <c r="K119" s="9" t="n">
        <v>2</v>
      </c>
      <c r="L119" s="9" t="n">
        <v>0</v>
      </c>
      <c r="M119" s="9" t="n">
        <v>7</v>
      </c>
      <c r="N119" s="9" t="n">
        <v>1</v>
      </c>
      <c r="O119" s="9" t="n">
        <v>2</v>
      </c>
      <c r="P119" s="10" t="n">
        <v>840</v>
      </c>
      <c r="Q119" s="10" t="n">
        <v>0</v>
      </c>
      <c r="R119" s="10" t="n">
        <v>0</v>
      </c>
      <c r="S119" s="10" t="n">
        <v>840</v>
      </c>
      <c r="T119" s="10" t="n">
        <v>0</v>
      </c>
    </row>
    <row r="120">
      <c r="A120" s="7" t="n">
        <v>126</v>
      </c>
      <c r="B120" s="8" t="inlineStr">
        <is>
          <t>Polling Station 126</t>
        </is>
      </c>
      <c r="C120" s="9" t="n">
        <v>0</v>
      </c>
      <c r="D120" s="9" t="n">
        <v>435</v>
      </c>
      <c r="E120" s="9" t="n">
        <v>3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1</v>
      </c>
      <c r="K120" s="9" t="n">
        <v>0</v>
      </c>
      <c r="L120" s="9" t="n">
        <v>0</v>
      </c>
      <c r="M120" s="9" t="n">
        <v>0</v>
      </c>
      <c r="N120" s="9" t="n">
        <v>1</v>
      </c>
      <c r="O120" s="9" t="n">
        <v>2</v>
      </c>
      <c r="P120" s="10" t="n">
        <v>442</v>
      </c>
      <c r="Q120" s="10" t="n">
        <v>0</v>
      </c>
      <c r="R120" s="10" t="n">
        <v>3</v>
      </c>
      <c r="S120" s="10" t="n">
        <v>445</v>
      </c>
      <c r="T120" s="10" t="n">
        <v>0</v>
      </c>
    </row>
    <row r="121">
      <c r="A121" s="7" t="n">
        <v>127</v>
      </c>
      <c r="B121" s="8" t="inlineStr">
        <is>
          <t>Polling Station 127</t>
        </is>
      </c>
      <c r="C121" s="9" t="n">
        <v>0</v>
      </c>
      <c r="D121" s="9" t="n">
        <v>753</v>
      </c>
      <c r="E121" s="9" t="n">
        <v>2</v>
      </c>
      <c r="F121" s="9" t="n">
        <v>130</v>
      </c>
      <c r="G121" s="9" t="n">
        <v>1</v>
      </c>
      <c r="H121" s="9" t="n">
        <v>2</v>
      </c>
      <c r="I121" s="9" t="n">
        <v>3</v>
      </c>
      <c r="J121" s="9" t="n">
        <v>2</v>
      </c>
      <c r="K121" s="9" t="n">
        <v>0</v>
      </c>
      <c r="L121" s="9" t="n">
        <v>0</v>
      </c>
      <c r="M121" s="9" t="n">
        <v>3</v>
      </c>
      <c r="N121" s="9" t="n">
        <v>0</v>
      </c>
      <c r="O121" s="9" t="n">
        <v>2</v>
      </c>
      <c r="P121" s="10" t="n">
        <v>898</v>
      </c>
      <c r="Q121" s="10" t="n">
        <v>0</v>
      </c>
      <c r="R121" s="10" t="n">
        <v>10</v>
      </c>
      <c r="S121" s="10" t="n">
        <v>908</v>
      </c>
      <c r="T121" s="10" t="n">
        <v>0</v>
      </c>
    </row>
    <row r="122">
      <c r="A122" s="7" t="n">
        <v>128</v>
      </c>
      <c r="B122" s="8" t="inlineStr">
        <is>
          <t>Polling Station 128</t>
        </is>
      </c>
      <c r="C122" s="9" t="n">
        <v>2</v>
      </c>
      <c r="D122" s="9" t="n">
        <v>597</v>
      </c>
      <c r="E122" s="9" t="n">
        <v>14</v>
      </c>
      <c r="F122" s="9" t="n">
        <v>0</v>
      </c>
      <c r="G122" s="9" t="n">
        <v>0</v>
      </c>
      <c r="H122" s="9" t="n">
        <v>1</v>
      </c>
      <c r="I122" s="9" t="n">
        <v>0</v>
      </c>
      <c r="J122" s="9" t="n">
        <v>2</v>
      </c>
      <c r="K122" s="9" t="n">
        <v>2</v>
      </c>
      <c r="L122" s="9" t="n">
        <v>2</v>
      </c>
      <c r="M122" s="9" t="n">
        <v>0</v>
      </c>
      <c r="N122" s="9" t="n">
        <v>0</v>
      </c>
      <c r="O122" s="9" t="n">
        <v>2</v>
      </c>
      <c r="P122" s="10" t="n">
        <v>622</v>
      </c>
      <c r="Q122" s="10" t="n">
        <v>0</v>
      </c>
      <c r="R122" s="10" t="n">
        <v>5</v>
      </c>
      <c r="S122" s="10" t="n">
        <v>627</v>
      </c>
      <c r="T122" s="10" t="n">
        <v>0</v>
      </c>
    </row>
    <row r="123">
      <c r="A123" s="7" t="n">
        <v>129</v>
      </c>
      <c r="B123" s="8" t="inlineStr">
        <is>
          <t>Polling Station 129</t>
        </is>
      </c>
      <c r="C123" s="9" t="n">
        <v>3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2</v>
      </c>
      <c r="I123" s="9" t="n">
        <v>0</v>
      </c>
      <c r="J123" s="9" t="n">
        <v>0</v>
      </c>
      <c r="K123" s="9" t="n">
        <v>4</v>
      </c>
      <c r="L123" s="9" t="n">
        <v>0</v>
      </c>
      <c r="M123" s="9" t="n">
        <v>2</v>
      </c>
      <c r="N123" s="9" t="n">
        <v>1</v>
      </c>
      <c r="O123" s="9" t="n">
        <v>5</v>
      </c>
      <c r="P123" s="10" t="n">
        <v>17</v>
      </c>
      <c r="Q123" s="10" t="n">
        <v>0</v>
      </c>
      <c r="R123" s="10" t="n">
        <v>2</v>
      </c>
      <c r="S123" s="10" t="n">
        <v>19</v>
      </c>
      <c r="T123" s="10" t="n">
        <v>0</v>
      </c>
    </row>
    <row r="124">
      <c r="A124" s="7" t="n">
        <v>130</v>
      </c>
      <c r="B124" s="8" t="inlineStr">
        <is>
          <t>Polling Station 130</t>
        </is>
      </c>
      <c r="C124" s="9" t="n">
        <v>0</v>
      </c>
      <c r="D124" s="9" t="n">
        <v>598</v>
      </c>
      <c r="E124" s="9" t="n">
        <v>18</v>
      </c>
      <c r="F124" s="9" t="n">
        <v>0</v>
      </c>
      <c r="G124" s="9" t="n">
        <v>1</v>
      </c>
      <c r="H124" s="9" t="n">
        <v>2</v>
      </c>
      <c r="I124" s="9" t="n">
        <v>1</v>
      </c>
      <c r="J124" s="9" t="n">
        <v>1</v>
      </c>
      <c r="K124" s="9" t="n">
        <v>3</v>
      </c>
      <c r="L124" s="9" t="n">
        <v>0</v>
      </c>
      <c r="M124" s="9" t="n">
        <v>0</v>
      </c>
      <c r="N124" s="9" t="n">
        <v>0</v>
      </c>
      <c r="O124" s="9" t="n">
        <v>2</v>
      </c>
      <c r="P124" s="10" t="n">
        <v>626</v>
      </c>
      <c r="Q124" s="10" t="n">
        <v>0</v>
      </c>
      <c r="R124" s="10" t="n">
        <v>4</v>
      </c>
      <c r="S124" s="10" t="n">
        <v>630</v>
      </c>
      <c r="T124" s="10" t="n">
        <v>0</v>
      </c>
    </row>
    <row r="125">
      <c r="A125" s="7" t="n">
        <v>131</v>
      </c>
      <c r="B125" s="8" t="inlineStr">
        <is>
          <t>Polling Station 131</t>
        </is>
      </c>
      <c r="C125" s="9" t="n">
        <v>0</v>
      </c>
      <c r="D125" s="9" t="n">
        <v>784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3</v>
      </c>
      <c r="K125" s="9" t="n">
        <v>0</v>
      </c>
      <c r="L125" s="9" t="n">
        <v>0</v>
      </c>
      <c r="M125" s="9" t="n">
        <v>3</v>
      </c>
      <c r="N125" s="9" t="n">
        <v>0</v>
      </c>
      <c r="O125" s="9" t="n">
        <v>4</v>
      </c>
      <c r="P125" s="10" t="n">
        <v>794</v>
      </c>
      <c r="Q125" s="10" t="n">
        <v>0</v>
      </c>
      <c r="R125" s="10" t="n">
        <v>9</v>
      </c>
      <c r="S125" s="10" t="n">
        <v>803</v>
      </c>
      <c r="T125" s="10" t="n">
        <v>0</v>
      </c>
    </row>
    <row r="126">
      <c r="A126" s="7" t="n">
        <v>132</v>
      </c>
      <c r="B126" s="8" t="inlineStr">
        <is>
          <t>Polling Station 132</t>
        </is>
      </c>
      <c r="C126" s="9" t="n">
        <v>0</v>
      </c>
      <c r="D126" s="9" t="n">
        <v>823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1</v>
      </c>
      <c r="J126" s="9" t="n">
        <v>0</v>
      </c>
      <c r="K126" s="9" t="n">
        <v>1</v>
      </c>
      <c r="L126" s="9" t="n">
        <v>0</v>
      </c>
      <c r="M126" s="9" t="n">
        <v>3</v>
      </c>
      <c r="N126" s="9" t="n">
        <v>1</v>
      </c>
      <c r="O126" s="9" t="n">
        <v>0</v>
      </c>
      <c r="P126" s="10" t="n">
        <v>829</v>
      </c>
      <c r="Q126" s="10" t="n">
        <v>0</v>
      </c>
      <c r="R126" s="10" t="n">
        <v>5</v>
      </c>
      <c r="S126" s="10" t="n">
        <v>834</v>
      </c>
      <c r="T126" s="10" t="n">
        <v>0</v>
      </c>
    </row>
    <row r="127">
      <c r="A127" s="7" t="n">
        <v>133</v>
      </c>
      <c r="B127" s="8" t="inlineStr">
        <is>
          <t>Polling Station 133</t>
        </is>
      </c>
      <c r="C127" s="9" t="n">
        <v>4</v>
      </c>
      <c r="D127" s="9" t="n">
        <v>428</v>
      </c>
      <c r="E127" s="9" t="n">
        <v>0</v>
      </c>
      <c r="F127" s="9" t="n">
        <v>101</v>
      </c>
      <c r="G127" s="9" t="n">
        <v>2</v>
      </c>
      <c r="H127" s="9" t="n">
        <v>4</v>
      </c>
      <c r="I127" s="9" t="n">
        <v>1</v>
      </c>
      <c r="J127" s="9" t="n">
        <v>0</v>
      </c>
      <c r="K127" s="9" t="n">
        <v>0</v>
      </c>
      <c r="L127" s="9" t="n">
        <v>0</v>
      </c>
      <c r="M127" s="9" t="n">
        <v>3</v>
      </c>
      <c r="N127" s="9" t="n">
        <v>1</v>
      </c>
      <c r="O127" s="9" t="n">
        <v>6</v>
      </c>
      <c r="P127" s="10" t="n">
        <v>550</v>
      </c>
      <c r="Q127" s="10" t="n">
        <v>0</v>
      </c>
      <c r="R127" s="10" t="n">
        <v>2</v>
      </c>
      <c r="S127" s="10" t="n">
        <v>552</v>
      </c>
      <c r="T127" s="10" t="n">
        <v>0</v>
      </c>
    </row>
    <row r="128">
      <c r="A128" s="7" t="n">
        <v>134</v>
      </c>
      <c r="B128" s="8" t="inlineStr">
        <is>
          <t>Polling Station 134</t>
        </is>
      </c>
      <c r="C128" s="9" t="n">
        <v>0</v>
      </c>
      <c r="D128" s="9" t="n">
        <v>503</v>
      </c>
      <c r="E128" s="9" t="n">
        <v>0</v>
      </c>
      <c r="F128" s="9" t="n">
        <v>129</v>
      </c>
      <c r="G128" s="9" t="n">
        <v>0</v>
      </c>
      <c r="H128" s="9" t="n">
        <v>3</v>
      </c>
      <c r="I128" s="9" t="n">
        <v>1</v>
      </c>
      <c r="J128" s="9" t="n">
        <v>0</v>
      </c>
      <c r="K128" s="9" t="n">
        <v>1</v>
      </c>
      <c r="L128" s="9" t="n">
        <v>0</v>
      </c>
      <c r="M128" s="9" t="n">
        <v>0</v>
      </c>
      <c r="N128" s="9" t="n">
        <v>0</v>
      </c>
      <c r="O128" s="9" t="n">
        <v>5</v>
      </c>
      <c r="P128" s="10" t="n">
        <v>642</v>
      </c>
      <c r="Q128" s="10" t="n">
        <v>0</v>
      </c>
      <c r="R128" s="10" t="n">
        <v>0</v>
      </c>
      <c r="S128" s="10" t="n">
        <v>642</v>
      </c>
      <c r="T128" s="10" t="n">
        <v>0</v>
      </c>
    </row>
    <row r="129">
      <c r="A129" s="7" t="n">
        <v>135</v>
      </c>
      <c r="B129" s="8" t="inlineStr">
        <is>
          <t>Polling Station 135</t>
        </is>
      </c>
      <c r="C129" s="9" t="n">
        <v>3</v>
      </c>
      <c r="D129" s="9" t="n">
        <v>0</v>
      </c>
      <c r="E129" s="9" t="n">
        <v>16</v>
      </c>
      <c r="F129" s="9" t="n">
        <v>25</v>
      </c>
      <c r="G129" s="9" t="n">
        <v>2</v>
      </c>
      <c r="H129" s="9" t="n">
        <v>3</v>
      </c>
      <c r="I129" s="9" t="n">
        <v>0</v>
      </c>
      <c r="J129" s="9" t="n">
        <v>0</v>
      </c>
      <c r="K129" s="9" t="n">
        <v>1</v>
      </c>
      <c r="L129" s="9" t="n">
        <v>1</v>
      </c>
      <c r="M129" s="9" t="n">
        <v>0</v>
      </c>
      <c r="N129" s="9" t="n">
        <v>1</v>
      </c>
      <c r="O129" s="9" t="n">
        <v>6</v>
      </c>
      <c r="P129" s="10" t="n">
        <v>58</v>
      </c>
      <c r="Q129" s="10" t="n">
        <v>0</v>
      </c>
      <c r="R129" s="10" t="n">
        <v>3</v>
      </c>
      <c r="S129" s="10" t="n">
        <v>61</v>
      </c>
      <c r="T129" s="10" t="n">
        <v>0</v>
      </c>
    </row>
    <row r="130">
      <c r="A130" s="7" t="n">
        <v>136</v>
      </c>
      <c r="B130" s="8" t="inlineStr">
        <is>
          <t>Polling Station 136</t>
        </is>
      </c>
      <c r="C130" s="9" t="n">
        <v>0</v>
      </c>
      <c r="D130" s="9" t="n">
        <v>0</v>
      </c>
      <c r="E130" s="9" t="n">
        <v>3</v>
      </c>
      <c r="F130" s="9" t="n">
        <v>259</v>
      </c>
      <c r="G130" s="9" t="n">
        <v>1</v>
      </c>
      <c r="H130" s="9" t="n">
        <v>1</v>
      </c>
      <c r="I130" s="9" t="n">
        <v>1</v>
      </c>
      <c r="J130" s="9" t="n">
        <v>1</v>
      </c>
      <c r="K130" s="9" t="n">
        <v>10</v>
      </c>
      <c r="L130" s="9" t="n">
        <v>1</v>
      </c>
      <c r="M130" s="9" t="n">
        <v>3</v>
      </c>
      <c r="N130" s="9" t="n">
        <v>4</v>
      </c>
      <c r="O130" s="9" t="n">
        <v>8</v>
      </c>
      <c r="P130" s="10" t="n">
        <v>292</v>
      </c>
      <c r="Q130" s="10" t="n">
        <v>0</v>
      </c>
      <c r="R130" s="10" t="n">
        <v>0</v>
      </c>
      <c r="S130" s="10" t="n">
        <v>292</v>
      </c>
      <c r="T130" s="10" t="n">
        <v>0</v>
      </c>
    </row>
    <row r="131">
      <c r="A131" s="7" t="n">
        <v>137</v>
      </c>
      <c r="B131" s="8" t="inlineStr">
        <is>
          <t>Polling Station 137</t>
        </is>
      </c>
      <c r="C131" s="9" t="n">
        <v>4</v>
      </c>
      <c r="D131" s="9" t="n">
        <v>0</v>
      </c>
      <c r="E131" s="9" t="n">
        <v>7</v>
      </c>
      <c r="F131" s="9" t="n">
        <v>17</v>
      </c>
      <c r="G131" s="9" t="n">
        <v>4</v>
      </c>
      <c r="H131" s="9" t="n">
        <v>2</v>
      </c>
      <c r="I131" s="9" t="n">
        <v>1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1</v>
      </c>
      <c r="P131" s="10" t="n">
        <v>36</v>
      </c>
      <c r="Q131" s="10" t="n">
        <v>0</v>
      </c>
      <c r="R131" s="10" t="n">
        <v>8</v>
      </c>
      <c r="S131" s="10" t="n">
        <v>44</v>
      </c>
      <c r="T131" s="10" t="n">
        <v>0</v>
      </c>
    </row>
    <row r="132">
      <c r="A132" s="7" t="n">
        <v>138</v>
      </c>
      <c r="B132" s="8" t="inlineStr">
        <is>
          <t>Polling Station 138</t>
        </is>
      </c>
      <c r="C132" s="9" t="n">
        <v>0</v>
      </c>
      <c r="D132" s="9" t="n">
        <v>489</v>
      </c>
      <c r="E132" s="9" t="n">
        <v>5</v>
      </c>
      <c r="F132" s="9" t="n">
        <v>93</v>
      </c>
      <c r="G132" s="9" t="n">
        <v>3</v>
      </c>
      <c r="H132" s="9" t="n">
        <v>0</v>
      </c>
      <c r="I132" s="9" t="n">
        <v>1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10" t="n">
        <v>591</v>
      </c>
      <c r="Q132" s="10" t="n">
        <v>0</v>
      </c>
      <c r="R132" s="10" t="n">
        <v>2</v>
      </c>
      <c r="S132" s="10" t="n">
        <v>593</v>
      </c>
      <c r="T132" s="10" t="n">
        <v>1</v>
      </c>
    </row>
    <row r="133">
      <c r="A133" s="7" t="n">
        <v>139</v>
      </c>
      <c r="B133" s="8" t="inlineStr">
        <is>
          <t>| 139</t>
        </is>
      </c>
      <c r="C133" s="9" t="n">
        <v>2</v>
      </c>
      <c r="D133" s="9" t="n">
        <v>600</v>
      </c>
      <c r="E133" s="9" t="n">
        <v>15</v>
      </c>
      <c r="F133" s="9" t="n">
        <v>207</v>
      </c>
      <c r="G133" s="9" t="n">
        <v>0</v>
      </c>
      <c r="H133" s="9" t="n">
        <v>1</v>
      </c>
      <c r="I133" s="9" t="n">
        <v>0</v>
      </c>
      <c r="J133" s="9" t="n">
        <v>1</v>
      </c>
      <c r="K133" s="9" t="n">
        <v>1</v>
      </c>
      <c r="L133" s="9" t="n">
        <v>2</v>
      </c>
      <c r="M133" s="9" t="n">
        <v>4</v>
      </c>
      <c r="N133" s="9" t="n">
        <v>0</v>
      </c>
      <c r="O133" s="9" t="n">
        <v>2</v>
      </c>
      <c r="P133" s="10" t="n">
        <v>835</v>
      </c>
      <c r="Q133" s="10" t="n">
        <v>0</v>
      </c>
      <c r="R133" s="10" t="n">
        <v>3</v>
      </c>
      <c r="S133" s="10" t="n">
        <v>838</v>
      </c>
      <c r="T133" s="10" t="n">
        <v>0</v>
      </c>
    </row>
    <row r="134">
      <c r="A134" s="7" t="n">
        <v>140</v>
      </c>
      <c r="B134" s="8" t="inlineStr">
        <is>
          <t>Polling Station 140</t>
        </is>
      </c>
      <c r="C134" s="9" t="n">
        <v>3</v>
      </c>
      <c r="D134" s="9" t="n">
        <v>4</v>
      </c>
      <c r="E134" s="9" t="n">
        <v>5</v>
      </c>
      <c r="F134" s="9" t="n">
        <v>0</v>
      </c>
      <c r="G134" s="9" t="n">
        <v>7</v>
      </c>
      <c r="H134" s="9" t="n">
        <v>8</v>
      </c>
      <c r="I134" s="9" t="n">
        <v>9</v>
      </c>
      <c r="J134" s="9" t="n">
        <v>10</v>
      </c>
      <c r="K134" s="9" t="n">
        <v>0</v>
      </c>
      <c r="L134" s="9" t="n">
        <v>12</v>
      </c>
      <c r="M134" s="9" t="n">
        <v>13</v>
      </c>
      <c r="N134" s="9" t="n">
        <v>4</v>
      </c>
      <c r="O134" s="9" t="n">
        <v>15</v>
      </c>
      <c r="P134" s="10" t="n">
        <v>90</v>
      </c>
      <c r="Q134" s="10" t="n">
        <v>17</v>
      </c>
      <c r="R134" s="10" t="n">
        <v>18</v>
      </c>
      <c r="S134" s="10" t="n">
        <v>125</v>
      </c>
      <c r="T134" s="10" t="n">
        <v>20</v>
      </c>
    </row>
    <row r="135">
      <c r="A135" s="7" t="n">
        <v>141</v>
      </c>
      <c r="B135" s="8" t="inlineStr">
        <is>
          <t>Polling Station 141</t>
        </is>
      </c>
      <c r="C135" s="9" t="n">
        <v>2</v>
      </c>
      <c r="D135" s="9" t="n">
        <v>555</v>
      </c>
      <c r="E135" s="9" t="n">
        <v>12</v>
      </c>
      <c r="F135" s="9" t="n">
        <v>141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2</v>
      </c>
      <c r="L135" s="9" t="n">
        <v>0</v>
      </c>
      <c r="M135" s="9" t="n">
        <v>1</v>
      </c>
      <c r="N135" s="9" t="n">
        <v>1</v>
      </c>
      <c r="O135" s="9" t="n">
        <v>0</v>
      </c>
      <c r="P135" s="10" t="n">
        <v>714</v>
      </c>
      <c r="Q135" s="10" t="n">
        <v>0</v>
      </c>
      <c r="R135" s="10" t="n">
        <v>0</v>
      </c>
      <c r="S135" s="10" t="n">
        <v>714</v>
      </c>
      <c r="T135" s="10" t="n">
        <v>0</v>
      </c>
    </row>
    <row r="136">
      <c r="A136" s="7" t="n">
        <v>142</v>
      </c>
      <c r="B136" s="8" t="inlineStr">
        <is>
          <t>Polling Station 142</t>
        </is>
      </c>
      <c r="C136" s="9" t="n">
        <v>0</v>
      </c>
      <c r="D136" s="9" t="n">
        <v>7</v>
      </c>
      <c r="E136" s="9" t="n">
        <v>5</v>
      </c>
      <c r="F136" s="9" t="n">
        <v>94</v>
      </c>
      <c r="G136" s="9" t="n">
        <v>0</v>
      </c>
      <c r="H136" s="9" t="n">
        <v>1</v>
      </c>
      <c r="I136" s="9" t="n">
        <v>1</v>
      </c>
      <c r="J136" s="9" t="n">
        <v>1</v>
      </c>
      <c r="K136" s="9" t="n">
        <v>1</v>
      </c>
      <c r="L136" s="9" t="n">
        <v>2</v>
      </c>
      <c r="M136" s="9" t="n">
        <v>2</v>
      </c>
      <c r="N136" s="9" t="n">
        <v>4</v>
      </c>
      <c r="O136" s="9" t="n">
        <v>1</v>
      </c>
      <c r="P136" s="10" t="n">
        <v>119</v>
      </c>
      <c r="Q136" s="10" t="n">
        <v>0</v>
      </c>
      <c r="R136" s="10" t="n">
        <v>2</v>
      </c>
      <c r="S136" s="10" t="n">
        <v>121</v>
      </c>
      <c r="T136" s="10" t="n">
        <v>0</v>
      </c>
    </row>
    <row r="137">
      <c r="A137" s="7" t="n">
        <v>143</v>
      </c>
      <c r="B137" s="8" t="inlineStr">
        <is>
          <t>Polling Station 143</t>
        </is>
      </c>
      <c r="C137" s="9" t="n">
        <v>7</v>
      </c>
      <c r="D137" s="9" t="n">
        <v>636</v>
      </c>
      <c r="E137" s="9" t="n">
        <v>7</v>
      </c>
      <c r="F137" s="9" t="n">
        <v>108</v>
      </c>
      <c r="G137" s="9" t="n">
        <v>3</v>
      </c>
      <c r="H137" s="9" t="n">
        <v>0</v>
      </c>
      <c r="I137" s="9" t="n">
        <v>1</v>
      </c>
      <c r="J137" s="9" t="n">
        <v>1</v>
      </c>
      <c r="K137" s="9" t="n">
        <v>0</v>
      </c>
      <c r="L137" s="9" t="n">
        <v>5</v>
      </c>
      <c r="M137" s="9" t="n">
        <v>1</v>
      </c>
      <c r="N137" s="9" t="n">
        <v>2</v>
      </c>
      <c r="O137" s="9" t="n">
        <v>0</v>
      </c>
      <c r="P137" s="10" t="n">
        <v>771</v>
      </c>
      <c r="Q137" s="10" t="n">
        <v>0</v>
      </c>
      <c r="R137" s="10" t="n">
        <v>5</v>
      </c>
      <c r="S137" s="10" t="n">
        <v>776</v>
      </c>
      <c r="T137" s="10" t="n">
        <v>0</v>
      </c>
    </row>
    <row r="138">
      <c r="A138" s="7" t="n">
        <v>144</v>
      </c>
      <c r="B138" s="8" t="inlineStr">
        <is>
          <t>Polling Station 144</t>
        </is>
      </c>
      <c r="C138" s="9" t="n">
        <v>0</v>
      </c>
      <c r="D138" s="9" t="n">
        <v>362</v>
      </c>
      <c r="E138" s="9" t="n">
        <v>6</v>
      </c>
      <c r="F138" s="9" t="n">
        <v>60</v>
      </c>
      <c r="G138" s="9" t="n">
        <v>4</v>
      </c>
      <c r="H138" s="9" t="n">
        <v>1</v>
      </c>
      <c r="I138" s="9" t="n">
        <v>0</v>
      </c>
      <c r="J138" s="9" t="n">
        <v>1</v>
      </c>
      <c r="K138" s="9" t="n">
        <v>2</v>
      </c>
      <c r="L138" s="9" t="n">
        <v>5</v>
      </c>
      <c r="M138" s="9" t="n">
        <v>0</v>
      </c>
      <c r="N138" s="9" t="n">
        <v>0</v>
      </c>
      <c r="O138" s="9" t="n">
        <v>2</v>
      </c>
      <c r="P138" s="10" t="n">
        <v>443</v>
      </c>
      <c r="Q138" s="10" t="n">
        <v>0</v>
      </c>
      <c r="R138" s="10" t="n">
        <v>5</v>
      </c>
      <c r="S138" s="10" t="n">
        <v>448</v>
      </c>
      <c r="T138" s="10" t="n">
        <v>0</v>
      </c>
    </row>
    <row r="139">
      <c r="A139" s="7" t="n">
        <v>145</v>
      </c>
      <c r="B139" s="8" t="inlineStr">
        <is>
          <t>Polling Station 145</t>
        </is>
      </c>
      <c r="C139" s="9" t="n">
        <v>4</v>
      </c>
      <c r="D139" s="9" t="n">
        <v>522</v>
      </c>
      <c r="E139" s="9" t="n">
        <v>0</v>
      </c>
      <c r="F139" s="9" t="n">
        <v>7</v>
      </c>
      <c r="G139" s="9" t="n">
        <v>1</v>
      </c>
      <c r="H139" s="9" t="n">
        <v>2</v>
      </c>
      <c r="I139" s="9" t="n">
        <v>1</v>
      </c>
      <c r="J139" s="9" t="n">
        <v>0</v>
      </c>
      <c r="K139" s="9" t="n">
        <v>2</v>
      </c>
      <c r="L139" s="9" t="n">
        <v>2</v>
      </c>
      <c r="M139" s="9" t="n">
        <v>3</v>
      </c>
      <c r="N139" s="9" t="n">
        <v>2</v>
      </c>
      <c r="O139" s="9" t="n">
        <v>1</v>
      </c>
      <c r="P139" s="10" t="n">
        <v>547</v>
      </c>
      <c r="Q139" s="10" t="n">
        <v>0</v>
      </c>
      <c r="R139" s="10" t="n">
        <v>5</v>
      </c>
      <c r="S139" s="10" t="n">
        <v>552</v>
      </c>
      <c r="T139" s="10" t="n">
        <v>0</v>
      </c>
    </row>
    <row r="140">
      <c r="A140" s="7" t="n">
        <v>146</v>
      </c>
      <c r="B140" s="8" t="inlineStr">
        <is>
          <t>Polling Station 146</t>
        </is>
      </c>
      <c r="C140" s="9" t="n">
        <v>3</v>
      </c>
      <c r="D140" s="9" t="n">
        <v>66</v>
      </c>
      <c r="E140" s="9" t="n">
        <v>19</v>
      </c>
      <c r="F140" s="9" t="n">
        <v>6</v>
      </c>
      <c r="G140" s="9" t="n">
        <v>0</v>
      </c>
      <c r="H140" s="9" t="n">
        <v>10</v>
      </c>
      <c r="I140" s="9" t="n">
        <v>2</v>
      </c>
      <c r="J140" s="9" t="n">
        <v>0</v>
      </c>
      <c r="K140" s="9" t="n">
        <v>0</v>
      </c>
      <c r="L140" s="9" t="n">
        <v>0</v>
      </c>
      <c r="M140" s="9" t="n">
        <v>1</v>
      </c>
      <c r="N140" s="9" t="n">
        <v>2</v>
      </c>
      <c r="O140" s="9" t="n">
        <v>2</v>
      </c>
      <c r="P140" s="10" t="n">
        <v>111</v>
      </c>
      <c r="Q140" s="10" t="n">
        <v>0</v>
      </c>
      <c r="R140" s="10" t="n">
        <v>8</v>
      </c>
      <c r="S140" s="10" t="n">
        <v>119</v>
      </c>
      <c r="T140" s="10" t="n">
        <v>0</v>
      </c>
    </row>
    <row r="141">
      <c r="A141" s="7" t="n">
        <v>147</v>
      </c>
      <c r="B141" s="8" t="inlineStr">
        <is>
          <t>Polling Station 147</t>
        </is>
      </c>
      <c r="C141" s="9" t="n">
        <v>2</v>
      </c>
      <c r="D141" s="9" t="n">
        <v>949</v>
      </c>
      <c r="E141" s="9" t="n">
        <v>18</v>
      </c>
      <c r="F141" s="9" t="n">
        <v>109</v>
      </c>
      <c r="G141" s="9" t="n">
        <v>3</v>
      </c>
      <c r="H141" s="9" t="n">
        <v>9</v>
      </c>
      <c r="I141" s="9" t="n">
        <v>1</v>
      </c>
      <c r="J141" s="9" t="n">
        <v>5</v>
      </c>
      <c r="K141" s="9" t="n">
        <v>0</v>
      </c>
      <c r="L141" s="9" t="n">
        <v>0</v>
      </c>
      <c r="M141" s="9" t="n">
        <v>4</v>
      </c>
      <c r="N141" s="9" t="n">
        <v>2</v>
      </c>
      <c r="O141" s="9" t="n">
        <v>10</v>
      </c>
      <c r="P141" s="10" t="n">
        <v>1112</v>
      </c>
      <c r="Q141" s="10" t="n">
        <v>0</v>
      </c>
      <c r="R141" s="10" t="n">
        <v>16</v>
      </c>
      <c r="S141" s="10" t="n">
        <v>1128</v>
      </c>
      <c r="T141" s="10" t="n">
        <v>0</v>
      </c>
    </row>
    <row r="142">
      <c r="A142" s="7" t="n">
        <v>148</v>
      </c>
      <c r="B142" s="8" t="inlineStr">
        <is>
          <t>tag | 148.</t>
        </is>
      </c>
      <c r="C142" s="9" t="n">
        <v>0</v>
      </c>
      <c r="D142" s="9" t="n">
        <v>6</v>
      </c>
      <c r="E142" s="9" t="n">
        <v>5</v>
      </c>
      <c r="F142" s="9" t="n">
        <v>7</v>
      </c>
      <c r="G142" s="9" t="n">
        <v>0</v>
      </c>
      <c r="H142" s="9" t="n">
        <v>2</v>
      </c>
      <c r="I142" s="9" t="n">
        <v>1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2</v>
      </c>
      <c r="P142" s="10" t="n">
        <v>23</v>
      </c>
      <c r="Q142" s="10" t="n">
        <v>0</v>
      </c>
      <c r="R142" s="10" t="n">
        <v>0</v>
      </c>
      <c r="S142" s="10" t="n">
        <v>23</v>
      </c>
      <c r="T142" s="10" t="n">
        <v>0</v>
      </c>
    </row>
    <row r="143">
      <c r="A143" s="7" t="n">
        <v>149</v>
      </c>
      <c r="B143" s="8" t="inlineStr">
        <is>
          <t>| 149</t>
        </is>
      </c>
      <c r="C143" s="9" t="n">
        <v>8</v>
      </c>
      <c r="D143" s="9" t="n">
        <v>0</v>
      </c>
      <c r="E143" s="9" t="n">
        <v>5</v>
      </c>
      <c r="F143" s="9" t="n">
        <v>7</v>
      </c>
      <c r="G143" s="9" t="n">
        <v>0</v>
      </c>
      <c r="H143" s="9" t="n">
        <v>3</v>
      </c>
      <c r="I143" s="9" t="n">
        <v>0</v>
      </c>
      <c r="J143" s="9" t="n">
        <v>0</v>
      </c>
      <c r="K143" s="9" t="n">
        <v>2</v>
      </c>
      <c r="L143" s="9" t="n">
        <v>0</v>
      </c>
      <c r="M143" s="9" t="n">
        <v>3</v>
      </c>
      <c r="N143" s="9" t="n">
        <v>0</v>
      </c>
      <c r="O143" s="9" t="n">
        <v>4</v>
      </c>
      <c r="P143" s="10" t="n">
        <v>32</v>
      </c>
      <c r="Q143" s="10" t="n">
        <v>0</v>
      </c>
      <c r="R143" s="10" t="n">
        <v>9</v>
      </c>
      <c r="S143" s="10" t="n">
        <v>41</v>
      </c>
      <c r="T143" s="10" t="n">
        <v>0</v>
      </c>
    </row>
    <row r="144">
      <c r="A144" s="7" t="n">
        <v>150</v>
      </c>
      <c r="B144" s="8" t="inlineStr">
        <is>
          <t>| 150 | 150</t>
        </is>
      </c>
      <c r="C144" s="9" t="n">
        <v>4</v>
      </c>
      <c r="D144" s="9" t="n">
        <v>446</v>
      </c>
      <c r="E144" s="9" t="n">
        <v>8</v>
      </c>
      <c r="F144" s="9" t="n">
        <v>0</v>
      </c>
      <c r="G144" s="9" t="n">
        <v>0</v>
      </c>
      <c r="H144" s="9" t="n">
        <v>2</v>
      </c>
      <c r="I144" s="9" t="n">
        <v>0</v>
      </c>
      <c r="J144" s="9" t="n">
        <v>0</v>
      </c>
      <c r="K144" s="9" t="n">
        <v>3</v>
      </c>
      <c r="L144" s="9" t="n">
        <v>0</v>
      </c>
      <c r="M144" s="9" t="n">
        <v>2</v>
      </c>
      <c r="N144" s="9" t="n">
        <v>1</v>
      </c>
      <c r="O144" s="9" t="n">
        <v>0</v>
      </c>
      <c r="P144" s="10" t="n">
        <v>466</v>
      </c>
      <c r="Q144" s="10" t="n">
        <v>0</v>
      </c>
      <c r="R144" s="10" t="n">
        <v>2</v>
      </c>
      <c r="S144" s="10" t="n">
        <v>468</v>
      </c>
      <c r="T144" s="10" t="n">
        <v>0</v>
      </c>
    </row>
    <row r="145">
      <c r="A145" s="7" t="n">
        <v>151</v>
      </c>
      <c r="B145" s="8" t="inlineStr">
        <is>
          <t>| 151 | 154</t>
        </is>
      </c>
      <c r="C145" s="9" t="n">
        <v>0</v>
      </c>
      <c r="D145" s="9" t="n">
        <v>738</v>
      </c>
      <c r="E145" s="9" t="n">
        <v>4</v>
      </c>
      <c r="F145" s="9" t="n">
        <v>102</v>
      </c>
      <c r="G145" s="9" t="n">
        <v>1</v>
      </c>
      <c r="H145" s="9" t="n">
        <v>4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1</v>
      </c>
      <c r="O145" s="9" t="n">
        <v>1</v>
      </c>
      <c r="P145" s="10" t="n">
        <v>851</v>
      </c>
      <c r="Q145" s="10" t="n">
        <v>0</v>
      </c>
      <c r="R145" s="10" t="n">
        <v>4</v>
      </c>
      <c r="S145" s="10" t="n">
        <v>855</v>
      </c>
      <c r="T145" s="10" t="n">
        <v>0</v>
      </c>
    </row>
    <row r="146">
      <c r="A146" s="7" t="n">
        <v>152</v>
      </c>
      <c r="B146" s="8" t="inlineStr">
        <is>
          <t>| 152 | 152</t>
        </is>
      </c>
      <c r="C146" s="9" t="n">
        <v>0</v>
      </c>
      <c r="D146" s="9" t="n">
        <v>0</v>
      </c>
      <c r="E146" s="9" t="n">
        <v>0</v>
      </c>
      <c r="F146" s="9" t="n">
        <v>152</v>
      </c>
      <c r="G146" s="9" t="n">
        <v>3</v>
      </c>
      <c r="H146" s="9" t="n">
        <v>0</v>
      </c>
      <c r="I146" s="9" t="n">
        <v>1</v>
      </c>
      <c r="J146" s="9" t="n">
        <v>4</v>
      </c>
      <c r="K146" s="9" t="n">
        <v>2</v>
      </c>
      <c r="L146" s="9" t="n">
        <v>0</v>
      </c>
      <c r="M146" s="9" t="n">
        <v>4</v>
      </c>
      <c r="N146" s="9" t="n">
        <v>1</v>
      </c>
      <c r="O146" s="9" t="n">
        <v>6</v>
      </c>
      <c r="P146" s="10" t="n">
        <v>173</v>
      </c>
      <c r="Q146" s="10" t="n">
        <v>0</v>
      </c>
      <c r="R146" s="10" t="n">
        <v>7</v>
      </c>
      <c r="S146" s="10" t="n">
        <v>180</v>
      </c>
      <c r="T146" s="10" t="n">
        <v>0</v>
      </c>
    </row>
    <row r="147">
      <c r="A147" s="7" t="n">
        <v>153</v>
      </c>
      <c r="B147" s="8" t="inlineStr">
        <is>
          <t>| 153 | 153</t>
        </is>
      </c>
      <c r="C147" s="9" t="n">
        <v>0</v>
      </c>
      <c r="D147" s="9" t="n">
        <v>899</v>
      </c>
      <c r="E147" s="9" t="n">
        <v>2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1</v>
      </c>
      <c r="K147" s="9" t="n">
        <v>3</v>
      </c>
      <c r="L147" s="9" t="n">
        <v>2</v>
      </c>
      <c r="M147" s="9" t="n">
        <v>5</v>
      </c>
      <c r="N147" s="9" t="n">
        <v>5</v>
      </c>
      <c r="O147" s="9" t="n">
        <v>4</v>
      </c>
      <c r="P147" s="10" t="n">
        <v>921</v>
      </c>
      <c r="Q147" s="10" t="n">
        <v>0</v>
      </c>
      <c r="R147" s="10" t="n">
        <v>12</v>
      </c>
      <c r="S147" s="10" t="n">
        <v>933</v>
      </c>
      <c r="T147" s="10" t="n">
        <v>0</v>
      </c>
    </row>
    <row r="148">
      <c r="A148" s="7" t="n">
        <v>154</v>
      </c>
      <c r="B148" s="8" t="inlineStr">
        <is>
          <t>| 154 | 154</t>
        </is>
      </c>
      <c r="C148" s="9" t="n">
        <v>4</v>
      </c>
      <c r="D148" s="9" t="n">
        <v>425</v>
      </c>
      <c r="E148" s="9" t="n">
        <v>1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1</v>
      </c>
      <c r="L148" s="9" t="n">
        <v>0</v>
      </c>
      <c r="M148" s="9" t="n">
        <v>2</v>
      </c>
      <c r="N148" s="9" t="n">
        <v>1</v>
      </c>
      <c r="O148" s="9" t="n">
        <v>2</v>
      </c>
      <c r="P148" s="10" t="n">
        <v>436</v>
      </c>
      <c r="Q148" s="10" t="n">
        <v>0</v>
      </c>
      <c r="R148" s="10" t="n">
        <v>6</v>
      </c>
      <c r="S148" s="10" t="n">
        <v>442</v>
      </c>
      <c r="T148" s="10" t="n">
        <v>0</v>
      </c>
    </row>
    <row r="149">
      <c r="A149" s="7" t="n">
        <v>155</v>
      </c>
      <c r="B149" s="8" t="inlineStr">
        <is>
          <t>| 155 | 155</t>
        </is>
      </c>
      <c r="C149" s="9" t="n">
        <v>2</v>
      </c>
      <c r="D149" s="9" t="n">
        <v>0</v>
      </c>
      <c r="E149" s="9" t="n">
        <v>2</v>
      </c>
      <c r="F149" s="9" t="n">
        <v>4</v>
      </c>
      <c r="G149" s="9" t="n">
        <v>0</v>
      </c>
      <c r="H149" s="9" t="n">
        <v>1</v>
      </c>
      <c r="I149" s="9" t="n">
        <v>2</v>
      </c>
      <c r="J149" s="9" t="n">
        <v>2</v>
      </c>
      <c r="K149" s="9" t="n">
        <v>1</v>
      </c>
      <c r="L149" s="9" t="n">
        <v>0</v>
      </c>
      <c r="M149" s="9" t="n">
        <v>0</v>
      </c>
      <c r="N149" s="9" t="n">
        <v>0</v>
      </c>
      <c r="O149" s="9" t="n">
        <v>3</v>
      </c>
      <c r="P149" s="10" t="n">
        <v>17</v>
      </c>
      <c r="Q149" s="10" t="n">
        <v>0</v>
      </c>
      <c r="R149" s="10" t="n">
        <v>7</v>
      </c>
      <c r="S149" s="10" t="n">
        <v>24</v>
      </c>
      <c r="T149" s="10" t="n">
        <v>0</v>
      </c>
    </row>
    <row r="150">
      <c r="A150" s="7" t="n">
        <v>156</v>
      </c>
      <c r="B150" s="8" t="inlineStr">
        <is>
          <t>| 156 | 156</t>
        </is>
      </c>
      <c r="C150" s="9" t="n">
        <v>4</v>
      </c>
      <c r="D150" s="9" t="n">
        <v>0</v>
      </c>
      <c r="E150" s="9" t="n">
        <v>0</v>
      </c>
      <c r="F150" s="9" t="n">
        <v>73</v>
      </c>
      <c r="G150" s="9" t="n">
        <v>4</v>
      </c>
      <c r="H150" s="9" t="n">
        <v>0</v>
      </c>
      <c r="I150" s="9" t="n">
        <v>0</v>
      </c>
      <c r="J150" s="9" t="n">
        <v>4</v>
      </c>
      <c r="K150" s="9" t="n">
        <v>7</v>
      </c>
      <c r="L150" s="9" t="n">
        <v>0</v>
      </c>
      <c r="M150" s="9" t="n">
        <v>2</v>
      </c>
      <c r="N150" s="9" t="n">
        <v>1</v>
      </c>
      <c r="O150" s="9" t="n">
        <v>0</v>
      </c>
      <c r="P150" s="10" t="n">
        <v>95</v>
      </c>
      <c r="Q150" s="10" t="n">
        <v>0</v>
      </c>
      <c r="R150" s="10" t="n">
        <v>8</v>
      </c>
      <c r="S150" s="10" t="n">
        <v>103</v>
      </c>
      <c r="T150" s="10" t="n">
        <v>0</v>
      </c>
    </row>
    <row r="151">
      <c r="A151" s="7" t="n">
        <v>157</v>
      </c>
      <c r="B151" s="8" t="inlineStr">
        <is>
          <t>| 157 | 187</t>
        </is>
      </c>
      <c r="C151" s="9" t="n">
        <v>0</v>
      </c>
      <c r="D151" s="9" t="n">
        <v>0</v>
      </c>
      <c r="E151" s="9" t="n">
        <v>0</v>
      </c>
      <c r="F151" s="9" t="n">
        <v>38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2</v>
      </c>
      <c r="L151" s="9" t="n">
        <v>0</v>
      </c>
      <c r="M151" s="9" t="n">
        <v>2</v>
      </c>
      <c r="N151" s="9" t="n">
        <v>0</v>
      </c>
      <c r="O151" s="9" t="n">
        <v>0</v>
      </c>
      <c r="P151" s="10" t="n">
        <v>42</v>
      </c>
      <c r="Q151" s="10" t="n">
        <v>0</v>
      </c>
      <c r="R151" s="10" t="n">
        <v>1</v>
      </c>
      <c r="S151" s="10" t="n">
        <v>43</v>
      </c>
      <c r="T151" s="10" t="n">
        <v>0</v>
      </c>
    </row>
    <row r="152">
      <c r="A152" s="7" t="n">
        <v>158</v>
      </c>
      <c r="B152" s="8" t="inlineStr">
        <is>
          <t>| 158 | 158</t>
        </is>
      </c>
      <c r="C152" s="9" t="n">
        <v>4</v>
      </c>
      <c r="D152" s="9" t="n">
        <v>4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1</v>
      </c>
      <c r="L152" s="9" t="n">
        <v>0</v>
      </c>
      <c r="M152" s="9" t="n">
        <v>0</v>
      </c>
      <c r="N152" s="9" t="n">
        <v>0</v>
      </c>
      <c r="O152" s="9" t="n">
        <v>2</v>
      </c>
      <c r="P152" s="10" t="n">
        <v>11</v>
      </c>
      <c r="Q152" s="10" t="n">
        <v>0</v>
      </c>
      <c r="R152" s="10" t="n">
        <v>1</v>
      </c>
      <c r="S152" s="10" t="n">
        <v>12</v>
      </c>
      <c r="T152" s="10" t="n">
        <v>0</v>
      </c>
    </row>
    <row r="153">
      <c r="A153" s="7" t="n">
        <v>159</v>
      </c>
      <c r="B153" s="8" t="inlineStr">
        <is>
          <t>| 159 | 159</t>
        </is>
      </c>
      <c r="C153" s="9" t="n">
        <v>0</v>
      </c>
      <c r="D153" s="9" t="n">
        <v>188</v>
      </c>
      <c r="E153" s="9" t="n">
        <v>0</v>
      </c>
      <c r="F153" s="9" t="n">
        <v>180</v>
      </c>
      <c r="G153" s="9" t="n">
        <v>4</v>
      </c>
      <c r="H153" s="9" t="n">
        <v>2</v>
      </c>
      <c r="I153" s="9" t="n">
        <v>2</v>
      </c>
      <c r="J153" s="9" t="n">
        <v>9</v>
      </c>
      <c r="K153" s="9" t="n">
        <v>3</v>
      </c>
      <c r="L153" s="9" t="n">
        <v>1</v>
      </c>
      <c r="M153" s="9" t="n">
        <v>0</v>
      </c>
      <c r="N153" s="9" t="n">
        <v>5</v>
      </c>
      <c r="O153" s="9" t="n">
        <v>5</v>
      </c>
      <c r="P153" s="10" t="n">
        <v>399</v>
      </c>
      <c r="Q153" s="10" t="n">
        <v>0</v>
      </c>
      <c r="R153" s="10" t="n">
        <v>10</v>
      </c>
      <c r="S153" s="10" t="n">
        <v>409</v>
      </c>
      <c r="T153" s="10" t="n">
        <v>0</v>
      </c>
    </row>
    <row r="154">
      <c r="A154" s="7" t="n">
        <v>160</v>
      </c>
      <c r="B154" s="8" t="inlineStr">
        <is>
          <t>Polling Station 160</t>
        </is>
      </c>
      <c r="C154" s="9" t="n">
        <v>2</v>
      </c>
      <c r="D154" s="9" t="n">
        <v>2</v>
      </c>
      <c r="E154" s="9" t="n">
        <v>3</v>
      </c>
      <c r="F154" s="9" t="n">
        <v>97</v>
      </c>
      <c r="G154" s="9" t="n">
        <v>1</v>
      </c>
      <c r="H154" s="9" t="n">
        <v>0</v>
      </c>
      <c r="I154" s="9" t="n">
        <v>0</v>
      </c>
      <c r="J154" s="9" t="n">
        <v>0</v>
      </c>
      <c r="K154" s="9" t="n">
        <v>2</v>
      </c>
      <c r="L154" s="9" t="n">
        <v>1</v>
      </c>
      <c r="M154" s="9" t="n">
        <v>1</v>
      </c>
      <c r="N154" s="9" t="n">
        <v>0</v>
      </c>
      <c r="O154" s="9" t="n">
        <v>3</v>
      </c>
      <c r="P154" s="10" t="n">
        <v>112</v>
      </c>
      <c r="Q154" s="10" t="n">
        <v>0</v>
      </c>
      <c r="R154" s="10" t="n">
        <v>0</v>
      </c>
      <c r="S154" s="10" t="n">
        <v>112</v>
      </c>
      <c r="T154" s="10" t="n">
        <v>0</v>
      </c>
    </row>
    <row r="155">
      <c r="A155" s="7" t="n">
        <v>161</v>
      </c>
      <c r="B155" s="8" t="inlineStr">
        <is>
          <t>Polling Station 161</t>
        </is>
      </c>
      <c r="C155" s="9" t="n">
        <v>0</v>
      </c>
      <c r="D155" s="9" t="n">
        <v>281</v>
      </c>
      <c r="E155" s="9" t="n">
        <v>0</v>
      </c>
      <c r="F155" s="9" t="n">
        <v>81</v>
      </c>
      <c r="G155" s="9" t="n">
        <v>3</v>
      </c>
      <c r="H155" s="9" t="n">
        <v>2</v>
      </c>
      <c r="I155" s="9" t="n">
        <v>2</v>
      </c>
      <c r="J155" s="9" t="n">
        <v>0</v>
      </c>
      <c r="K155" s="9" t="n">
        <v>7</v>
      </c>
      <c r="L155" s="9" t="n">
        <v>0</v>
      </c>
      <c r="M155" s="9" t="n">
        <v>5</v>
      </c>
      <c r="N155" s="9" t="n">
        <v>4</v>
      </c>
      <c r="O155" s="9" t="n">
        <v>3</v>
      </c>
      <c r="P155" s="10" t="n">
        <v>388</v>
      </c>
      <c r="Q155" s="10" t="n">
        <v>0</v>
      </c>
      <c r="R155" s="10" t="n">
        <v>7</v>
      </c>
      <c r="S155" s="10" t="n">
        <v>395</v>
      </c>
      <c r="T155" s="10" t="n">
        <v>0</v>
      </c>
    </row>
    <row r="156">
      <c r="A156" s="7" t="n">
        <v>162</v>
      </c>
      <c r="B156" s="8" t="inlineStr">
        <is>
          <t>| 162 | 162</t>
        </is>
      </c>
      <c r="C156" s="9" t="n">
        <v>0</v>
      </c>
      <c r="D156" s="9" t="n">
        <v>0</v>
      </c>
      <c r="E156" s="9" t="n">
        <v>0</v>
      </c>
      <c r="F156" s="9" t="n">
        <v>2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10" t="n">
        <v>2</v>
      </c>
      <c r="Q156" s="10" t="n">
        <v>0</v>
      </c>
      <c r="R156" s="10" t="n">
        <v>0</v>
      </c>
      <c r="S156" s="10" t="n">
        <v>2</v>
      </c>
      <c r="T156" s="10" t="n">
        <v>0</v>
      </c>
    </row>
    <row r="157">
      <c r="A157" s="7" t="n">
        <v>163</v>
      </c>
      <c r="B157" s="8" t="inlineStr">
        <is>
          <t>Polling Station 163</t>
        </is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2</v>
      </c>
      <c r="O157" s="9" t="n">
        <v>0</v>
      </c>
      <c r="P157" s="10" t="n">
        <v>2</v>
      </c>
      <c r="Q157" s="10" t="n">
        <v>0</v>
      </c>
      <c r="R157" s="10" t="n">
        <v>0</v>
      </c>
      <c r="S157" s="10" t="n">
        <v>2</v>
      </c>
      <c r="T157" s="10" t="n">
        <v>0</v>
      </c>
    </row>
    <row r="158">
      <c r="A158" s="7" t="n">
        <v>164</v>
      </c>
      <c r="B158" s="8" t="inlineStr">
        <is>
          <t>Polling Station 164</t>
        </is>
      </c>
      <c r="C158" s="9" t="n">
        <v>0</v>
      </c>
      <c r="D158" s="9" t="n">
        <v>45</v>
      </c>
      <c r="E158" s="9" t="n">
        <v>1</v>
      </c>
      <c r="F158" s="9" t="n">
        <v>8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10" t="n">
        <v>54</v>
      </c>
      <c r="Q158" s="10" t="n">
        <v>0</v>
      </c>
      <c r="R158" s="10" t="n">
        <v>1</v>
      </c>
      <c r="S158" s="10" t="n">
        <v>55</v>
      </c>
      <c r="T158" s="10" t="n">
        <v>0</v>
      </c>
    </row>
    <row r="159">
      <c r="A159" s="7" t="n">
        <v>165</v>
      </c>
      <c r="B159" s="8" t="inlineStr">
        <is>
          <t>Polling Station 165</t>
        </is>
      </c>
      <c r="C159" s="9" t="n">
        <v>0</v>
      </c>
      <c r="D159" s="9" t="n">
        <v>0</v>
      </c>
      <c r="E159" s="9" t="n">
        <v>0</v>
      </c>
      <c r="F159" s="9" t="n">
        <v>6</v>
      </c>
      <c r="G159" s="9" t="n">
        <v>7</v>
      </c>
      <c r="H159" s="9" t="n">
        <v>8</v>
      </c>
      <c r="I159" s="9" t="n">
        <v>9</v>
      </c>
      <c r="J159" s="9" t="n">
        <v>10</v>
      </c>
      <c r="K159" s="9" t="n">
        <v>0</v>
      </c>
      <c r="L159" s="9" t="n">
        <v>12</v>
      </c>
      <c r="M159" s="9" t="n">
        <v>13</v>
      </c>
      <c r="N159" s="9" t="n">
        <v>14</v>
      </c>
      <c r="O159" s="9" t="n">
        <v>1</v>
      </c>
      <c r="P159" s="10" t="n">
        <v>80</v>
      </c>
      <c r="Q159" s="10" t="n">
        <v>0</v>
      </c>
      <c r="R159" s="10" t="n">
        <v>0</v>
      </c>
      <c r="S159" s="10" t="n">
        <v>80</v>
      </c>
      <c r="T159" s="10" t="n">
        <v>0</v>
      </c>
    </row>
    <row r="160">
      <c r="A160" s="7" t="n">
        <v>166</v>
      </c>
      <c r="B160" s="8" t="inlineStr">
        <is>
          <t>Polling Station 166</t>
        </is>
      </c>
      <c r="C160" s="9" t="n">
        <v>0</v>
      </c>
      <c r="D160" s="9" t="n">
        <v>0</v>
      </c>
      <c r="E160" s="9" t="n">
        <v>16</v>
      </c>
      <c r="F160" s="9" t="n">
        <v>95</v>
      </c>
      <c r="G160" s="9" t="n">
        <v>0</v>
      </c>
      <c r="H160" s="9" t="n">
        <v>0</v>
      </c>
      <c r="I160" s="9" t="n">
        <v>1</v>
      </c>
      <c r="J160" s="9" t="n">
        <v>1</v>
      </c>
      <c r="K160" s="9" t="n">
        <v>2</v>
      </c>
      <c r="L160" s="9" t="n">
        <v>2</v>
      </c>
      <c r="M160" s="9" t="n">
        <v>6</v>
      </c>
      <c r="N160" s="9" t="n">
        <v>0</v>
      </c>
      <c r="O160" s="9" t="n">
        <v>2</v>
      </c>
      <c r="P160" s="10" t="n">
        <v>125</v>
      </c>
      <c r="Q160" s="10" t="n">
        <v>0</v>
      </c>
      <c r="R160" s="10" t="n">
        <v>1</v>
      </c>
      <c r="S160" s="10" t="n">
        <v>126</v>
      </c>
      <c r="T160" s="10" t="n">
        <v>0</v>
      </c>
    </row>
    <row r="161">
      <c r="A161" s="7" t="n">
        <v>167</v>
      </c>
      <c r="B161" s="8" t="inlineStr">
        <is>
          <t>Polling Station 167</t>
        </is>
      </c>
      <c r="C161" s="9" t="n">
        <v>7</v>
      </c>
      <c r="D161" s="9" t="n">
        <v>319</v>
      </c>
      <c r="E161" s="9" t="n">
        <v>13</v>
      </c>
      <c r="F161" s="9" t="n">
        <v>215</v>
      </c>
      <c r="G161" s="9" t="n">
        <v>5</v>
      </c>
      <c r="H161" s="9" t="n">
        <v>1</v>
      </c>
      <c r="I161" s="9" t="n">
        <v>1</v>
      </c>
      <c r="J161" s="9" t="n">
        <v>1</v>
      </c>
      <c r="K161" s="9" t="n">
        <v>0</v>
      </c>
      <c r="L161" s="9" t="n">
        <v>2</v>
      </c>
      <c r="M161" s="9" t="n">
        <v>5</v>
      </c>
      <c r="N161" s="9" t="n">
        <v>0</v>
      </c>
      <c r="O161" s="9" t="n">
        <v>0</v>
      </c>
      <c r="P161" s="10" t="n">
        <v>569</v>
      </c>
      <c r="Q161" s="10" t="n">
        <v>0</v>
      </c>
      <c r="R161" s="10" t="n">
        <v>0</v>
      </c>
      <c r="S161" s="10" t="n">
        <v>569</v>
      </c>
      <c r="T161" s="10" t="n">
        <v>0</v>
      </c>
    </row>
    <row r="162">
      <c r="A162" s="7" t="n">
        <v>168</v>
      </c>
      <c r="B162" s="8" t="inlineStr">
        <is>
          <t>Polling Station 168</t>
        </is>
      </c>
      <c r="C162" s="9" t="n">
        <v>6</v>
      </c>
      <c r="D162" s="9" t="n">
        <v>262</v>
      </c>
      <c r="E162" s="9" t="n">
        <v>7</v>
      </c>
      <c r="F162" s="9" t="n">
        <v>196</v>
      </c>
      <c r="G162" s="9" t="n">
        <v>6</v>
      </c>
      <c r="H162" s="9" t="n">
        <v>2</v>
      </c>
      <c r="I162" s="9" t="n">
        <v>0</v>
      </c>
      <c r="J162" s="9" t="n">
        <v>1</v>
      </c>
      <c r="K162" s="9" t="n">
        <v>0</v>
      </c>
      <c r="L162" s="9" t="n">
        <v>3</v>
      </c>
      <c r="M162" s="9" t="n">
        <v>3</v>
      </c>
      <c r="N162" s="9" t="n">
        <v>0</v>
      </c>
      <c r="O162" s="9" t="n">
        <v>7</v>
      </c>
      <c r="P162" s="10" t="n">
        <v>493</v>
      </c>
      <c r="Q162" s="10" t="n">
        <v>0</v>
      </c>
      <c r="R162" s="10" t="n">
        <v>9</v>
      </c>
      <c r="S162" s="10" t="n">
        <v>502</v>
      </c>
      <c r="T162" s="10" t="n">
        <v>0</v>
      </c>
    </row>
    <row r="163">
      <c r="A163" s="7" t="n">
        <v>169</v>
      </c>
      <c r="B163" s="8" t="inlineStr">
        <is>
          <t>Polling Station 169</t>
        </is>
      </c>
      <c r="C163" s="9" t="n">
        <v>55</v>
      </c>
      <c r="D163" s="9" t="n">
        <v>517</v>
      </c>
      <c r="E163" s="9" t="n">
        <v>8</v>
      </c>
      <c r="F163" s="9" t="n">
        <v>236</v>
      </c>
      <c r="G163" s="9" t="n">
        <v>5</v>
      </c>
      <c r="H163" s="9" t="n">
        <v>2</v>
      </c>
      <c r="I163" s="9" t="n">
        <v>0</v>
      </c>
      <c r="J163" s="9" t="n">
        <v>1</v>
      </c>
      <c r="K163" s="9" t="n">
        <v>7</v>
      </c>
      <c r="L163" s="9" t="n">
        <v>4</v>
      </c>
      <c r="M163" s="9" t="n">
        <v>6</v>
      </c>
      <c r="N163" s="9" t="n">
        <v>0</v>
      </c>
      <c r="O163" s="9" t="n">
        <v>7</v>
      </c>
      <c r="P163" s="10" t="n">
        <v>848</v>
      </c>
      <c r="Q163" s="10" t="n">
        <v>0</v>
      </c>
      <c r="R163" s="10" t="n">
        <v>0</v>
      </c>
      <c r="S163" s="10" t="n">
        <v>848</v>
      </c>
      <c r="T163" s="10" t="n">
        <v>0</v>
      </c>
    </row>
    <row r="164">
      <c r="A164" s="7" t="n">
        <v>170</v>
      </c>
      <c r="B164" s="8" t="inlineStr">
        <is>
          <t>Polling Station 170</t>
        </is>
      </c>
      <c r="C164" s="9" t="n">
        <v>0</v>
      </c>
      <c r="D164" s="9" t="n">
        <v>410</v>
      </c>
      <c r="E164" s="9" t="n">
        <v>4</v>
      </c>
      <c r="F164" s="9" t="n">
        <v>141</v>
      </c>
      <c r="G164" s="9" t="n">
        <v>1</v>
      </c>
      <c r="H164" s="9" t="n">
        <v>1</v>
      </c>
      <c r="I164" s="9" t="n">
        <v>0</v>
      </c>
      <c r="J164" s="9" t="n">
        <v>1</v>
      </c>
      <c r="K164" s="9" t="n">
        <v>0</v>
      </c>
      <c r="L164" s="9" t="n">
        <v>0</v>
      </c>
      <c r="M164" s="9" t="n">
        <v>2</v>
      </c>
      <c r="N164" s="9" t="n">
        <v>1</v>
      </c>
      <c r="O164" s="9" t="n">
        <v>4</v>
      </c>
      <c r="P164" s="10" t="n">
        <v>565</v>
      </c>
      <c r="Q164" s="10" t="n">
        <v>0</v>
      </c>
      <c r="R164" s="10" t="n">
        <v>1</v>
      </c>
      <c r="S164" s="10" t="n">
        <v>566</v>
      </c>
      <c r="T164" s="10" t="n">
        <v>0</v>
      </c>
    </row>
    <row r="165">
      <c r="A165" s="7" t="n">
        <v>171</v>
      </c>
      <c r="B165" s="8" t="inlineStr">
        <is>
          <t>a1
a4</t>
        </is>
      </c>
      <c r="C165" s="9" t="n">
        <v>3</v>
      </c>
      <c r="D165" s="9" t="n">
        <v>1</v>
      </c>
      <c r="E165" s="9" t="n">
        <v>0</v>
      </c>
      <c r="F165" s="9" t="n">
        <v>105</v>
      </c>
      <c r="G165" s="9" t="n">
        <v>2</v>
      </c>
      <c r="H165" s="9" t="n">
        <v>5</v>
      </c>
      <c r="I165" s="9" t="n">
        <v>2</v>
      </c>
      <c r="J165" s="9" t="n">
        <v>3</v>
      </c>
      <c r="K165" s="9" t="n">
        <v>2</v>
      </c>
      <c r="L165" s="9" t="n">
        <v>3</v>
      </c>
      <c r="M165" s="9" t="n">
        <v>12</v>
      </c>
      <c r="N165" s="9" t="n">
        <v>3</v>
      </c>
      <c r="O165" s="9" t="n">
        <v>17</v>
      </c>
      <c r="P165" s="10" t="n">
        <v>158</v>
      </c>
      <c r="Q165" s="10" t="n">
        <v>0</v>
      </c>
      <c r="R165" s="10" t="n">
        <v>12</v>
      </c>
      <c r="S165" s="10" t="n">
        <v>170</v>
      </c>
      <c r="T165" s="10" t="n">
        <v>0</v>
      </c>
    </row>
    <row r="166">
      <c r="A166" s="7" t="n">
        <v>172</v>
      </c>
      <c r="B166" s="8" t="inlineStr">
        <is>
          <t>Polling Station 172</t>
        </is>
      </c>
      <c r="C166" s="9" t="n">
        <v>2</v>
      </c>
      <c r="D166" s="9" t="n">
        <v>324</v>
      </c>
      <c r="E166" s="9" t="n">
        <v>0</v>
      </c>
      <c r="F166" s="9" t="n">
        <v>185</v>
      </c>
      <c r="G166" s="9" t="n">
        <v>1</v>
      </c>
      <c r="H166" s="9" t="n">
        <v>0</v>
      </c>
      <c r="I166" s="9" t="n">
        <v>0</v>
      </c>
      <c r="J166" s="9" t="n">
        <v>0</v>
      </c>
      <c r="K166" s="9" t="n">
        <v>1</v>
      </c>
      <c r="L166" s="9" t="n">
        <v>0</v>
      </c>
      <c r="M166" s="9" t="n">
        <v>0</v>
      </c>
      <c r="N166" s="9" t="n">
        <v>2</v>
      </c>
      <c r="O166" s="9" t="n">
        <v>1</v>
      </c>
      <c r="P166" s="10" t="n">
        <v>516</v>
      </c>
      <c r="Q166" s="10" t="n">
        <v>0</v>
      </c>
      <c r="R166" s="10" t="n">
        <v>10</v>
      </c>
      <c r="S166" s="10" t="n">
        <v>526</v>
      </c>
      <c r="T166" s="10" t="n">
        <v>0</v>
      </c>
    </row>
    <row r="167">
      <c r="A167" s="7" t="n">
        <v>173</v>
      </c>
      <c r="B167" s="8" t="inlineStr">
        <is>
          <t>Polling Station 173</t>
        </is>
      </c>
      <c r="C167" s="9" t="n">
        <v>2</v>
      </c>
      <c r="D167" s="9" t="n">
        <v>340</v>
      </c>
      <c r="E167" s="9" t="n">
        <v>41</v>
      </c>
      <c r="F167" s="9" t="n">
        <v>193</v>
      </c>
      <c r="G167" s="9" t="n">
        <v>5</v>
      </c>
      <c r="H167" s="9" t="n">
        <v>6</v>
      </c>
      <c r="I167" s="9" t="n">
        <v>3</v>
      </c>
      <c r="J167" s="9" t="n">
        <v>3</v>
      </c>
      <c r="K167" s="9" t="n">
        <v>5</v>
      </c>
      <c r="L167" s="9" t="n">
        <v>7</v>
      </c>
      <c r="M167" s="9" t="n">
        <v>4</v>
      </c>
      <c r="N167" s="9" t="n">
        <v>5</v>
      </c>
      <c r="O167" s="9" t="n">
        <v>8</v>
      </c>
      <c r="P167" s="10" t="n">
        <v>622</v>
      </c>
      <c r="Q167" s="10" t="n">
        <v>0</v>
      </c>
      <c r="R167" s="10" t="n">
        <v>1</v>
      </c>
      <c r="S167" s="10" t="n">
        <v>623</v>
      </c>
      <c r="T167" s="10" t="n">
        <v>0</v>
      </c>
    </row>
    <row r="168">
      <c r="A168" s="7" t="n">
        <v>174</v>
      </c>
      <c r="B168" s="8" t="inlineStr">
        <is>
          <t>Polling Station 174</t>
        </is>
      </c>
      <c r="C168" s="9" t="n">
        <v>0</v>
      </c>
      <c r="D168" s="9" t="n">
        <v>3</v>
      </c>
      <c r="E168" s="9" t="n">
        <v>8</v>
      </c>
      <c r="F168" s="9" t="n">
        <v>148</v>
      </c>
      <c r="G168" s="9" t="n">
        <v>1</v>
      </c>
      <c r="H168" s="9" t="n">
        <v>2</v>
      </c>
      <c r="I168" s="9" t="n">
        <v>0</v>
      </c>
      <c r="J168" s="9" t="n">
        <v>0</v>
      </c>
      <c r="K168" s="9" t="n">
        <v>4</v>
      </c>
      <c r="L168" s="9" t="n">
        <v>0</v>
      </c>
      <c r="M168" s="9" t="n">
        <v>4</v>
      </c>
      <c r="N168" s="9" t="n">
        <v>0</v>
      </c>
      <c r="O168" s="9" t="n">
        <v>6</v>
      </c>
      <c r="P168" s="10" t="n">
        <v>176</v>
      </c>
      <c r="Q168" s="10" t="n">
        <v>0</v>
      </c>
      <c r="R168" s="10" t="n">
        <v>12</v>
      </c>
      <c r="S168" s="10" t="n">
        <v>188</v>
      </c>
      <c r="T168" s="10" t="n">
        <v>0</v>
      </c>
    </row>
    <row r="169">
      <c r="A169" s="7" t="n">
        <v>175</v>
      </c>
      <c r="B169" s="8" t="inlineStr">
        <is>
          <t>Polling Station 175</t>
        </is>
      </c>
      <c r="C169" s="9" t="n">
        <v>0</v>
      </c>
      <c r="D169" s="9" t="n">
        <v>473</v>
      </c>
      <c r="E169" s="9" t="n">
        <v>4</v>
      </c>
      <c r="F169" s="9" t="n">
        <v>165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2</v>
      </c>
      <c r="L169" s="9" t="n">
        <v>1</v>
      </c>
      <c r="M169" s="9" t="n">
        <v>4</v>
      </c>
      <c r="N169" s="9" t="n">
        <v>3</v>
      </c>
      <c r="O169" s="9" t="n">
        <v>5</v>
      </c>
      <c r="P169" s="10" t="n">
        <v>657</v>
      </c>
      <c r="Q169" s="10" t="n">
        <v>0</v>
      </c>
      <c r="R169" s="10" t="n">
        <v>9</v>
      </c>
      <c r="S169" s="10" t="n">
        <v>666</v>
      </c>
      <c r="T169" s="10" t="n">
        <v>0</v>
      </c>
    </row>
    <row r="170">
      <c r="A170" s="7" t="n">
        <v>176</v>
      </c>
      <c r="B170" s="8" t="inlineStr">
        <is>
          <t>Polling Station 176</t>
        </is>
      </c>
      <c r="C170" s="9" t="n">
        <v>5</v>
      </c>
      <c r="D170" s="9" t="n">
        <v>609</v>
      </c>
      <c r="E170" s="9" t="n">
        <v>0</v>
      </c>
      <c r="F170" s="9" t="n">
        <v>148</v>
      </c>
      <c r="G170" s="9" t="n">
        <v>2</v>
      </c>
      <c r="H170" s="9" t="n">
        <v>2</v>
      </c>
      <c r="I170" s="9" t="n">
        <v>1</v>
      </c>
      <c r="J170" s="9" t="n">
        <v>0</v>
      </c>
      <c r="K170" s="9" t="n">
        <v>1</v>
      </c>
      <c r="L170" s="9" t="n">
        <v>2</v>
      </c>
      <c r="M170" s="9" t="n">
        <v>0</v>
      </c>
      <c r="N170" s="9" t="n">
        <v>0</v>
      </c>
      <c r="O170" s="9" t="n">
        <v>1</v>
      </c>
      <c r="P170" s="10" t="n">
        <v>771</v>
      </c>
      <c r="Q170" s="10" t="n">
        <v>0</v>
      </c>
      <c r="R170" s="10" t="n">
        <v>0</v>
      </c>
      <c r="S170" s="10" t="n">
        <v>771</v>
      </c>
      <c r="T170" s="10" t="n">
        <v>0</v>
      </c>
    </row>
    <row r="171">
      <c r="A171" s="7" t="n">
        <v>177</v>
      </c>
      <c r="B171" s="8" t="inlineStr">
        <is>
          <t>WT</t>
        </is>
      </c>
      <c r="C171" s="9" t="n">
        <v>4</v>
      </c>
      <c r="D171" s="9" t="n">
        <v>481</v>
      </c>
      <c r="E171" s="9" t="n">
        <v>0</v>
      </c>
      <c r="F171" s="9" t="n">
        <v>0</v>
      </c>
      <c r="G171" s="9" t="n">
        <v>0</v>
      </c>
      <c r="H171" s="9" t="n">
        <v>1</v>
      </c>
      <c r="I171" s="9" t="n">
        <v>4</v>
      </c>
      <c r="J171" s="9" t="n">
        <v>0</v>
      </c>
      <c r="K171" s="9" t="n">
        <v>0</v>
      </c>
      <c r="L171" s="9" t="n">
        <v>0</v>
      </c>
      <c r="M171" s="9" t="n">
        <v>1</v>
      </c>
      <c r="N171" s="9" t="n">
        <v>0</v>
      </c>
      <c r="O171" s="9" t="n">
        <v>3</v>
      </c>
      <c r="P171" s="10" t="n">
        <v>494</v>
      </c>
      <c r="Q171" s="10" t="n">
        <v>0</v>
      </c>
      <c r="R171" s="10" t="n">
        <v>4</v>
      </c>
      <c r="S171" s="10" t="n">
        <v>498</v>
      </c>
      <c r="T171" s="10" t="n">
        <v>0</v>
      </c>
    </row>
    <row r="172">
      <c r="A172" s="7" t="n">
        <v>178</v>
      </c>
      <c r="B172" s="8" t="inlineStr">
        <is>
          <t>Polling Station 178</t>
        </is>
      </c>
      <c r="C172" s="9" t="n">
        <v>13</v>
      </c>
      <c r="D172" s="9" t="n">
        <v>0</v>
      </c>
      <c r="E172" s="9" t="n">
        <v>0</v>
      </c>
      <c r="F172" s="9" t="n">
        <v>128</v>
      </c>
      <c r="G172" s="9" t="n">
        <v>2</v>
      </c>
      <c r="H172" s="9" t="n">
        <v>2</v>
      </c>
      <c r="I172" s="9" t="n">
        <v>1</v>
      </c>
      <c r="J172" s="9" t="n">
        <v>3</v>
      </c>
      <c r="K172" s="9" t="n">
        <v>2</v>
      </c>
      <c r="L172" s="9" t="n">
        <v>2</v>
      </c>
      <c r="M172" s="9" t="n">
        <v>2</v>
      </c>
      <c r="N172" s="9" t="n">
        <v>3</v>
      </c>
      <c r="O172" s="9" t="n">
        <v>1</v>
      </c>
      <c r="P172" s="10" t="n">
        <v>159</v>
      </c>
      <c r="Q172" s="10" t="n">
        <v>0</v>
      </c>
      <c r="R172" s="10" t="n">
        <v>0</v>
      </c>
      <c r="S172" s="10" t="n">
        <v>159</v>
      </c>
      <c r="T172" s="10" t="n">
        <v>0</v>
      </c>
    </row>
    <row r="173">
      <c r="A173" s="7" t="n">
        <v>179</v>
      </c>
      <c r="B173" s="8" t="inlineStr">
        <is>
          <t>Polling Station 179</t>
        </is>
      </c>
      <c r="C173" s="9" t="n">
        <v>10</v>
      </c>
      <c r="D173" s="9" t="n">
        <v>519</v>
      </c>
      <c r="E173" s="9" t="n">
        <v>0</v>
      </c>
      <c r="F173" s="9" t="n">
        <v>9</v>
      </c>
      <c r="G173" s="9" t="n">
        <v>0</v>
      </c>
      <c r="H173" s="9" t="n">
        <v>2</v>
      </c>
      <c r="I173" s="9" t="n">
        <v>1</v>
      </c>
      <c r="J173" s="9" t="n">
        <v>1</v>
      </c>
      <c r="K173" s="9" t="n">
        <v>1</v>
      </c>
      <c r="L173" s="9" t="n">
        <v>4</v>
      </c>
      <c r="M173" s="9" t="n">
        <v>2</v>
      </c>
      <c r="N173" s="9" t="n">
        <v>1</v>
      </c>
      <c r="O173" s="9" t="n">
        <v>2</v>
      </c>
      <c r="P173" s="10" t="n">
        <v>552</v>
      </c>
      <c r="Q173" s="10" t="n">
        <v>0</v>
      </c>
      <c r="R173" s="10" t="n">
        <v>7</v>
      </c>
      <c r="S173" s="10" t="n">
        <v>559</v>
      </c>
      <c r="T173" s="10" t="n">
        <v>0</v>
      </c>
    </row>
    <row r="174">
      <c r="A174" s="7" t="n">
        <v>180</v>
      </c>
      <c r="B174" s="8" t="inlineStr">
        <is>
          <t>Polling Station 180</t>
        </is>
      </c>
      <c r="C174" s="9" t="n">
        <v>12</v>
      </c>
      <c r="D174" s="9" t="n">
        <v>0</v>
      </c>
      <c r="E174" s="9" t="n">
        <v>0</v>
      </c>
      <c r="F174" s="9" t="n">
        <v>138</v>
      </c>
      <c r="G174" s="9" t="n">
        <v>2</v>
      </c>
      <c r="H174" s="9" t="n">
        <v>2</v>
      </c>
      <c r="I174" s="9" t="n">
        <v>1</v>
      </c>
      <c r="J174" s="9" t="n">
        <v>0</v>
      </c>
      <c r="K174" s="9" t="n">
        <v>6</v>
      </c>
      <c r="L174" s="9" t="n">
        <v>3</v>
      </c>
      <c r="M174" s="9" t="n">
        <v>4</v>
      </c>
      <c r="N174" s="9" t="n">
        <v>1</v>
      </c>
      <c r="O174" s="9" t="n">
        <v>12</v>
      </c>
      <c r="P174" s="10" t="n">
        <v>181</v>
      </c>
      <c r="Q174" s="10" t="n">
        <v>0</v>
      </c>
      <c r="R174" s="10" t="n">
        <v>12</v>
      </c>
      <c r="S174" s="10" t="n">
        <v>193</v>
      </c>
      <c r="T174" s="10" t="n">
        <v>0</v>
      </c>
    </row>
    <row r="175">
      <c r="A175" s="7" t="n">
        <v>181</v>
      </c>
      <c r="B175" s="8" t="inlineStr">
        <is>
          <t>Polling Station 181</t>
        </is>
      </c>
      <c r="C175" s="9" t="n">
        <v>25</v>
      </c>
      <c r="D175" s="9" t="n">
        <v>710</v>
      </c>
      <c r="E175" s="9" t="n">
        <v>0</v>
      </c>
      <c r="F175" s="9" t="n">
        <v>170</v>
      </c>
      <c r="G175" s="9" t="n">
        <v>2</v>
      </c>
      <c r="H175" s="9" t="n">
        <v>4</v>
      </c>
      <c r="I175" s="9" t="n">
        <v>2</v>
      </c>
      <c r="J175" s="9" t="n">
        <v>0</v>
      </c>
      <c r="K175" s="9" t="n">
        <v>5</v>
      </c>
      <c r="L175" s="9" t="n">
        <v>3</v>
      </c>
      <c r="M175" s="9" t="n">
        <v>0</v>
      </c>
      <c r="N175" s="9" t="n">
        <v>2</v>
      </c>
      <c r="O175" s="9" t="n">
        <v>0</v>
      </c>
      <c r="P175" s="10" t="n">
        <v>923</v>
      </c>
      <c r="Q175" s="10" t="n">
        <v>0</v>
      </c>
      <c r="R175" s="10" t="n">
        <v>8</v>
      </c>
      <c r="S175" s="10" t="n">
        <v>931</v>
      </c>
      <c r="T175" s="10" t="n">
        <v>0</v>
      </c>
    </row>
    <row r="176">
      <c r="A176" s="7" t="n">
        <v>182</v>
      </c>
      <c r="B176" s="8" t="inlineStr">
        <is>
          <t>Polling Station 182</t>
        </is>
      </c>
      <c r="C176" s="9" t="n">
        <v>0</v>
      </c>
      <c r="D176" s="9" t="n">
        <v>531</v>
      </c>
      <c r="E176" s="9" t="n">
        <v>2</v>
      </c>
      <c r="F176" s="9" t="n">
        <v>138</v>
      </c>
      <c r="G176" s="9" t="n">
        <v>0</v>
      </c>
      <c r="H176" s="9" t="n">
        <v>8</v>
      </c>
      <c r="I176" s="9" t="n">
        <v>3</v>
      </c>
      <c r="J176" s="9" t="n">
        <v>0</v>
      </c>
      <c r="K176" s="9" t="n">
        <v>2</v>
      </c>
      <c r="L176" s="9" t="n">
        <v>0</v>
      </c>
      <c r="M176" s="9" t="n">
        <v>3</v>
      </c>
      <c r="N176" s="9" t="n">
        <v>1</v>
      </c>
      <c r="O176" s="9" t="n">
        <v>5</v>
      </c>
      <c r="P176" s="10" t="n">
        <v>693</v>
      </c>
      <c r="Q176" s="10" t="n">
        <v>0</v>
      </c>
      <c r="R176" s="10" t="n">
        <v>5</v>
      </c>
      <c r="S176" s="10" t="n">
        <v>698</v>
      </c>
      <c r="T176" s="10" t="n">
        <v>0</v>
      </c>
    </row>
    <row r="177">
      <c r="A177" s="7" t="n">
        <v>183</v>
      </c>
      <c r="B177" s="8" t="inlineStr">
        <is>
          <t>Polling Station 183</t>
        </is>
      </c>
      <c r="C177" s="9" t="n">
        <v>0</v>
      </c>
      <c r="D177" s="9" t="n">
        <v>385</v>
      </c>
      <c r="E177" s="9" t="n">
        <v>2</v>
      </c>
      <c r="F177" s="9" t="n">
        <v>1</v>
      </c>
      <c r="G177" s="9" t="n">
        <v>3</v>
      </c>
      <c r="H177" s="9" t="n">
        <v>6</v>
      </c>
      <c r="I177" s="9" t="n">
        <v>0</v>
      </c>
      <c r="J177" s="9" t="n">
        <v>0</v>
      </c>
      <c r="K177" s="9" t="n">
        <v>1</v>
      </c>
      <c r="L177" s="9" t="n">
        <v>0</v>
      </c>
      <c r="M177" s="9" t="n">
        <v>0</v>
      </c>
      <c r="N177" s="9" t="n">
        <v>0</v>
      </c>
      <c r="O177" s="9" t="n">
        <v>3</v>
      </c>
      <c r="P177" s="10" t="n">
        <v>401</v>
      </c>
      <c r="Q177" s="10" t="n">
        <v>0</v>
      </c>
      <c r="R177" s="10" t="n">
        <v>3</v>
      </c>
      <c r="S177" s="10" t="n">
        <v>404</v>
      </c>
      <c r="T177" s="10" t="n">
        <v>0</v>
      </c>
    </row>
    <row r="178">
      <c r="A178" s="7" t="n">
        <v>184</v>
      </c>
      <c r="B178" s="8" t="inlineStr">
        <is>
          <t>Polling Station 184</t>
        </is>
      </c>
      <c r="C178" s="9" t="n">
        <v>12</v>
      </c>
      <c r="D178" s="9" t="n">
        <v>0</v>
      </c>
      <c r="E178" s="9" t="n">
        <v>0</v>
      </c>
      <c r="F178" s="9" t="n">
        <v>10</v>
      </c>
      <c r="G178" s="9" t="n">
        <v>2</v>
      </c>
      <c r="H178" s="9" t="n">
        <v>0</v>
      </c>
      <c r="I178" s="9" t="n">
        <v>1</v>
      </c>
      <c r="J178" s="9" t="n">
        <v>1</v>
      </c>
      <c r="K178" s="9" t="n">
        <v>7</v>
      </c>
      <c r="L178" s="9" t="n">
        <v>5</v>
      </c>
      <c r="M178" s="9" t="n">
        <v>3</v>
      </c>
      <c r="N178" s="9" t="n">
        <v>1</v>
      </c>
      <c r="O178" s="9" t="n">
        <v>4</v>
      </c>
      <c r="P178" s="10" t="n">
        <v>46</v>
      </c>
      <c r="Q178" s="10" t="n">
        <v>0</v>
      </c>
      <c r="R178" s="10" t="n">
        <v>6</v>
      </c>
      <c r="S178" s="10" t="n">
        <v>52</v>
      </c>
      <c r="T178" s="10" t="n">
        <v>0</v>
      </c>
    </row>
    <row r="179">
      <c r="A179" s="7" t="n">
        <v>185</v>
      </c>
      <c r="B179" s="8" t="inlineStr">
        <is>
          <t>Polling Station 185</t>
        </is>
      </c>
      <c r="C179" s="9" t="n">
        <v>12</v>
      </c>
      <c r="D179" s="9" t="n">
        <v>0</v>
      </c>
      <c r="E179" s="9" t="n">
        <v>3</v>
      </c>
      <c r="F179" s="9" t="n">
        <v>40</v>
      </c>
      <c r="G179" s="9" t="n">
        <v>2</v>
      </c>
      <c r="H179" s="9" t="n">
        <v>1</v>
      </c>
      <c r="I179" s="9" t="n">
        <v>1</v>
      </c>
      <c r="J179" s="9" t="n">
        <v>3</v>
      </c>
      <c r="K179" s="9" t="n">
        <v>5</v>
      </c>
      <c r="L179" s="9" t="n">
        <v>0</v>
      </c>
      <c r="M179" s="9" t="n">
        <v>9</v>
      </c>
      <c r="N179" s="9" t="n">
        <v>3</v>
      </c>
      <c r="O179" s="9" t="n">
        <v>2</v>
      </c>
      <c r="P179" s="10" t="n">
        <v>81</v>
      </c>
      <c r="Q179" s="10" t="n">
        <v>0</v>
      </c>
      <c r="R179" s="10" t="n">
        <v>19</v>
      </c>
      <c r="S179" s="10" t="n">
        <v>100</v>
      </c>
      <c r="T179" s="10" t="n">
        <v>0</v>
      </c>
    </row>
    <row r="180">
      <c r="A180" s="7" t="n">
        <v>186</v>
      </c>
      <c r="B180" s="8" t="inlineStr">
        <is>
          <t>Polling Station 186</t>
        </is>
      </c>
      <c r="C180" s="9" t="n">
        <v>2</v>
      </c>
      <c r="D180" s="9" t="n">
        <v>497</v>
      </c>
      <c r="E180" s="9" t="n">
        <v>12</v>
      </c>
      <c r="F180" s="9" t="n">
        <v>17</v>
      </c>
      <c r="G180" s="9" t="n">
        <v>0</v>
      </c>
      <c r="H180" s="9" t="n">
        <v>3</v>
      </c>
      <c r="I180" s="9" t="n">
        <v>0</v>
      </c>
      <c r="J180" s="9" t="n">
        <v>1</v>
      </c>
      <c r="K180" s="9" t="n">
        <v>6</v>
      </c>
      <c r="L180" s="9" t="n">
        <v>0</v>
      </c>
      <c r="M180" s="9" t="n">
        <v>0</v>
      </c>
      <c r="N180" s="9" t="n">
        <v>4</v>
      </c>
      <c r="O180" s="9" t="n">
        <v>5</v>
      </c>
      <c r="P180" s="10" t="n">
        <v>547</v>
      </c>
      <c r="Q180" s="10" t="n">
        <v>0</v>
      </c>
      <c r="R180" s="10" t="n">
        <v>9</v>
      </c>
      <c r="S180" s="10" t="n">
        <v>556</v>
      </c>
      <c r="T180" s="10" t="n">
        <v>0</v>
      </c>
    </row>
    <row r="181">
      <c r="A181" s="7" t="n">
        <v>187</v>
      </c>
      <c r="B181" s="8" t="inlineStr">
        <is>
          <t>Polling Station 187</t>
        </is>
      </c>
      <c r="C181" s="9" t="n">
        <v>16</v>
      </c>
      <c r="D181" s="9" t="n">
        <v>0</v>
      </c>
      <c r="E181" s="9" t="n">
        <v>1</v>
      </c>
      <c r="F181" s="9" t="n">
        <v>105</v>
      </c>
      <c r="G181" s="9" t="n">
        <v>1</v>
      </c>
      <c r="H181" s="9" t="n">
        <v>4</v>
      </c>
      <c r="I181" s="9" t="n">
        <v>0</v>
      </c>
      <c r="J181" s="9" t="n">
        <v>1</v>
      </c>
      <c r="K181" s="9" t="n">
        <v>4</v>
      </c>
      <c r="L181" s="9" t="n">
        <v>4</v>
      </c>
      <c r="M181" s="9" t="n">
        <v>2</v>
      </c>
      <c r="N181" s="9" t="n">
        <v>2</v>
      </c>
      <c r="O181" s="9" t="n">
        <v>0</v>
      </c>
      <c r="P181" s="10" t="n">
        <v>140</v>
      </c>
      <c r="Q181" s="10" t="n">
        <v>0</v>
      </c>
      <c r="R181" s="10" t="n">
        <v>2</v>
      </c>
      <c r="S181" s="10" t="n">
        <v>142</v>
      </c>
      <c r="T181" s="10" t="n">
        <v>0</v>
      </c>
    </row>
    <row r="182">
      <c r="A182" s="7" t="n">
        <v>188</v>
      </c>
      <c r="B182" s="8" t="inlineStr">
        <is>
          <t>Polling Station 188</t>
        </is>
      </c>
      <c r="C182" s="9" t="n">
        <v>3</v>
      </c>
      <c r="D182" s="9" t="n">
        <v>4</v>
      </c>
      <c r="E182" s="9" t="n">
        <v>5</v>
      </c>
      <c r="F182" s="9" t="n">
        <v>6</v>
      </c>
      <c r="G182" s="9" t="n">
        <v>7</v>
      </c>
      <c r="H182" s="9" t="n">
        <v>8</v>
      </c>
      <c r="I182" s="9" t="n">
        <v>9</v>
      </c>
      <c r="J182" s="9" t="n">
        <v>10</v>
      </c>
      <c r="K182" s="9" t="n">
        <v>0</v>
      </c>
      <c r="L182" s="9" t="n">
        <v>2</v>
      </c>
      <c r="M182" s="9" t="n">
        <v>0</v>
      </c>
      <c r="N182" s="9" t="n">
        <v>7</v>
      </c>
      <c r="O182" s="9" t="n">
        <v>0</v>
      </c>
      <c r="P182" s="10" t="n">
        <v>61</v>
      </c>
      <c r="Q182" s="10" t="n">
        <v>0</v>
      </c>
      <c r="R182" s="10" t="n">
        <v>0</v>
      </c>
      <c r="S182" s="10" t="n">
        <v>61</v>
      </c>
      <c r="T182" s="10" t="n">
        <v>7</v>
      </c>
    </row>
    <row r="183">
      <c r="A183" s="7" t="n">
        <v>189</v>
      </c>
      <c r="B183" s="8" t="inlineStr">
        <is>
          <t>Polling Station 189</t>
        </is>
      </c>
      <c r="C183" s="9" t="n">
        <v>2</v>
      </c>
      <c r="D183" s="9" t="n">
        <v>0</v>
      </c>
      <c r="E183" s="9" t="n">
        <v>2</v>
      </c>
      <c r="F183" s="9" t="n">
        <v>63</v>
      </c>
      <c r="G183" s="9" t="n">
        <v>2</v>
      </c>
      <c r="H183" s="9" t="n">
        <v>2</v>
      </c>
      <c r="I183" s="9" t="n">
        <v>0</v>
      </c>
      <c r="J183" s="9" t="n">
        <v>0</v>
      </c>
      <c r="K183" s="9" t="n">
        <v>2</v>
      </c>
      <c r="L183" s="9" t="n">
        <v>0</v>
      </c>
      <c r="M183" s="9" t="n">
        <v>0</v>
      </c>
      <c r="N183" s="9" t="n">
        <v>3</v>
      </c>
      <c r="O183" s="9" t="n">
        <v>8</v>
      </c>
      <c r="P183" s="10" t="n">
        <v>84</v>
      </c>
      <c r="Q183" s="10" t="n">
        <v>0</v>
      </c>
      <c r="R183" s="10" t="n">
        <v>0</v>
      </c>
      <c r="S183" s="10" t="n">
        <v>84</v>
      </c>
      <c r="T183" s="10" t="n">
        <v>0</v>
      </c>
    </row>
    <row r="184">
      <c r="A184" s="7" t="n">
        <v>190</v>
      </c>
      <c r="B184" s="8" t="inlineStr">
        <is>
          <t>Polling Station 190</t>
        </is>
      </c>
      <c r="C184" s="9" t="n">
        <v>7</v>
      </c>
      <c r="D184" s="9" t="n">
        <v>296</v>
      </c>
      <c r="E184" s="9" t="n">
        <v>0</v>
      </c>
      <c r="F184" s="9" t="n">
        <v>207</v>
      </c>
      <c r="G184" s="9" t="n">
        <v>3</v>
      </c>
      <c r="H184" s="9" t="n">
        <v>1</v>
      </c>
      <c r="I184" s="9" t="n">
        <v>0</v>
      </c>
      <c r="J184" s="9" t="n">
        <v>0</v>
      </c>
      <c r="K184" s="9" t="n">
        <v>5</v>
      </c>
      <c r="L184" s="9" t="n">
        <v>4</v>
      </c>
      <c r="M184" s="9" t="n">
        <v>10</v>
      </c>
      <c r="N184" s="9" t="n">
        <v>5</v>
      </c>
      <c r="O184" s="9" t="n">
        <v>18</v>
      </c>
      <c r="P184" s="10" t="n">
        <v>556</v>
      </c>
      <c r="Q184" s="10" t="n">
        <v>0</v>
      </c>
      <c r="R184" s="10" t="n">
        <v>4</v>
      </c>
      <c r="S184" s="10" t="n">
        <v>560</v>
      </c>
      <c r="T184" s="10" t="n">
        <v>0</v>
      </c>
    </row>
    <row r="185">
      <c r="A185" s="7" t="n">
        <v>191</v>
      </c>
      <c r="B185" s="8" t="inlineStr">
        <is>
          <t>Polling Station 191</t>
        </is>
      </c>
      <c r="C185" s="9" t="n">
        <v>25</v>
      </c>
      <c r="D185" s="9" t="n">
        <v>0</v>
      </c>
      <c r="E185" s="9" t="n">
        <v>16</v>
      </c>
      <c r="F185" s="9" t="n">
        <v>256</v>
      </c>
      <c r="G185" s="9" t="n">
        <v>4</v>
      </c>
      <c r="H185" s="9" t="n">
        <v>4</v>
      </c>
      <c r="I185" s="9" t="n">
        <v>3</v>
      </c>
      <c r="J185" s="9" t="n">
        <v>1</v>
      </c>
      <c r="K185" s="9" t="n">
        <v>5</v>
      </c>
      <c r="L185" s="9" t="n">
        <v>0</v>
      </c>
      <c r="M185" s="9" t="n">
        <v>3</v>
      </c>
      <c r="N185" s="9" t="n">
        <v>0</v>
      </c>
      <c r="O185" s="9" t="n">
        <v>3</v>
      </c>
      <c r="P185" s="10" t="n">
        <v>320</v>
      </c>
      <c r="Q185" s="10" t="n">
        <v>4</v>
      </c>
      <c r="R185" s="10" t="n">
        <v>0</v>
      </c>
      <c r="S185" s="10" t="n">
        <v>324</v>
      </c>
      <c r="T185" s="10" t="n">
        <v>0</v>
      </c>
    </row>
    <row r="186">
      <c r="A186" s="7" t="n">
        <v>192</v>
      </c>
      <c r="B186" s="8" t="inlineStr">
        <is>
          <t>Polling Station 192</t>
        </is>
      </c>
      <c r="C186" s="9" t="n">
        <v>15</v>
      </c>
      <c r="D186" s="9" t="n">
        <v>320</v>
      </c>
      <c r="E186" s="9" t="n">
        <v>10</v>
      </c>
      <c r="F186" s="9" t="n">
        <v>190</v>
      </c>
      <c r="G186" s="9" t="n">
        <v>1</v>
      </c>
      <c r="H186" s="9" t="n">
        <v>2</v>
      </c>
      <c r="I186" s="9" t="n">
        <v>1</v>
      </c>
      <c r="J186" s="9" t="n">
        <v>2</v>
      </c>
      <c r="K186" s="9" t="n">
        <v>1</v>
      </c>
      <c r="L186" s="9" t="n">
        <v>7</v>
      </c>
      <c r="M186" s="9" t="n">
        <v>3</v>
      </c>
      <c r="N186" s="9" t="n">
        <v>4</v>
      </c>
      <c r="O186" s="9" t="n">
        <v>5</v>
      </c>
      <c r="P186" s="10" t="n">
        <v>561</v>
      </c>
      <c r="Q186" s="10" t="n">
        <v>0</v>
      </c>
      <c r="R186" s="10" t="n">
        <v>7</v>
      </c>
      <c r="S186" s="10" t="n">
        <v>568</v>
      </c>
      <c r="T186" s="10" t="n">
        <v>0</v>
      </c>
    </row>
    <row r="187">
      <c r="A187" s="7" t="n">
        <v>193</v>
      </c>
      <c r="B187" s="8" t="inlineStr">
        <is>
          <t>Polling Station 193</t>
        </is>
      </c>
      <c r="C187" s="9" t="n">
        <v>12</v>
      </c>
      <c r="D187" s="9" t="n">
        <v>442</v>
      </c>
      <c r="E187" s="9" t="n">
        <v>16</v>
      </c>
      <c r="F187" s="9" t="n">
        <v>188</v>
      </c>
      <c r="G187" s="9" t="n">
        <v>5</v>
      </c>
      <c r="H187" s="9" t="n">
        <v>3</v>
      </c>
      <c r="I187" s="9" t="n">
        <v>0</v>
      </c>
      <c r="J187" s="9" t="n">
        <v>2</v>
      </c>
      <c r="K187" s="9" t="n">
        <v>4</v>
      </c>
      <c r="L187" s="9" t="n">
        <v>3</v>
      </c>
      <c r="M187" s="9" t="n">
        <v>3</v>
      </c>
      <c r="N187" s="9" t="n">
        <v>4</v>
      </c>
      <c r="O187" s="9" t="n">
        <v>7</v>
      </c>
      <c r="P187" s="10" t="n">
        <v>689</v>
      </c>
      <c r="Q187" s="10" t="n">
        <v>0</v>
      </c>
      <c r="R187" s="10" t="n">
        <v>13</v>
      </c>
      <c r="S187" s="10" t="n">
        <v>702</v>
      </c>
      <c r="T187" s="10" t="n">
        <v>0</v>
      </c>
    </row>
    <row r="188">
      <c r="A188" s="7" t="n">
        <v>194</v>
      </c>
      <c r="B188" s="8" t="inlineStr">
        <is>
          <t>Polling Station 194</t>
        </is>
      </c>
      <c r="C188" s="9" t="n">
        <v>1311</v>
      </c>
      <c r="D188" s="9" t="n">
        <v>352</v>
      </c>
      <c r="E188" s="9" t="n">
        <v>12</v>
      </c>
      <c r="F188" s="9" t="n">
        <v>214</v>
      </c>
      <c r="G188" s="9" t="n">
        <v>2</v>
      </c>
      <c r="H188" s="9" t="n">
        <v>0</v>
      </c>
      <c r="I188" s="9" t="n">
        <v>0</v>
      </c>
      <c r="J188" s="9" t="n">
        <v>0</v>
      </c>
      <c r="K188" s="9" t="n">
        <v>2</v>
      </c>
      <c r="L188" s="9" t="n">
        <v>2</v>
      </c>
      <c r="M188" s="9" t="n">
        <v>2</v>
      </c>
      <c r="N188" s="9" t="n">
        <v>2</v>
      </c>
      <c r="O188" s="9" t="n">
        <v>7</v>
      </c>
      <c r="P188" s="10" t="n">
        <v>1906</v>
      </c>
      <c r="Q188" s="10" t="n">
        <v>0</v>
      </c>
      <c r="R188" s="10" t="n">
        <v>4</v>
      </c>
      <c r="S188" s="10" t="n">
        <v>1910</v>
      </c>
      <c r="T188" s="10" t="n">
        <v>0</v>
      </c>
    </row>
    <row r="189">
      <c r="A189" s="7" t="n">
        <v>195</v>
      </c>
      <c r="B189" s="8" t="inlineStr">
        <is>
          <t>Polling Station 195</t>
        </is>
      </c>
      <c r="C189" s="9" t="n">
        <v>79</v>
      </c>
      <c r="D189" s="9" t="n">
        <v>390</v>
      </c>
      <c r="E189" s="9" t="n">
        <v>0</v>
      </c>
      <c r="F189" s="9" t="n">
        <v>127</v>
      </c>
      <c r="G189" s="9" t="n">
        <v>1</v>
      </c>
      <c r="H189" s="9" t="n">
        <v>1</v>
      </c>
      <c r="I189" s="9" t="n">
        <v>0</v>
      </c>
      <c r="J189" s="9" t="n">
        <v>1</v>
      </c>
      <c r="K189" s="9" t="n">
        <v>7</v>
      </c>
      <c r="L189" s="9" t="n">
        <v>1</v>
      </c>
      <c r="M189" s="9" t="n">
        <v>4</v>
      </c>
      <c r="N189" s="9" t="n">
        <v>1</v>
      </c>
      <c r="O189" s="9" t="n">
        <v>0</v>
      </c>
      <c r="P189" s="10" t="n">
        <v>612</v>
      </c>
      <c r="Q189" s="10" t="n">
        <v>0</v>
      </c>
      <c r="R189" s="10" t="n">
        <v>0</v>
      </c>
      <c r="S189" s="10" t="n">
        <v>612</v>
      </c>
      <c r="T189" s="10" t="n">
        <v>0</v>
      </c>
    </row>
    <row r="190">
      <c r="A190" s="7" t="n">
        <v>196</v>
      </c>
      <c r="B190" s="8" t="inlineStr">
        <is>
          <t>Polling Station 196</t>
        </is>
      </c>
      <c r="C190" s="9" t="n">
        <v>2</v>
      </c>
      <c r="D190" s="9" t="n">
        <v>455</v>
      </c>
      <c r="E190" s="9" t="n">
        <v>19</v>
      </c>
      <c r="F190" s="9" t="n">
        <v>287</v>
      </c>
      <c r="G190" s="9" t="n">
        <v>6</v>
      </c>
      <c r="H190" s="9" t="n">
        <v>2</v>
      </c>
      <c r="I190" s="9" t="n">
        <v>2</v>
      </c>
      <c r="J190" s="9" t="n">
        <v>1</v>
      </c>
      <c r="K190" s="9" t="n">
        <v>5</v>
      </c>
      <c r="L190" s="9" t="n">
        <v>0</v>
      </c>
      <c r="M190" s="9" t="n">
        <v>0</v>
      </c>
      <c r="N190" s="9" t="n">
        <v>10</v>
      </c>
      <c r="O190" s="9" t="n">
        <v>2</v>
      </c>
      <c r="P190" s="10" t="n">
        <v>791</v>
      </c>
      <c r="Q190" s="10" t="n">
        <v>0</v>
      </c>
      <c r="R190" s="10" t="n">
        <v>10</v>
      </c>
      <c r="S190" s="10" t="n">
        <v>801</v>
      </c>
      <c r="T190" s="10" t="n">
        <v>0</v>
      </c>
    </row>
    <row r="191">
      <c r="A191" s="7" t="n">
        <v>197</v>
      </c>
      <c r="B191" s="8" t="inlineStr">
        <is>
          <t>Polling Station 197</t>
        </is>
      </c>
      <c r="C191" s="9" t="n">
        <v>0</v>
      </c>
      <c r="D191" s="9" t="n">
        <v>150</v>
      </c>
      <c r="E191" s="9" t="n">
        <v>16</v>
      </c>
      <c r="F191" s="9" t="n">
        <v>42</v>
      </c>
      <c r="G191" s="9" t="n">
        <v>1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1</v>
      </c>
      <c r="M191" s="9" t="n">
        <v>1</v>
      </c>
      <c r="N191" s="9" t="n">
        <v>1</v>
      </c>
      <c r="O191" s="9" t="n">
        <v>2</v>
      </c>
      <c r="P191" s="10" t="n">
        <v>214</v>
      </c>
      <c r="Q191" s="10" t="n">
        <v>0</v>
      </c>
      <c r="R191" s="10" t="n">
        <v>1</v>
      </c>
      <c r="S191" s="10" t="n">
        <v>215</v>
      </c>
      <c r="T191" s="10" t="n">
        <v>0</v>
      </c>
    </row>
    <row r="192">
      <c r="A192" s="7" t="n">
        <v>198</v>
      </c>
      <c r="B192" s="8" t="inlineStr">
        <is>
          <t>Polling Station 198</t>
        </is>
      </c>
      <c r="C192" s="9" t="n">
        <v>0</v>
      </c>
      <c r="D192" s="9" t="n">
        <v>267</v>
      </c>
      <c r="E192" s="9" t="n">
        <v>52</v>
      </c>
      <c r="F192" s="9" t="n">
        <v>128</v>
      </c>
      <c r="G192" s="9" t="n">
        <v>5</v>
      </c>
      <c r="H192" s="9" t="n">
        <v>1</v>
      </c>
      <c r="I192" s="9" t="n">
        <v>0</v>
      </c>
      <c r="J192" s="9" t="n">
        <v>1</v>
      </c>
      <c r="K192" s="9" t="n">
        <v>0</v>
      </c>
      <c r="L192" s="9" t="n">
        <v>3</v>
      </c>
      <c r="M192" s="9" t="n">
        <v>3</v>
      </c>
      <c r="N192" s="9" t="n">
        <v>2</v>
      </c>
      <c r="O192" s="9" t="n">
        <v>9</v>
      </c>
      <c r="P192" s="10" t="n">
        <v>471</v>
      </c>
      <c r="Q192" s="10" t="n">
        <v>0</v>
      </c>
      <c r="R192" s="10" t="n">
        <v>10</v>
      </c>
      <c r="S192" s="10" t="n">
        <v>481</v>
      </c>
      <c r="T192" s="10" t="n">
        <v>0</v>
      </c>
    </row>
    <row r="193">
      <c r="A193" s="7" t="n">
        <v>199</v>
      </c>
      <c r="B193" s="8" t="inlineStr">
        <is>
          <t>Polling Station 199</t>
        </is>
      </c>
      <c r="C193" s="9" t="n">
        <v>10</v>
      </c>
      <c r="D193" s="9" t="n">
        <v>337</v>
      </c>
      <c r="E193" s="9" t="n">
        <v>4</v>
      </c>
      <c r="F193" s="9" t="n">
        <v>421</v>
      </c>
      <c r="G193" s="9" t="n">
        <v>0</v>
      </c>
      <c r="H193" s="9" t="n">
        <v>1</v>
      </c>
      <c r="I193" s="9" t="n">
        <v>0</v>
      </c>
      <c r="J193" s="9" t="n">
        <v>0</v>
      </c>
      <c r="K193" s="9" t="n">
        <v>7</v>
      </c>
      <c r="L193" s="9" t="n">
        <v>7</v>
      </c>
      <c r="M193" s="9" t="n">
        <v>2</v>
      </c>
      <c r="N193" s="9" t="n">
        <v>4</v>
      </c>
      <c r="O193" s="9" t="n">
        <v>9</v>
      </c>
      <c r="P193" s="10" t="n">
        <v>802</v>
      </c>
      <c r="Q193" s="10" t="n">
        <v>0</v>
      </c>
      <c r="R193" s="10" t="n">
        <v>8</v>
      </c>
      <c r="S193" s="10" t="n">
        <v>810</v>
      </c>
      <c r="T193" s="10" t="n">
        <v>0</v>
      </c>
    </row>
    <row r="194">
      <c r="A194" s="7" t="n">
        <v>200</v>
      </c>
      <c r="B194" s="8" t="inlineStr">
        <is>
          <t>Polling Station 200</t>
        </is>
      </c>
      <c r="C194" s="9" t="n">
        <v>6</v>
      </c>
      <c r="D194" s="9" t="n">
        <v>0</v>
      </c>
      <c r="E194" s="9" t="n">
        <v>25</v>
      </c>
      <c r="F194" s="9" t="n">
        <v>94</v>
      </c>
      <c r="G194" s="9" t="n">
        <v>3</v>
      </c>
      <c r="H194" s="9" t="n">
        <v>0</v>
      </c>
      <c r="I194" s="9" t="n">
        <v>0</v>
      </c>
      <c r="J194" s="9" t="n">
        <v>1</v>
      </c>
      <c r="K194" s="9" t="n">
        <v>0</v>
      </c>
      <c r="L194" s="9" t="n">
        <v>2</v>
      </c>
      <c r="M194" s="9" t="n">
        <v>7</v>
      </c>
      <c r="N194" s="9" t="n">
        <v>0</v>
      </c>
      <c r="O194" s="9" t="n">
        <v>9</v>
      </c>
      <c r="P194" s="10" t="n">
        <v>147</v>
      </c>
      <c r="Q194" s="10" t="n">
        <v>0</v>
      </c>
      <c r="R194" s="10" t="n">
        <v>4</v>
      </c>
      <c r="S194" s="10" t="n">
        <v>151</v>
      </c>
      <c r="T194" s="10" t="n">
        <v>0</v>
      </c>
    </row>
    <row r="195">
      <c r="A195" s="7" t="n">
        <v>201</v>
      </c>
      <c r="B195" s="8" t="inlineStr">
        <is>
          <t>Polling Station 201</t>
        </is>
      </c>
      <c r="C195" s="9" t="n">
        <v>2</v>
      </c>
      <c r="D195" s="9" t="n">
        <v>562</v>
      </c>
      <c r="E195" s="9" t="n">
        <v>2</v>
      </c>
      <c r="F195" s="9" t="n">
        <v>161</v>
      </c>
      <c r="G195" s="9" t="n">
        <v>3</v>
      </c>
      <c r="H195" s="9" t="n">
        <v>3</v>
      </c>
      <c r="I195" s="9" t="n">
        <v>0</v>
      </c>
      <c r="J195" s="9" t="n">
        <v>0</v>
      </c>
      <c r="K195" s="9" t="n">
        <v>0</v>
      </c>
      <c r="L195" s="9" t="n">
        <v>6</v>
      </c>
      <c r="M195" s="9" t="n">
        <v>0</v>
      </c>
      <c r="N195" s="9" t="n">
        <v>3</v>
      </c>
      <c r="O195" s="9" t="n">
        <v>2</v>
      </c>
      <c r="P195" s="10" t="n">
        <v>744</v>
      </c>
      <c r="Q195" s="10" t="n">
        <v>0</v>
      </c>
      <c r="R195" s="10" t="n">
        <v>15</v>
      </c>
      <c r="S195" s="10" t="n">
        <v>759</v>
      </c>
      <c r="T195" s="10" t="n">
        <v>0</v>
      </c>
    </row>
    <row r="196">
      <c r="A196" s="7" t="n">
        <v>202</v>
      </c>
      <c r="B196" s="8" t="inlineStr">
        <is>
          <t>Polling Station 202</t>
        </is>
      </c>
      <c r="C196" s="9" t="n">
        <v>4</v>
      </c>
      <c r="D196" s="9" t="n">
        <v>195</v>
      </c>
      <c r="E196" s="9" t="n">
        <v>0</v>
      </c>
      <c r="F196" s="9" t="n">
        <v>184</v>
      </c>
      <c r="G196" s="9" t="n">
        <v>2</v>
      </c>
      <c r="H196" s="9" t="n">
        <v>2</v>
      </c>
      <c r="I196" s="9" t="n">
        <v>2</v>
      </c>
      <c r="J196" s="9" t="n">
        <v>1</v>
      </c>
      <c r="K196" s="9" t="n">
        <v>1</v>
      </c>
      <c r="L196" s="9" t="n">
        <v>1</v>
      </c>
      <c r="M196" s="9" t="n">
        <v>3</v>
      </c>
      <c r="N196" s="9" t="n">
        <v>1</v>
      </c>
      <c r="O196" s="9" t="n">
        <v>4</v>
      </c>
      <c r="P196" s="10" t="n">
        <v>400</v>
      </c>
      <c r="Q196" s="10" t="n">
        <v>0</v>
      </c>
      <c r="R196" s="10" t="n">
        <v>12</v>
      </c>
      <c r="S196" s="10" t="n">
        <v>412</v>
      </c>
      <c r="T196" s="10" t="n">
        <v>0</v>
      </c>
    </row>
    <row r="197">
      <c r="A197" s="7" t="n">
        <v>203</v>
      </c>
      <c r="B197" s="8" t="inlineStr">
        <is>
          <t>Polling Station 203</t>
        </is>
      </c>
      <c r="C197" s="9" t="n">
        <v>0</v>
      </c>
      <c r="D197" s="9" t="n">
        <v>407</v>
      </c>
      <c r="E197" s="9" t="n">
        <v>0</v>
      </c>
      <c r="F197" s="9" t="n">
        <v>92</v>
      </c>
      <c r="G197" s="9" t="n">
        <v>2</v>
      </c>
      <c r="H197" s="9" t="n">
        <v>2</v>
      </c>
      <c r="I197" s="9" t="n">
        <v>0</v>
      </c>
      <c r="J197" s="9" t="n">
        <v>2</v>
      </c>
      <c r="K197" s="9" t="n">
        <v>7</v>
      </c>
      <c r="L197" s="9" t="n">
        <v>4</v>
      </c>
      <c r="M197" s="9" t="n">
        <v>4</v>
      </c>
      <c r="N197" s="9" t="n">
        <v>2</v>
      </c>
      <c r="O197" s="9" t="n">
        <v>0</v>
      </c>
      <c r="P197" s="10" t="n">
        <v>522</v>
      </c>
      <c r="Q197" s="10" t="n">
        <v>0</v>
      </c>
      <c r="R197" s="10" t="n">
        <v>5</v>
      </c>
      <c r="S197" s="10" t="n">
        <v>527</v>
      </c>
      <c r="T197" s="10" t="n">
        <v>0</v>
      </c>
    </row>
    <row r="198">
      <c r="A198" s="7" t="n">
        <v>204</v>
      </c>
      <c r="B198" s="8" t="inlineStr">
        <is>
          <t>| = 204</t>
        </is>
      </c>
      <c r="C198" s="9" t="n">
        <v>12</v>
      </c>
      <c r="D198" s="9" t="n">
        <v>0</v>
      </c>
      <c r="E198" s="9" t="n">
        <v>18</v>
      </c>
      <c r="F198" s="9" t="n">
        <v>168</v>
      </c>
      <c r="G198" s="9" t="n">
        <v>4</v>
      </c>
      <c r="H198" s="9" t="n">
        <v>1</v>
      </c>
      <c r="I198" s="9" t="n">
        <v>3</v>
      </c>
      <c r="J198" s="9" t="n">
        <v>1</v>
      </c>
      <c r="K198" s="9" t="n">
        <v>8</v>
      </c>
      <c r="L198" s="9" t="n">
        <v>3</v>
      </c>
      <c r="M198" s="9" t="n">
        <v>2</v>
      </c>
      <c r="N198" s="9" t="n">
        <v>3</v>
      </c>
      <c r="O198" s="9" t="n">
        <v>16</v>
      </c>
      <c r="P198" s="10" t="n">
        <v>239</v>
      </c>
      <c r="Q198" s="10" t="n">
        <v>0</v>
      </c>
      <c r="R198" s="10" t="n">
        <v>7</v>
      </c>
      <c r="S198" s="10" t="n">
        <v>246</v>
      </c>
      <c r="T198" s="10" t="n">
        <v>0</v>
      </c>
    </row>
    <row r="199">
      <c r="A199" s="7" t="n">
        <v>205</v>
      </c>
      <c r="B199" s="8" t="inlineStr">
        <is>
          <t>Polling Station 205</t>
        </is>
      </c>
      <c r="C199" s="9" t="n">
        <v>0</v>
      </c>
      <c r="D199" s="9" t="n">
        <v>302</v>
      </c>
      <c r="E199" s="9" t="n">
        <v>1</v>
      </c>
      <c r="F199" s="9" t="n">
        <v>176</v>
      </c>
      <c r="G199" s="9" t="n">
        <v>0</v>
      </c>
      <c r="H199" s="9" t="n">
        <v>1</v>
      </c>
      <c r="I199" s="9" t="n">
        <v>2</v>
      </c>
      <c r="J199" s="9" t="n">
        <v>1</v>
      </c>
      <c r="K199" s="9" t="n">
        <v>4</v>
      </c>
      <c r="L199" s="9" t="n">
        <v>1</v>
      </c>
      <c r="M199" s="9" t="n">
        <v>7</v>
      </c>
      <c r="N199" s="9" t="n">
        <v>3</v>
      </c>
      <c r="O199" s="9" t="n">
        <v>0</v>
      </c>
      <c r="P199" s="10" t="n">
        <v>498</v>
      </c>
      <c r="Q199" s="10" t="n">
        <v>0</v>
      </c>
      <c r="R199" s="10" t="n">
        <v>25</v>
      </c>
      <c r="S199" s="10" t="n">
        <v>523</v>
      </c>
      <c r="T199" s="10" t="n">
        <v>0</v>
      </c>
    </row>
    <row r="200">
      <c r="A200" s="7" t="n">
        <v>206</v>
      </c>
      <c r="B200" s="8" t="inlineStr">
        <is>
          <t>Polling Station 206</t>
        </is>
      </c>
      <c r="C200" s="9" t="n">
        <v>0</v>
      </c>
      <c r="D200" s="9" t="n">
        <v>331</v>
      </c>
      <c r="E200" s="9" t="n">
        <v>0</v>
      </c>
      <c r="F200" s="9" t="n">
        <v>120</v>
      </c>
      <c r="G200" s="9" t="n">
        <v>2</v>
      </c>
      <c r="H200" s="9" t="n">
        <v>1</v>
      </c>
      <c r="I200" s="9" t="n">
        <v>0</v>
      </c>
      <c r="J200" s="9" t="n">
        <v>0</v>
      </c>
      <c r="K200" s="9" t="n">
        <v>2</v>
      </c>
      <c r="L200" s="9" t="n">
        <v>3</v>
      </c>
      <c r="M200" s="9" t="n">
        <v>0</v>
      </c>
      <c r="N200" s="9" t="n">
        <v>0</v>
      </c>
      <c r="O200" s="9" t="n">
        <v>0</v>
      </c>
      <c r="P200" s="10" t="n">
        <v>459</v>
      </c>
      <c r="Q200" s="10" t="n">
        <v>0</v>
      </c>
      <c r="R200" s="10" t="n">
        <v>7</v>
      </c>
      <c r="S200" s="10" t="n">
        <v>466</v>
      </c>
      <c r="T200" s="10" t="n">
        <v>0</v>
      </c>
    </row>
    <row r="201">
      <c r="A201" s="7" t="n">
        <v>207</v>
      </c>
      <c r="B201" s="8" t="inlineStr">
        <is>
          <t>Polling Station 207</t>
        </is>
      </c>
      <c r="C201" s="9" t="n">
        <v>2</v>
      </c>
      <c r="D201" s="9" t="n">
        <v>328</v>
      </c>
      <c r="E201" s="9" t="n">
        <v>0</v>
      </c>
      <c r="F201" s="9" t="n">
        <v>0</v>
      </c>
      <c r="G201" s="9" t="n">
        <v>1</v>
      </c>
      <c r="H201" s="9" t="n">
        <v>1</v>
      </c>
      <c r="I201" s="9" t="n">
        <v>2</v>
      </c>
      <c r="J201" s="9" t="n">
        <v>1</v>
      </c>
      <c r="K201" s="9" t="n">
        <v>5</v>
      </c>
      <c r="L201" s="9" t="n">
        <v>4</v>
      </c>
      <c r="M201" s="9" t="n">
        <v>0</v>
      </c>
      <c r="N201" s="9" t="n">
        <v>5</v>
      </c>
      <c r="O201" s="9" t="n">
        <v>6</v>
      </c>
      <c r="P201" s="10" t="n">
        <v>355</v>
      </c>
      <c r="Q201" s="10" t="n">
        <v>0</v>
      </c>
      <c r="R201" s="10" t="n">
        <v>9</v>
      </c>
      <c r="S201" s="10" t="n">
        <v>364</v>
      </c>
      <c r="T201" s="10" t="n">
        <v>0</v>
      </c>
    </row>
    <row r="202">
      <c r="A202" s="7" t="n">
        <v>208</v>
      </c>
      <c r="B202" s="8" t="inlineStr">
        <is>
          <t>Polling Station 208</t>
        </is>
      </c>
      <c r="C202" s="9" t="n">
        <v>15</v>
      </c>
      <c r="D202" s="9" t="n">
        <v>53</v>
      </c>
      <c r="E202" s="9" t="n">
        <v>0</v>
      </c>
      <c r="F202" s="9" t="n">
        <v>18</v>
      </c>
      <c r="G202" s="9" t="n">
        <v>0</v>
      </c>
      <c r="H202" s="9" t="n">
        <v>2</v>
      </c>
      <c r="I202" s="9" t="n">
        <v>0</v>
      </c>
      <c r="J202" s="9" t="n">
        <v>2</v>
      </c>
      <c r="K202" s="9" t="n">
        <v>5</v>
      </c>
      <c r="L202" s="9" t="n">
        <v>2</v>
      </c>
      <c r="M202" s="9" t="n">
        <v>8</v>
      </c>
      <c r="N202" s="9" t="n">
        <v>3</v>
      </c>
      <c r="O202" s="9" t="n">
        <v>4</v>
      </c>
      <c r="P202" s="10" t="n">
        <v>112</v>
      </c>
      <c r="Q202" s="10" t="n">
        <v>0</v>
      </c>
      <c r="R202" s="10" t="n">
        <v>0</v>
      </c>
      <c r="S202" s="10" t="n">
        <v>112</v>
      </c>
      <c r="T202" s="10" t="n">
        <v>0</v>
      </c>
    </row>
    <row r="203">
      <c r="A203" s="7" t="n">
        <v>209</v>
      </c>
      <c r="B203" s="8" t="inlineStr">
        <is>
          <t>Polling Station 209</t>
        </is>
      </c>
      <c r="C203" s="9" t="n">
        <v>0</v>
      </c>
      <c r="D203" s="9" t="n">
        <v>0</v>
      </c>
      <c r="E203" s="9" t="n">
        <v>0</v>
      </c>
      <c r="F203" s="9" t="n">
        <v>2</v>
      </c>
      <c r="G203" s="9" t="n">
        <v>4</v>
      </c>
      <c r="H203" s="9" t="n">
        <v>3</v>
      </c>
      <c r="I203" s="9" t="n">
        <v>0</v>
      </c>
      <c r="J203" s="9" t="n">
        <v>0</v>
      </c>
      <c r="K203" s="9" t="n">
        <v>5</v>
      </c>
      <c r="L203" s="9" t="n">
        <v>0</v>
      </c>
      <c r="M203" s="9" t="n">
        <v>4</v>
      </c>
      <c r="N203" s="9" t="n">
        <v>2</v>
      </c>
      <c r="O203" s="9" t="n">
        <v>5</v>
      </c>
      <c r="P203" s="10" t="n">
        <v>25</v>
      </c>
      <c r="Q203" s="10" t="n">
        <v>0</v>
      </c>
      <c r="R203" s="10" t="n">
        <v>0</v>
      </c>
      <c r="S203" s="10" t="n">
        <v>25</v>
      </c>
      <c r="T203" s="10" t="n">
        <v>0</v>
      </c>
    </row>
    <row r="204">
      <c r="A204" s="7" t="n">
        <v>210</v>
      </c>
      <c r="B204" s="8" t="inlineStr">
        <is>
          <t>Polling Station 210</t>
        </is>
      </c>
      <c r="C204" s="9" t="n">
        <v>0</v>
      </c>
      <c r="D204" s="9" t="n">
        <v>0</v>
      </c>
      <c r="E204" s="9" t="n">
        <v>12</v>
      </c>
      <c r="F204" s="9" t="n">
        <v>100</v>
      </c>
      <c r="G204" s="9" t="n">
        <v>0</v>
      </c>
      <c r="H204" s="9" t="n">
        <v>2</v>
      </c>
      <c r="I204" s="9" t="n">
        <v>1</v>
      </c>
      <c r="J204" s="9" t="n">
        <v>4</v>
      </c>
      <c r="K204" s="9" t="n">
        <v>4</v>
      </c>
      <c r="L204" s="9" t="n">
        <v>0</v>
      </c>
      <c r="M204" s="9" t="n">
        <v>9</v>
      </c>
      <c r="N204" s="9" t="n">
        <v>3</v>
      </c>
      <c r="O204" s="9" t="n">
        <v>7</v>
      </c>
      <c r="P204" s="10" t="n">
        <v>142</v>
      </c>
      <c r="Q204" s="10" t="n">
        <v>0</v>
      </c>
      <c r="R204" s="10" t="n">
        <v>0</v>
      </c>
      <c r="S204" s="10" t="n">
        <v>142</v>
      </c>
      <c r="T204" s="10" t="n">
        <v>0</v>
      </c>
    </row>
    <row r="205">
      <c r="A205" s="7" t="n">
        <v>212</v>
      </c>
      <c r="B205" s="8" t="inlineStr">
        <is>
          <t>Polling Station 212</t>
        </is>
      </c>
      <c r="C205" s="9" t="n">
        <v>9</v>
      </c>
      <c r="D205" s="9" t="n">
        <v>879</v>
      </c>
      <c r="E205" s="9" t="n">
        <v>12</v>
      </c>
      <c r="F205" s="9" t="n">
        <v>8</v>
      </c>
      <c r="G205" s="9" t="n">
        <v>0</v>
      </c>
      <c r="H205" s="9" t="n">
        <v>3</v>
      </c>
      <c r="I205" s="9" t="n">
        <v>1</v>
      </c>
      <c r="J205" s="9" t="n">
        <v>2</v>
      </c>
      <c r="K205" s="9" t="n">
        <v>5</v>
      </c>
      <c r="L205" s="9" t="n">
        <v>1</v>
      </c>
      <c r="M205" s="9" t="n">
        <v>1</v>
      </c>
      <c r="N205" s="9" t="n">
        <v>4</v>
      </c>
      <c r="O205" s="9" t="n">
        <v>6</v>
      </c>
      <c r="P205" s="10" t="n">
        <v>931</v>
      </c>
      <c r="Q205" s="10" t="n">
        <v>0</v>
      </c>
      <c r="R205" s="10" t="n">
        <v>0</v>
      </c>
      <c r="S205" s="10" t="n">
        <v>931</v>
      </c>
      <c r="T205" s="10" t="n">
        <v>0</v>
      </c>
    </row>
    <row r="206">
      <c r="A206" s="7" t="n">
        <v>213</v>
      </c>
      <c r="B206" s="8" t="inlineStr">
        <is>
          <t>Polling Station 213</t>
        </is>
      </c>
      <c r="C206" s="9" t="n">
        <v>3</v>
      </c>
      <c r="D206" s="9" t="n">
        <v>4</v>
      </c>
      <c r="E206" s="9" t="n">
        <v>5</v>
      </c>
      <c r="F206" s="9" t="n">
        <v>6</v>
      </c>
      <c r="G206" s="9" t="n">
        <v>7</v>
      </c>
      <c r="H206" s="9" t="n">
        <v>8</v>
      </c>
      <c r="I206" s="9" t="n">
        <v>9</v>
      </c>
      <c r="J206" s="9" t="n">
        <v>10</v>
      </c>
      <c r="K206" s="9" t="n">
        <v>4</v>
      </c>
      <c r="L206" s="9" t="n">
        <v>2</v>
      </c>
      <c r="M206" s="9" t="n">
        <v>0</v>
      </c>
      <c r="N206" s="9" t="n">
        <v>0</v>
      </c>
      <c r="O206" s="9" t="n">
        <v>7</v>
      </c>
      <c r="P206" s="10" t="n">
        <v>65</v>
      </c>
      <c r="Q206" s="10" t="n">
        <v>0</v>
      </c>
      <c r="R206" s="10" t="n">
        <v>0</v>
      </c>
      <c r="S206" s="10" t="n">
        <v>65</v>
      </c>
      <c r="T206" s="10" t="n">
        <v>0</v>
      </c>
    </row>
    <row r="207">
      <c r="A207" s="7" t="n">
        <v>214</v>
      </c>
      <c r="B207" s="8" t="inlineStr">
        <is>
          <t>Polling Station 214</t>
        </is>
      </c>
      <c r="C207" s="9" t="n">
        <v>4</v>
      </c>
      <c r="D207" s="9" t="n">
        <v>627</v>
      </c>
      <c r="E207" s="9" t="n">
        <v>12</v>
      </c>
      <c r="F207" s="9" t="n">
        <v>80</v>
      </c>
      <c r="G207" s="9" t="n">
        <v>0</v>
      </c>
      <c r="H207" s="9" t="n">
        <v>2</v>
      </c>
      <c r="I207" s="9" t="n">
        <v>0</v>
      </c>
      <c r="J207" s="9" t="n">
        <v>7</v>
      </c>
      <c r="K207" s="9" t="n">
        <v>3</v>
      </c>
      <c r="L207" s="9" t="n">
        <v>2</v>
      </c>
      <c r="M207" s="9" t="n">
        <v>1</v>
      </c>
      <c r="N207" s="9" t="n">
        <v>0</v>
      </c>
      <c r="O207" s="9" t="n">
        <v>4</v>
      </c>
      <c r="P207" s="10" t="n">
        <v>742</v>
      </c>
      <c r="Q207" s="10" t="n">
        <v>0</v>
      </c>
      <c r="R207" s="10" t="n">
        <v>0</v>
      </c>
      <c r="S207" s="10" t="n">
        <v>742</v>
      </c>
      <c r="T207" s="10" t="n">
        <v>0</v>
      </c>
    </row>
    <row r="208">
      <c r="A208" s="7" t="n">
        <v>215</v>
      </c>
      <c r="B208" s="8" t="inlineStr">
        <is>
          <t>Polling Station 215</t>
        </is>
      </c>
      <c r="C208" s="9" t="n">
        <v>7</v>
      </c>
      <c r="D208" s="9" t="n">
        <v>685</v>
      </c>
      <c r="E208" s="9" t="n">
        <v>12</v>
      </c>
      <c r="F208" s="9" t="n">
        <v>115</v>
      </c>
      <c r="G208" s="9" t="n">
        <v>1</v>
      </c>
      <c r="H208" s="9" t="n">
        <v>3</v>
      </c>
      <c r="I208" s="9" t="n">
        <v>4</v>
      </c>
      <c r="J208" s="9" t="n">
        <v>3</v>
      </c>
      <c r="K208" s="9" t="n">
        <v>4</v>
      </c>
      <c r="L208" s="9" t="n">
        <v>3</v>
      </c>
      <c r="M208" s="9" t="n">
        <v>5</v>
      </c>
      <c r="N208" s="9" t="n">
        <v>2</v>
      </c>
      <c r="O208" s="9" t="n">
        <v>1</v>
      </c>
      <c r="P208" s="10" t="n">
        <v>845</v>
      </c>
      <c r="Q208" s="10" t="n">
        <v>0</v>
      </c>
      <c r="R208" s="10" t="n">
        <v>0</v>
      </c>
      <c r="S208" s="10" t="n">
        <v>845</v>
      </c>
      <c r="T208" s="10" t="n">
        <v>0</v>
      </c>
    </row>
    <row r="209">
      <c r="A209" s="7" t="n">
        <v>216</v>
      </c>
      <c r="B209" s="8" t="inlineStr">
        <is>
          <t>Polling Station 216</t>
        </is>
      </c>
      <c r="C209" s="9" t="n">
        <v>22</v>
      </c>
      <c r="D209" s="9" t="n">
        <v>86</v>
      </c>
      <c r="E209" s="9" t="n">
        <v>25</v>
      </c>
      <c r="F209" s="9" t="n">
        <v>146</v>
      </c>
      <c r="G209" s="9" t="n">
        <v>6</v>
      </c>
      <c r="H209" s="9" t="n">
        <v>0</v>
      </c>
      <c r="I209" s="9" t="n">
        <v>3</v>
      </c>
      <c r="J209" s="9" t="n">
        <v>1</v>
      </c>
      <c r="K209" s="9" t="n">
        <v>5</v>
      </c>
      <c r="L209" s="9" t="n">
        <v>2</v>
      </c>
      <c r="M209" s="9" t="n">
        <v>9</v>
      </c>
      <c r="N209" s="9" t="n">
        <v>12</v>
      </c>
      <c r="O209" s="9" t="n">
        <v>30</v>
      </c>
      <c r="P209" s="10" t="n">
        <v>347</v>
      </c>
      <c r="Q209" s="10" t="n">
        <v>0</v>
      </c>
      <c r="R209" s="10" t="n">
        <v>0</v>
      </c>
      <c r="S209" s="10" t="n">
        <v>347</v>
      </c>
      <c r="T209" s="10" t="n">
        <v>0</v>
      </c>
    </row>
    <row r="210">
      <c r="A210" s="7" t="n">
        <v>218</v>
      </c>
      <c r="B210" s="8" t="inlineStr">
        <is>
          <t>Polling Station 218</t>
        </is>
      </c>
      <c r="C210" s="9" t="n">
        <v>7</v>
      </c>
      <c r="D210" s="9" t="n">
        <v>0</v>
      </c>
      <c r="E210" s="9" t="n">
        <v>20</v>
      </c>
      <c r="F210" s="9" t="n">
        <v>124</v>
      </c>
      <c r="G210" s="9" t="n">
        <v>1</v>
      </c>
      <c r="H210" s="9" t="n">
        <v>3</v>
      </c>
      <c r="I210" s="9" t="n">
        <v>16</v>
      </c>
      <c r="J210" s="9" t="n">
        <v>3</v>
      </c>
      <c r="K210" s="9" t="n">
        <v>7</v>
      </c>
      <c r="L210" s="9" t="n">
        <v>2</v>
      </c>
      <c r="M210" s="9" t="n">
        <v>0</v>
      </c>
      <c r="N210" s="9" t="n">
        <v>1</v>
      </c>
      <c r="O210" s="9" t="n">
        <v>16</v>
      </c>
      <c r="P210" s="10" t="n">
        <v>200</v>
      </c>
      <c r="Q210" s="10" t="n">
        <v>0</v>
      </c>
      <c r="R210" s="10" t="n">
        <v>0</v>
      </c>
      <c r="S210" s="10" t="n">
        <v>200</v>
      </c>
      <c r="T210" s="10" t="n">
        <v>0</v>
      </c>
    </row>
    <row r="211">
      <c r="A211" s="7" t="n">
        <v>219</v>
      </c>
      <c r="B211" s="8" t="inlineStr">
        <is>
          <t>Polling Station 219</t>
        </is>
      </c>
      <c r="C211" s="9" t="n">
        <v>18</v>
      </c>
      <c r="D211" s="9" t="n">
        <v>509</v>
      </c>
      <c r="E211" s="9" t="n">
        <v>12</v>
      </c>
      <c r="F211" s="9" t="n">
        <v>94</v>
      </c>
      <c r="G211" s="9" t="n">
        <v>1</v>
      </c>
      <c r="H211" s="9" t="n">
        <v>4</v>
      </c>
      <c r="I211" s="9" t="n">
        <v>8</v>
      </c>
      <c r="J211" s="9" t="n">
        <v>1</v>
      </c>
      <c r="K211" s="9" t="n">
        <v>7</v>
      </c>
      <c r="L211" s="9" t="n">
        <v>0</v>
      </c>
      <c r="M211" s="9" t="n">
        <v>0</v>
      </c>
      <c r="N211" s="9" t="n">
        <v>5</v>
      </c>
      <c r="O211" s="9" t="n">
        <v>7</v>
      </c>
      <c r="P211" s="10" t="n">
        <v>666</v>
      </c>
      <c r="Q211" s="10" t="n">
        <v>0</v>
      </c>
      <c r="R211" s="10" t="n">
        <v>0</v>
      </c>
      <c r="S211" s="10" t="n">
        <v>666</v>
      </c>
      <c r="T211" s="10" t="n">
        <v>0</v>
      </c>
    </row>
    <row r="212">
      <c r="A212" s="7" t="n">
        <v>220</v>
      </c>
      <c r="B212" s="8" t="inlineStr">
        <is>
          <t>Polling Station 220</t>
        </is>
      </c>
      <c r="C212" s="9" t="n">
        <v>2</v>
      </c>
      <c r="D212" s="9" t="n">
        <v>372</v>
      </c>
      <c r="E212" s="9" t="n">
        <v>0</v>
      </c>
      <c r="F212" s="9" t="n">
        <v>115</v>
      </c>
      <c r="G212" s="9" t="n">
        <v>2</v>
      </c>
      <c r="H212" s="9" t="n">
        <v>0</v>
      </c>
      <c r="I212" s="9" t="n">
        <v>0</v>
      </c>
      <c r="J212" s="9" t="n">
        <v>1</v>
      </c>
      <c r="K212" s="9" t="n">
        <v>5</v>
      </c>
      <c r="L212" s="9" t="n">
        <v>2</v>
      </c>
      <c r="M212" s="9" t="n">
        <v>3</v>
      </c>
      <c r="N212" s="9" t="n">
        <v>3</v>
      </c>
      <c r="O212" s="9" t="n">
        <v>3</v>
      </c>
      <c r="P212" s="10" t="n">
        <v>508</v>
      </c>
      <c r="Q212" s="10" t="n">
        <v>0</v>
      </c>
      <c r="R212" s="10" t="n">
        <v>5</v>
      </c>
      <c r="S212" s="10" t="n">
        <v>513</v>
      </c>
      <c r="T212" s="10" t="n">
        <v>0</v>
      </c>
    </row>
    <row r="213">
      <c r="A213" s="7" t="n">
        <v>222</v>
      </c>
      <c r="B213" s="8" t="inlineStr">
        <is>
          <t>Polling Station 222</t>
        </is>
      </c>
      <c r="C213" s="9" t="n">
        <v>5</v>
      </c>
      <c r="D213" s="9" t="n">
        <v>426</v>
      </c>
      <c r="E213" s="9" t="n">
        <v>0</v>
      </c>
      <c r="F213" s="9" t="n">
        <v>108</v>
      </c>
      <c r="G213" s="9" t="n">
        <v>2</v>
      </c>
      <c r="H213" s="9" t="n">
        <v>1</v>
      </c>
      <c r="I213" s="9" t="n">
        <v>6</v>
      </c>
      <c r="J213" s="9" t="n">
        <v>4</v>
      </c>
      <c r="K213" s="9" t="n">
        <v>0</v>
      </c>
      <c r="L213" s="9" t="n">
        <v>1</v>
      </c>
      <c r="M213" s="9" t="n">
        <v>3</v>
      </c>
      <c r="N213" s="9" t="n">
        <v>6</v>
      </c>
      <c r="O213" s="9" t="n">
        <v>7</v>
      </c>
      <c r="P213" s="10" t="n">
        <v>569</v>
      </c>
      <c r="Q213" s="10" t="n">
        <v>0</v>
      </c>
      <c r="R213" s="10" t="n">
        <v>8</v>
      </c>
      <c r="S213" s="10" t="n">
        <v>577</v>
      </c>
      <c r="T213" s="10" t="n">
        <v>0</v>
      </c>
    </row>
    <row r="214">
      <c r="A214" s="7" t="n">
        <v>223</v>
      </c>
      <c r="B214" s="8" t="inlineStr">
        <is>
          <t>Polling Station 223</t>
        </is>
      </c>
      <c r="C214" s="9" t="n">
        <v>2</v>
      </c>
      <c r="D214" s="9" t="n">
        <v>582</v>
      </c>
      <c r="E214" s="9" t="n">
        <v>0</v>
      </c>
      <c r="F214" s="9" t="n">
        <v>140</v>
      </c>
      <c r="G214" s="9" t="n">
        <v>1</v>
      </c>
      <c r="H214" s="9" t="n">
        <v>1</v>
      </c>
      <c r="I214" s="9" t="n">
        <v>1</v>
      </c>
      <c r="J214" s="9" t="n">
        <v>2</v>
      </c>
      <c r="K214" s="9" t="n">
        <v>16</v>
      </c>
      <c r="L214" s="9" t="n">
        <v>0</v>
      </c>
      <c r="M214" s="9" t="n">
        <v>7</v>
      </c>
      <c r="N214" s="9" t="n">
        <v>3</v>
      </c>
      <c r="O214" s="9" t="n">
        <v>4</v>
      </c>
      <c r="P214" s="10" t="n">
        <v>759</v>
      </c>
      <c r="Q214" s="10" t="n">
        <v>0</v>
      </c>
      <c r="R214" s="10" t="n">
        <v>12</v>
      </c>
      <c r="S214" s="10" t="n">
        <v>771</v>
      </c>
      <c r="T214" s="10" t="n">
        <v>0</v>
      </c>
    </row>
    <row r="215">
      <c r="A215" s="7" t="n">
        <v>224</v>
      </c>
      <c r="B215" s="8" t="inlineStr">
        <is>
          <t>Polling Station 224</t>
        </is>
      </c>
      <c r="C215" s="9" t="n">
        <v>0</v>
      </c>
      <c r="D215" s="9" t="n">
        <v>373</v>
      </c>
      <c r="E215" s="9" t="n">
        <v>0</v>
      </c>
      <c r="F215" s="9" t="n">
        <v>82</v>
      </c>
      <c r="G215" s="9" t="n">
        <v>0</v>
      </c>
      <c r="H215" s="9" t="n">
        <v>1</v>
      </c>
      <c r="I215" s="9" t="n">
        <v>6</v>
      </c>
      <c r="J215" s="9" t="n">
        <v>0</v>
      </c>
      <c r="K215" s="9" t="n">
        <v>0</v>
      </c>
      <c r="L215" s="9" t="n">
        <v>2</v>
      </c>
      <c r="M215" s="9" t="n">
        <v>2</v>
      </c>
      <c r="N215" s="9" t="n">
        <v>2</v>
      </c>
      <c r="O215" s="9" t="n">
        <v>6</v>
      </c>
      <c r="P215" s="10" t="n">
        <v>474</v>
      </c>
      <c r="Q215" s="10" t="n">
        <v>0</v>
      </c>
      <c r="R215" s="10" t="n">
        <v>4</v>
      </c>
      <c r="S215" s="10" t="n">
        <v>478</v>
      </c>
      <c r="T215" s="10" t="n">
        <v>0</v>
      </c>
    </row>
    <row r="216">
      <c r="A216" s="7" t="n">
        <v>225</v>
      </c>
      <c r="B216" s="8" t="inlineStr">
        <is>
          <t>Polling Station 225</t>
        </is>
      </c>
      <c r="C216" s="9" t="n">
        <v>0</v>
      </c>
      <c r="D216" s="9" t="n">
        <v>309</v>
      </c>
      <c r="E216" s="9" t="n">
        <v>5</v>
      </c>
      <c r="F216" s="9" t="n">
        <v>62</v>
      </c>
      <c r="G216" s="9" t="n">
        <v>1</v>
      </c>
      <c r="H216" s="9" t="n">
        <v>0</v>
      </c>
      <c r="I216" s="9" t="n">
        <v>3</v>
      </c>
      <c r="J216" s="9" t="n">
        <v>1</v>
      </c>
      <c r="K216" s="9" t="n">
        <v>2</v>
      </c>
      <c r="L216" s="9" t="n">
        <v>0</v>
      </c>
      <c r="M216" s="9" t="n">
        <v>4</v>
      </c>
      <c r="N216" s="9" t="n">
        <v>3</v>
      </c>
      <c r="O216" s="9" t="n">
        <v>38</v>
      </c>
      <c r="P216" s="10" t="n">
        <v>428</v>
      </c>
      <c r="Q216" s="10" t="n">
        <v>0</v>
      </c>
      <c r="R216" s="10" t="n">
        <v>4</v>
      </c>
      <c r="S216" s="10" t="n">
        <v>432</v>
      </c>
      <c r="T216" s="10" t="n">
        <v>0</v>
      </c>
    </row>
    <row r="217">
      <c r="A217" s="7" t="n">
        <v>226</v>
      </c>
      <c r="B217" s="8" t="inlineStr">
        <is>
          <t>Polling Station 226</t>
        </is>
      </c>
      <c r="C217" s="9" t="n">
        <v>8</v>
      </c>
      <c r="D217" s="9" t="n">
        <v>488</v>
      </c>
      <c r="E217" s="9" t="n">
        <v>0</v>
      </c>
      <c r="F217" s="9" t="n">
        <v>89</v>
      </c>
      <c r="G217" s="9" t="n">
        <v>5</v>
      </c>
      <c r="H217" s="9" t="n">
        <v>3</v>
      </c>
      <c r="I217" s="9" t="n">
        <v>3</v>
      </c>
      <c r="J217" s="9" t="n">
        <v>0</v>
      </c>
      <c r="K217" s="9" t="n">
        <v>0</v>
      </c>
      <c r="L217" s="9" t="n">
        <v>2</v>
      </c>
      <c r="M217" s="9" t="n">
        <v>7</v>
      </c>
      <c r="N217" s="9" t="n">
        <v>4</v>
      </c>
      <c r="O217" s="9" t="n">
        <v>7</v>
      </c>
      <c r="P217" s="10" t="n">
        <v>616</v>
      </c>
      <c r="Q217" s="10" t="n">
        <v>0</v>
      </c>
      <c r="R217" s="10" t="n">
        <v>10</v>
      </c>
      <c r="S217" s="10" t="n">
        <v>626</v>
      </c>
      <c r="T217" s="10" t="n">
        <v>0</v>
      </c>
    </row>
    <row r="218">
      <c r="A218" s="7" t="n">
        <v>227</v>
      </c>
      <c r="B218" s="8" t="inlineStr">
        <is>
          <t>Polling Station 227</t>
        </is>
      </c>
      <c r="C218" s="9" t="n">
        <v>2</v>
      </c>
      <c r="D218" s="9" t="n">
        <v>288</v>
      </c>
      <c r="E218" s="9" t="n">
        <v>0</v>
      </c>
      <c r="F218" s="9" t="n">
        <v>134</v>
      </c>
      <c r="G218" s="9" t="n">
        <v>0</v>
      </c>
      <c r="H218" s="9" t="n">
        <v>0</v>
      </c>
      <c r="I218" s="9" t="n">
        <v>1</v>
      </c>
      <c r="J218" s="9" t="n">
        <v>1</v>
      </c>
      <c r="K218" s="9" t="n">
        <v>5</v>
      </c>
      <c r="L218" s="9" t="n">
        <v>2</v>
      </c>
      <c r="M218" s="9" t="n">
        <v>1</v>
      </c>
      <c r="N218" s="9" t="n">
        <v>2</v>
      </c>
      <c r="O218" s="9" t="n">
        <v>6</v>
      </c>
      <c r="P218" s="10" t="n">
        <v>442</v>
      </c>
      <c r="Q218" s="10" t="n">
        <v>0</v>
      </c>
      <c r="R218" s="10" t="n">
        <v>4</v>
      </c>
      <c r="S218" s="10" t="n">
        <v>446</v>
      </c>
      <c r="T218" s="10" t="n">
        <v>0</v>
      </c>
    </row>
    <row r="219">
      <c r="A219" s="7" t="n">
        <v>228</v>
      </c>
      <c r="B219" s="8" t="inlineStr">
        <is>
          <t>Polling Station 228</t>
        </is>
      </c>
      <c r="C219" s="9" t="n">
        <v>0</v>
      </c>
      <c r="D219" s="9" t="n">
        <v>0</v>
      </c>
      <c r="E219" s="9" t="n">
        <v>7</v>
      </c>
      <c r="F219" s="9" t="n">
        <v>188</v>
      </c>
      <c r="G219" s="9" t="n">
        <v>1</v>
      </c>
      <c r="H219" s="9" t="n">
        <v>4</v>
      </c>
      <c r="I219" s="9" t="n">
        <v>2</v>
      </c>
      <c r="J219" s="9" t="n">
        <v>2</v>
      </c>
      <c r="K219" s="9" t="n">
        <v>2</v>
      </c>
      <c r="L219" s="9" t="n">
        <v>0</v>
      </c>
      <c r="M219" s="9" t="n">
        <v>4</v>
      </c>
      <c r="N219" s="9" t="n">
        <v>1</v>
      </c>
      <c r="O219" s="9" t="n">
        <v>9</v>
      </c>
      <c r="P219" s="10" t="n">
        <v>220</v>
      </c>
      <c r="Q219" s="10" t="n">
        <v>0</v>
      </c>
      <c r="R219" s="10" t="n">
        <v>0</v>
      </c>
      <c r="S219" s="10" t="n">
        <v>220</v>
      </c>
      <c r="T219" s="10" t="n">
        <v>0</v>
      </c>
    </row>
    <row r="220">
      <c r="A220" s="7" t="n">
        <v>229</v>
      </c>
      <c r="B220" s="8" t="inlineStr">
        <is>
          <t>Polling Station 229</t>
        </is>
      </c>
      <c r="C220" s="9" t="n">
        <v>7</v>
      </c>
      <c r="D220" s="9" t="n">
        <v>0</v>
      </c>
      <c r="E220" s="9" t="n">
        <v>1</v>
      </c>
      <c r="F220" s="9" t="n">
        <v>135</v>
      </c>
      <c r="G220" s="9" t="n">
        <v>3</v>
      </c>
      <c r="H220" s="9" t="n">
        <v>0</v>
      </c>
      <c r="I220" s="9" t="n">
        <v>0</v>
      </c>
      <c r="J220" s="9" t="n">
        <v>0</v>
      </c>
      <c r="K220" s="9" t="n">
        <v>4</v>
      </c>
      <c r="L220" s="9" t="n">
        <v>1</v>
      </c>
      <c r="M220" s="9" t="n">
        <v>5</v>
      </c>
      <c r="N220" s="9" t="n">
        <v>2</v>
      </c>
      <c r="O220" s="9" t="n">
        <v>3</v>
      </c>
      <c r="P220" s="10" t="n">
        <v>161</v>
      </c>
      <c r="Q220" s="10" t="n">
        <v>0</v>
      </c>
      <c r="R220" s="10" t="n">
        <v>0</v>
      </c>
      <c r="S220" s="10" t="n">
        <v>161</v>
      </c>
      <c r="T220" s="10" t="n">
        <v>0</v>
      </c>
    </row>
    <row r="221">
      <c r="A221" s="7" t="n">
        <v>230</v>
      </c>
      <c r="B221" s="8" t="inlineStr">
        <is>
          <t>Polling Station 230</t>
        </is>
      </c>
      <c r="C221" s="9" t="n">
        <v>0</v>
      </c>
      <c r="D221" s="9" t="n">
        <v>108</v>
      </c>
      <c r="E221" s="9" t="n">
        <v>38</v>
      </c>
      <c r="F221" s="9" t="n">
        <v>462</v>
      </c>
      <c r="G221" s="9" t="n">
        <v>9</v>
      </c>
      <c r="H221" s="9" t="n">
        <v>1</v>
      </c>
      <c r="I221" s="9" t="n">
        <v>1</v>
      </c>
      <c r="J221" s="9" t="n">
        <v>1</v>
      </c>
      <c r="K221" s="9" t="n">
        <v>1</v>
      </c>
      <c r="L221" s="9" t="n">
        <v>0</v>
      </c>
      <c r="M221" s="9" t="n">
        <v>0</v>
      </c>
      <c r="N221" s="9" t="n">
        <v>2</v>
      </c>
      <c r="O221" s="9" t="n">
        <v>3</v>
      </c>
      <c r="P221" s="10" t="n">
        <v>626</v>
      </c>
      <c r="Q221" s="10" t="n">
        <v>0</v>
      </c>
      <c r="R221" s="10" t="n">
        <v>2</v>
      </c>
      <c r="S221" s="10" t="n">
        <v>628</v>
      </c>
      <c r="T221" s="10" t="n">
        <v>0</v>
      </c>
    </row>
    <row r="222">
      <c r="A222" s="7" t="n">
        <v>231</v>
      </c>
      <c r="B222" s="8" t="inlineStr">
        <is>
          <t>Polling Station 231</t>
        </is>
      </c>
      <c r="C222" s="9" t="n">
        <v>0</v>
      </c>
      <c r="D222" s="9" t="n">
        <v>209</v>
      </c>
      <c r="E222" s="9" t="n">
        <v>8</v>
      </c>
      <c r="F222" s="9" t="n">
        <v>519</v>
      </c>
      <c r="G222" s="9" t="n">
        <v>7</v>
      </c>
      <c r="H222" s="9" t="n">
        <v>8</v>
      </c>
      <c r="I222" s="9" t="n">
        <v>0</v>
      </c>
      <c r="J222" s="9" t="n">
        <v>1</v>
      </c>
      <c r="K222" s="9" t="n">
        <v>1</v>
      </c>
      <c r="L222" s="9" t="n">
        <v>5</v>
      </c>
      <c r="M222" s="9" t="n">
        <v>3</v>
      </c>
      <c r="N222" s="9" t="n">
        <v>1</v>
      </c>
      <c r="O222" s="9" t="n">
        <v>6</v>
      </c>
      <c r="P222" s="10" t="n">
        <v>768</v>
      </c>
      <c r="Q222" s="10" t="n">
        <v>0</v>
      </c>
      <c r="R222" s="10" t="n">
        <v>12</v>
      </c>
      <c r="S222" s="10" t="n">
        <v>780</v>
      </c>
      <c r="T222" s="10" t="n">
        <v>0</v>
      </c>
    </row>
    <row r="223">
      <c r="A223" s="7" t="n">
        <v>232</v>
      </c>
      <c r="B223" s="8" t="inlineStr">
        <is>
          <t>Polling Station 232</t>
        </is>
      </c>
      <c r="C223" s="9" t="n">
        <v>8</v>
      </c>
      <c r="D223" s="9" t="n">
        <v>0</v>
      </c>
      <c r="E223" s="9" t="n">
        <v>2</v>
      </c>
      <c r="F223" s="9" t="n">
        <v>488</v>
      </c>
      <c r="G223" s="9" t="n">
        <v>0</v>
      </c>
      <c r="H223" s="9" t="n">
        <v>2</v>
      </c>
      <c r="I223" s="9" t="n">
        <v>1</v>
      </c>
      <c r="J223" s="9" t="n">
        <v>0</v>
      </c>
      <c r="K223" s="9" t="n">
        <v>7</v>
      </c>
      <c r="L223" s="9" t="n">
        <v>4</v>
      </c>
      <c r="M223" s="9" t="n">
        <v>7</v>
      </c>
      <c r="N223" s="9" t="n">
        <v>7</v>
      </c>
      <c r="O223" s="9" t="n">
        <v>6</v>
      </c>
      <c r="P223" s="10" t="n">
        <v>532</v>
      </c>
      <c r="Q223" s="10" t="n">
        <v>0</v>
      </c>
      <c r="R223" s="10" t="n">
        <v>0</v>
      </c>
      <c r="S223" s="10" t="n">
        <v>532</v>
      </c>
      <c r="T223" s="10" t="n">
        <v>0</v>
      </c>
    </row>
    <row r="224">
      <c r="A224" s="7" t="n">
        <v>233</v>
      </c>
      <c r="B224" s="8" t="inlineStr">
        <is>
          <t>Polling Station 233</t>
        </is>
      </c>
      <c r="C224" s="9" t="n">
        <v>16</v>
      </c>
      <c r="D224" s="9" t="n">
        <v>41</v>
      </c>
      <c r="E224" s="9" t="n">
        <v>0</v>
      </c>
      <c r="F224" s="9" t="n">
        <v>285</v>
      </c>
      <c r="G224" s="9" t="n">
        <v>3</v>
      </c>
      <c r="H224" s="9" t="n">
        <v>4</v>
      </c>
      <c r="I224" s="9" t="n">
        <v>1</v>
      </c>
      <c r="J224" s="9" t="n">
        <v>0</v>
      </c>
      <c r="K224" s="9" t="n">
        <v>4</v>
      </c>
      <c r="L224" s="9" t="n">
        <v>2</v>
      </c>
      <c r="M224" s="9" t="n">
        <v>3</v>
      </c>
      <c r="N224" s="9" t="n">
        <v>2</v>
      </c>
      <c r="O224" s="9" t="n">
        <v>14</v>
      </c>
      <c r="P224" s="10" t="n">
        <v>375</v>
      </c>
      <c r="Q224" s="10" t="n">
        <v>0</v>
      </c>
      <c r="R224" s="10" t="n">
        <v>4</v>
      </c>
      <c r="S224" s="10" t="n">
        <v>379</v>
      </c>
      <c r="T224" s="10" t="n">
        <v>0</v>
      </c>
    </row>
    <row r="225">
      <c r="A225" s="7" t="n">
        <v>234</v>
      </c>
      <c r="B225" s="8" t="inlineStr">
        <is>
          <t>Polling Station 234</t>
        </is>
      </c>
      <c r="C225" s="9" t="n">
        <v>0</v>
      </c>
      <c r="D225" s="9" t="n">
        <v>524</v>
      </c>
      <c r="E225" s="9" t="n">
        <v>0</v>
      </c>
      <c r="F225" s="9" t="n">
        <v>189</v>
      </c>
      <c r="G225" s="9" t="n">
        <v>2</v>
      </c>
      <c r="H225" s="9" t="n">
        <v>0</v>
      </c>
      <c r="I225" s="9" t="n">
        <v>2</v>
      </c>
      <c r="J225" s="9" t="n">
        <v>2</v>
      </c>
      <c r="K225" s="9" t="n">
        <v>0</v>
      </c>
      <c r="L225" s="9" t="n">
        <v>5</v>
      </c>
      <c r="M225" s="9" t="n">
        <v>12</v>
      </c>
      <c r="N225" s="9" t="n">
        <v>0</v>
      </c>
      <c r="O225" s="9" t="n">
        <v>4</v>
      </c>
      <c r="P225" s="10" t="n">
        <v>740</v>
      </c>
      <c r="Q225" s="10" t="n">
        <v>0</v>
      </c>
      <c r="R225" s="10" t="n">
        <v>22</v>
      </c>
      <c r="S225" s="10" t="n">
        <v>762</v>
      </c>
      <c r="T225" s="10" t="n">
        <v>0</v>
      </c>
    </row>
    <row r="226">
      <c r="A226" s="7" t="n">
        <v>235</v>
      </c>
      <c r="B226" s="8" t="inlineStr">
        <is>
          <t>Polling Station 235</t>
        </is>
      </c>
      <c r="C226" s="9" t="n">
        <v>0</v>
      </c>
      <c r="D226" s="9" t="n">
        <v>470</v>
      </c>
      <c r="E226" s="9" t="n">
        <v>16</v>
      </c>
      <c r="F226" s="9" t="n">
        <v>244</v>
      </c>
      <c r="G226" s="9" t="n">
        <v>1</v>
      </c>
      <c r="H226" s="9" t="n">
        <v>3</v>
      </c>
      <c r="I226" s="9" t="n">
        <v>2</v>
      </c>
      <c r="J226" s="9" t="n">
        <v>0</v>
      </c>
      <c r="K226" s="9" t="n">
        <v>8</v>
      </c>
      <c r="L226" s="9" t="n">
        <v>4</v>
      </c>
      <c r="M226" s="9" t="n">
        <v>0</v>
      </c>
      <c r="N226" s="9" t="n">
        <v>0</v>
      </c>
      <c r="O226" s="9" t="n">
        <v>0</v>
      </c>
      <c r="P226" s="10" t="n">
        <v>748</v>
      </c>
      <c r="Q226" s="10" t="n">
        <v>0</v>
      </c>
      <c r="R226" s="10" t="n">
        <v>0</v>
      </c>
      <c r="S226" s="10" t="n">
        <v>748</v>
      </c>
      <c r="T226" s="10" t="n">
        <v>0</v>
      </c>
    </row>
    <row r="227">
      <c r="A227" s="7" t="n">
        <v>236</v>
      </c>
      <c r="B227" s="8" t="inlineStr">
        <is>
          <t>Polling Station 236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7</v>
      </c>
      <c r="N227" s="9" t="n">
        <v>0</v>
      </c>
      <c r="O227" s="9" t="n">
        <v>0</v>
      </c>
      <c r="P227" s="10" t="n">
        <v>7</v>
      </c>
      <c r="Q227" s="10" t="n">
        <v>0</v>
      </c>
      <c r="R227" s="10" t="n">
        <v>0</v>
      </c>
      <c r="S227" s="10" t="n">
        <v>7</v>
      </c>
      <c r="T227" s="10" t="n">
        <v>0</v>
      </c>
    </row>
    <row r="228">
      <c r="A228" s="7" t="n">
        <v>237</v>
      </c>
      <c r="B228" s="8" t="inlineStr">
        <is>
          <t>Polling Station 237</t>
        </is>
      </c>
      <c r="C228" s="9" t="n">
        <v>3</v>
      </c>
      <c r="D228" s="9" t="n">
        <v>273</v>
      </c>
      <c r="E228" s="9" t="n">
        <v>0</v>
      </c>
      <c r="F228" s="9" t="n">
        <v>6</v>
      </c>
      <c r="G228" s="9" t="n">
        <v>0</v>
      </c>
      <c r="H228" s="9" t="n">
        <v>1</v>
      </c>
      <c r="I228" s="9" t="n">
        <v>0</v>
      </c>
      <c r="J228" s="9" t="n">
        <v>1</v>
      </c>
      <c r="K228" s="9" t="n">
        <v>0</v>
      </c>
      <c r="L228" s="9" t="n">
        <v>0</v>
      </c>
      <c r="M228" s="9" t="n">
        <v>0</v>
      </c>
      <c r="N228" s="9" t="n">
        <v>2</v>
      </c>
      <c r="O228" s="9" t="n">
        <v>5</v>
      </c>
      <c r="P228" s="10" t="n">
        <v>291</v>
      </c>
      <c r="Q228" s="10" t="n">
        <v>0</v>
      </c>
      <c r="R228" s="10" t="n">
        <v>0</v>
      </c>
      <c r="S228" s="10" t="n">
        <v>291</v>
      </c>
      <c r="T228" s="10" t="n">
        <v>0</v>
      </c>
    </row>
    <row r="229">
      <c r="A229" s="7" t="n">
        <v>238</v>
      </c>
      <c r="B229" s="8" t="inlineStr">
        <is>
          <t>Polling Station 238</t>
        </is>
      </c>
      <c r="C229" s="9" t="n">
        <v>0</v>
      </c>
      <c r="D229" s="9" t="n">
        <v>0</v>
      </c>
      <c r="E229" s="9" t="n">
        <v>5</v>
      </c>
      <c r="F229" s="9" t="n">
        <v>6</v>
      </c>
      <c r="G229" s="9" t="n">
        <v>7</v>
      </c>
      <c r="H229" s="9" t="n">
        <v>0</v>
      </c>
      <c r="I229" s="9" t="n">
        <v>9</v>
      </c>
      <c r="J229" s="9" t="n">
        <v>10</v>
      </c>
      <c r="K229" s="9" t="n">
        <v>0</v>
      </c>
      <c r="L229" s="9" t="n">
        <v>42</v>
      </c>
      <c r="M229" s="9" t="n">
        <v>0</v>
      </c>
      <c r="N229" s="9" t="n">
        <v>1</v>
      </c>
      <c r="O229" s="9" t="n">
        <v>0</v>
      </c>
      <c r="P229" s="10" t="n">
        <v>80</v>
      </c>
      <c r="Q229" s="10" t="n">
        <v>0</v>
      </c>
      <c r="R229" s="10" t="n">
        <v>0</v>
      </c>
      <c r="S229" s="10" t="n">
        <v>80</v>
      </c>
      <c r="T229" s="10" t="n">
        <v>0</v>
      </c>
    </row>
    <row r="230">
      <c r="A230" s="7" t="n">
        <v>239</v>
      </c>
      <c r="B230" s="8" t="inlineStr">
        <is>
          <t>Polling Station 239</t>
        </is>
      </c>
      <c r="C230" s="9" t="n">
        <v>0</v>
      </c>
      <c r="D230" s="9" t="n">
        <v>403</v>
      </c>
      <c r="E230" s="9" t="n">
        <v>12</v>
      </c>
      <c r="F230" s="9" t="n">
        <v>188</v>
      </c>
      <c r="G230" s="9" t="n">
        <v>1</v>
      </c>
      <c r="H230" s="9" t="n">
        <v>1</v>
      </c>
      <c r="I230" s="9" t="n">
        <v>0</v>
      </c>
      <c r="J230" s="9" t="n">
        <v>0</v>
      </c>
      <c r="K230" s="9" t="n">
        <v>3</v>
      </c>
      <c r="L230" s="9" t="n">
        <v>0</v>
      </c>
      <c r="M230" s="9" t="n">
        <v>2</v>
      </c>
      <c r="N230" s="9" t="n">
        <v>1</v>
      </c>
      <c r="O230" s="9" t="n">
        <v>1</v>
      </c>
      <c r="P230" s="10" t="n">
        <v>612</v>
      </c>
      <c r="Q230" s="10" t="n">
        <v>0</v>
      </c>
      <c r="R230" s="10" t="n">
        <v>0</v>
      </c>
      <c r="S230" s="10" t="n">
        <v>612</v>
      </c>
      <c r="T230" s="10" t="n">
        <v>7</v>
      </c>
    </row>
    <row r="231">
      <c r="A231" s="7" t="n">
        <v>240</v>
      </c>
      <c r="B231" s="8" t="inlineStr">
        <is>
          <t>Polling Station 240</t>
        </is>
      </c>
      <c r="C231" s="9" t="n">
        <v>0</v>
      </c>
      <c r="D231" s="9" t="n">
        <v>392</v>
      </c>
      <c r="E231" s="9" t="n">
        <v>15</v>
      </c>
      <c r="F231" s="9" t="n">
        <v>132</v>
      </c>
      <c r="G231" s="9" t="n">
        <v>0</v>
      </c>
      <c r="H231" s="9" t="n">
        <v>1</v>
      </c>
      <c r="I231" s="9" t="n">
        <v>2</v>
      </c>
      <c r="J231" s="9" t="n">
        <v>0</v>
      </c>
      <c r="K231" s="9" t="n">
        <v>0</v>
      </c>
      <c r="L231" s="9" t="n">
        <v>0</v>
      </c>
      <c r="M231" s="9" t="n">
        <v>2</v>
      </c>
      <c r="N231" s="9" t="n">
        <v>2</v>
      </c>
      <c r="O231" s="9" t="n">
        <v>10</v>
      </c>
      <c r="P231" s="10" t="n">
        <v>556</v>
      </c>
      <c r="Q231" s="10" t="n">
        <v>0</v>
      </c>
      <c r="R231" s="10" t="n">
        <v>0</v>
      </c>
      <c r="S231" s="10" t="n">
        <v>556</v>
      </c>
      <c r="T231" s="10" t="n">
        <v>0</v>
      </c>
    </row>
    <row r="232">
      <c r="A232" s="7" t="n">
        <v>241</v>
      </c>
      <c r="B232" s="8" t="inlineStr">
        <is>
          <t>Polling Station 241</t>
        </is>
      </c>
      <c r="C232" s="9" t="n">
        <v>0</v>
      </c>
      <c r="D232" s="9" t="n">
        <v>282</v>
      </c>
      <c r="E232" s="9" t="n">
        <v>10</v>
      </c>
      <c r="F232" s="9" t="n">
        <v>205</v>
      </c>
      <c r="G232" s="9" t="n">
        <v>1</v>
      </c>
      <c r="H232" s="9" t="n">
        <v>0</v>
      </c>
      <c r="I232" s="9" t="n">
        <v>1</v>
      </c>
      <c r="J232" s="9" t="n">
        <v>4</v>
      </c>
      <c r="K232" s="9" t="n">
        <v>5</v>
      </c>
      <c r="L232" s="9" t="n">
        <v>0</v>
      </c>
      <c r="M232" s="9" t="n">
        <v>6</v>
      </c>
      <c r="N232" s="9" t="n">
        <v>3</v>
      </c>
      <c r="O232" s="9" t="n">
        <v>5</v>
      </c>
      <c r="P232" s="10" t="n">
        <v>522</v>
      </c>
      <c r="Q232" s="10" t="n">
        <v>0</v>
      </c>
      <c r="R232" s="10" t="n">
        <v>0</v>
      </c>
      <c r="S232" s="10" t="n">
        <v>522</v>
      </c>
      <c r="T232" s="10" t="n">
        <v>0</v>
      </c>
    </row>
    <row r="233">
      <c r="A233" s="7" t="n">
        <v>242</v>
      </c>
      <c r="B233" s="8" t="inlineStr">
        <is>
          <t>Polling Station 242</t>
        </is>
      </c>
      <c r="C233" s="9" t="n">
        <v>10</v>
      </c>
      <c r="D233" s="9" t="n">
        <v>465</v>
      </c>
      <c r="E233" s="9" t="n">
        <v>0</v>
      </c>
      <c r="F233" s="9" t="n">
        <v>295</v>
      </c>
      <c r="G233" s="9" t="n">
        <v>2</v>
      </c>
      <c r="H233" s="9" t="n">
        <v>0</v>
      </c>
      <c r="I233" s="9" t="n">
        <v>1</v>
      </c>
      <c r="J233" s="9" t="n">
        <v>0</v>
      </c>
      <c r="K233" s="9" t="n">
        <v>6</v>
      </c>
      <c r="L233" s="9" t="n">
        <v>1</v>
      </c>
      <c r="M233" s="9" t="n">
        <v>4</v>
      </c>
      <c r="N233" s="9" t="n">
        <v>5</v>
      </c>
      <c r="O233" s="9" t="n">
        <v>10</v>
      </c>
      <c r="P233" s="10" t="n">
        <v>799</v>
      </c>
      <c r="Q233" s="10" t="n">
        <v>0</v>
      </c>
      <c r="R233" s="10" t="n">
        <v>0</v>
      </c>
      <c r="S233" s="10" t="n">
        <v>799</v>
      </c>
      <c r="T233" s="10" t="n">
        <v>0</v>
      </c>
    </row>
    <row r="234">
      <c r="A234" s="7" t="n">
        <v>243</v>
      </c>
      <c r="B234" s="8" t="inlineStr">
        <is>
          <t>Polling Station 243</t>
        </is>
      </c>
      <c r="C234" s="9" t="n">
        <v>20</v>
      </c>
      <c r="D234" s="9" t="n">
        <v>400</v>
      </c>
      <c r="E234" s="9" t="n">
        <v>12</v>
      </c>
      <c r="F234" s="9" t="n">
        <v>3</v>
      </c>
      <c r="G234" s="9" t="n">
        <v>8</v>
      </c>
      <c r="H234" s="9" t="n">
        <v>0</v>
      </c>
      <c r="I234" s="9" t="n">
        <v>1</v>
      </c>
      <c r="J234" s="9" t="n">
        <v>2</v>
      </c>
      <c r="K234" s="9" t="n">
        <v>3</v>
      </c>
      <c r="L234" s="9" t="n">
        <v>4</v>
      </c>
      <c r="M234" s="9" t="n">
        <v>4</v>
      </c>
      <c r="N234" s="9" t="n">
        <v>1</v>
      </c>
      <c r="O234" s="9" t="n">
        <v>13</v>
      </c>
      <c r="P234" s="10" t="n">
        <v>471</v>
      </c>
      <c r="Q234" s="10" t="n">
        <v>0</v>
      </c>
      <c r="R234" s="10" t="n">
        <v>0</v>
      </c>
      <c r="S234" s="10" t="n">
        <v>471</v>
      </c>
      <c r="T234" s="10" t="n">
        <v>0</v>
      </c>
    </row>
    <row r="235">
      <c r="A235" s="7" t="n">
        <v>244</v>
      </c>
      <c r="B235" s="8" t="inlineStr">
        <is>
          <t>Polling Station 244</t>
        </is>
      </c>
      <c r="C235" s="9" t="n">
        <v>13</v>
      </c>
      <c r="D235" s="9" t="n">
        <v>0</v>
      </c>
      <c r="E235" s="9" t="n">
        <v>7</v>
      </c>
      <c r="F235" s="9" t="n">
        <v>0</v>
      </c>
      <c r="G235" s="9" t="n">
        <v>3</v>
      </c>
      <c r="H235" s="9" t="n">
        <v>1</v>
      </c>
      <c r="I235" s="9" t="n">
        <v>2</v>
      </c>
      <c r="J235" s="9" t="n">
        <v>0</v>
      </c>
      <c r="K235" s="9" t="n">
        <v>0</v>
      </c>
      <c r="L235" s="9" t="n">
        <v>2</v>
      </c>
      <c r="M235" s="9" t="n">
        <v>6</v>
      </c>
      <c r="N235" s="9" t="n">
        <v>5</v>
      </c>
      <c r="O235" s="9" t="n">
        <v>10</v>
      </c>
      <c r="P235" s="10" t="n">
        <v>49</v>
      </c>
      <c r="Q235" s="10" t="n">
        <v>0</v>
      </c>
      <c r="R235" s="10" t="n">
        <v>7</v>
      </c>
      <c r="S235" s="10" t="n">
        <v>56</v>
      </c>
      <c r="T235" s="10" t="n">
        <v>0</v>
      </c>
    </row>
    <row r="236">
      <c r="A236" s="7" t="n">
        <v>245</v>
      </c>
      <c r="B236" s="8" t="inlineStr">
        <is>
          <t>Polling Station 245</t>
        </is>
      </c>
      <c r="C236" s="9" t="n">
        <v>3</v>
      </c>
      <c r="D236" s="9" t="n">
        <v>873</v>
      </c>
      <c r="E236" s="9" t="n">
        <v>2</v>
      </c>
      <c r="F236" s="9" t="n">
        <v>0</v>
      </c>
      <c r="G236" s="9" t="n">
        <v>1</v>
      </c>
      <c r="H236" s="9" t="n">
        <v>1</v>
      </c>
      <c r="I236" s="9" t="n">
        <v>0</v>
      </c>
      <c r="J236" s="9" t="n">
        <v>0</v>
      </c>
      <c r="K236" s="9" t="n">
        <v>1</v>
      </c>
      <c r="L236" s="9" t="n">
        <v>2</v>
      </c>
      <c r="M236" s="9" t="n">
        <v>2</v>
      </c>
      <c r="N236" s="9" t="n">
        <v>1</v>
      </c>
      <c r="O236" s="9" t="n">
        <v>3</v>
      </c>
      <c r="P236" s="10" t="n">
        <v>889</v>
      </c>
      <c r="Q236" s="10" t="n">
        <v>0</v>
      </c>
      <c r="R236" s="10" t="n">
        <v>1</v>
      </c>
      <c r="S236" s="10" t="n">
        <v>890</v>
      </c>
      <c r="T236" s="10" t="n">
        <v>0</v>
      </c>
    </row>
    <row r="237">
      <c r="A237" s="7" t="n">
        <v>246</v>
      </c>
      <c r="B237" s="8" t="inlineStr">
        <is>
          <t>Polling Station 246</t>
        </is>
      </c>
      <c r="C237" s="9" t="n">
        <v>2</v>
      </c>
      <c r="D237" s="9" t="n">
        <v>217</v>
      </c>
      <c r="E237" s="9" t="n">
        <v>0</v>
      </c>
      <c r="F237" s="9" t="n">
        <v>53</v>
      </c>
      <c r="G237" s="9" t="n">
        <v>2</v>
      </c>
      <c r="H237" s="9" t="n">
        <v>1</v>
      </c>
      <c r="I237" s="9" t="n">
        <v>1</v>
      </c>
      <c r="J237" s="9" t="n">
        <v>2</v>
      </c>
      <c r="K237" s="9" t="n">
        <v>2</v>
      </c>
      <c r="L237" s="9" t="n">
        <v>7</v>
      </c>
      <c r="M237" s="9" t="n">
        <v>0</v>
      </c>
      <c r="N237" s="9" t="n">
        <v>0</v>
      </c>
      <c r="O237" s="9" t="n">
        <v>1</v>
      </c>
      <c r="P237" s="10" t="n">
        <v>288</v>
      </c>
      <c r="Q237" s="10" t="n">
        <v>0</v>
      </c>
      <c r="R237" s="10" t="n">
        <v>0</v>
      </c>
      <c r="S237" s="10" t="n">
        <v>288</v>
      </c>
      <c r="T237" s="10" t="n">
        <v>0</v>
      </c>
    </row>
    <row r="238">
      <c r="A238" s="7" t="n">
        <v>247</v>
      </c>
      <c r="B238" s="8" t="inlineStr">
        <is>
          <t>Polling Station 247</t>
        </is>
      </c>
      <c r="C238" s="9" t="n">
        <v>24</v>
      </c>
      <c r="D238" s="9" t="n">
        <v>0</v>
      </c>
      <c r="E238" s="9" t="n">
        <v>12</v>
      </c>
      <c r="F238" s="9" t="n">
        <v>0</v>
      </c>
      <c r="G238" s="9" t="n">
        <v>0</v>
      </c>
      <c r="H238" s="9" t="n">
        <v>1</v>
      </c>
      <c r="I238" s="9" t="n">
        <v>0</v>
      </c>
      <c r="J238" s="9" t="n">
        <v>0</v>
      </c>
      <c r="K238" s="9" t="n">
        <v>1</v>
      </c>
      <c r="L238" s="9" t="n">
        <v>0</v>
      </c>
      <c r="M238" s="9" t="n">
        <v>2</v>
      </c>
      <c r="N238" s="9" t="n">
        <v>1</v>
      </c>
      <c r="O238" s="9" t="n">
        <v>2</v>
      </c>
      <c r="P238" s="10" t="n">
        <v>43</v>
      </c>
      <c r="Q238" s="10" t="n">
        <v>0</v>
      </c>
      <c r="R238" s="10" t="n">
        <v>6</v>
      </c>
      <c r="S238" s="10" t="n">
        <v>49</v>
      </c>
      <c r="T238" s="10" t="n">
        <v>0</v>
      </c>
    </row>
    <row r="239">
      <c r="A239" s="7" t="n">
        <v>248</v>
      </c>
      <c r="B239" s="8" t="inlineStr">
        <is>
          <t>Polling Station 248</t>
        </is>
      </c>
      <c r="C239" s="9" t="n">
        <v>7</v>
      </c>
      <c r="D239" s="9" t="n">
        <v>474</v>
      </c>
      <c r="E239" s="9" t="n">
        <v>14</v>
      </c>
      <c r="F239" s="9" t="n">
        <v>0</v>
      </c>
      <c r="G239" s="9" t="n">
        <v>1</v>
      </c>
      <c r="H239" s="9" t="n">
        <v>0</v>
      </c>
      <c r="I239" s="9" t="n">
        <v>2</v>
      </c>
      <c r="J239" s="9" t="n">
        <v>0</v>
      </c>
      <c r="K239" s="9" t="n">
        <v>3</v>
      </c>
      <c r="L239" s="9" t="n">
        <v>1</v>
      </c>
      <c r="M239" s="9" t="n">
        <v>3</v>
      </c>
      <c r="N239" s="9" t="n">
        <v>2</v>
      </c>
      <c r="O239" s="9" t="n">
        <v>7</v>
      </c>
      <c r="P239" s="10" t="n">
        <v>514</v>
      </c>
      <c r="Q239" s="10" t="n">
        <v>0</v>
      </c>
      <c r="R239" s="10" t="n">
        <v>0</v>
      </c>
      <c r="S239" s="10" t="n">
        <v>514</v>
      </c>
      <c r="T239" s="10" t="n">
        <v>0</v>
      </c>
    </row>
    <row r="240">
      <c r="A240" s="7" t="n">
        <v>249</v>
      </c>
      <c r="B240" s="8" t="inlineStr">
        <is>
          <t>Polling Station 249</t>
        </is>
      </c>
      <c r="C240" s="9" t="n">
        <v>7</v>
      </c>
      <c r="D240" s="9" t="n">
        <v>6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1</v>
      </c>
      <c r="L240" s="9" t="n">
        <v>0</v>
      </c>
      <c r="M240" s="9" t="n">
        <v>0</v>
      </c>
      <c r="N240" s="9" t="n">
        <v>1</v>
      </c>
      <c r="O240" s="9" t="n">
        <v>1</v>
      </c>
      <c r="P240" s="10" t="n">
        <v>16</v>
      </c>
      <c r="Q240" s="10" t="n">
        <v>0</v>
      </c>
      <c r="R240" s="10" t="n">
        <v>0</v>
      </c>
      <c r="S240" s="10" t="n">
        <v>16</v>
      </c>
      <c r="T240" s="10" t="n">
        <v>0</v>
      </c>
    </row>
    <row r="241">
      <c r="A241" s="7" t="n">
        <v>250</v>
      </c>
      <c r="B241" s="8" t="inlineStr">
        <is>
          <t>Polling Station 250</t>
        </is>
      </c>
      <c r="C241" s="9" t="n">
        <v>0</v>
      </c>
      <c r="D241" s="9" t="n">
        <v>449</v>
      </c>
      <c r="E241" s="9" t="n">
        <v>10</v>
      </c>
      <c r="F241" s="9" t="n">
        <v>93</v>
      </c>
      <c r="G241" s="9" t="n">
        <v>0</v>
      </c>
      <c r="H241" s="9" t="n">
        <v>0</v>
      </c>
      <c r="I241" s="9" t="n">
        <v>1</v>
      </c>
      <c r="J241" s="9" t="n">
        <v>1</v>
      </c>
      <c r="K241" s="9" t="n">
        <v>9</v>
      </c>
      <c r="L241" s="9" t="n">
        <v>0</v>
      </c>
      <c r="M241" s="9" t="n">
        <v>6</v>
      </c>
      <c r="N241" s="9" t="n">
        <v>1</v>
      </c>
      <c r="O241" s="9" t="n">
        <v>14</v>
      </c>
      <c r="P241" s="10" t="n">
        <v>584</v>
      </c>
      <c r="Q241" s="10" t="n">
        <v>0</v>
      </c>
      <c r="R241" s="10" t="n">
        <v>0</v>
      </c>
      <c r="S241" s="10" t="n">
        <v>584</v>
      </c>
      <c r="T241" s="10" t="n">
        <v>0</v>
      </c>
    </row>
    <row r="242">
      <c r="A242" s="7" t="n">
        <v>251</v>
      </c>
      <c r="B242" s="8" t="inlineStr">
        <is>
          <t>Polling Station 251</t>
        </is>
      </c>
      <c r="C242" s="9" t="n">
        <v>2</v>
      </c>
      <c r="D242" s="9" t="n">
        <v>214</v>
      </c>
      <c r="E242" s="9" t="n">
        <v>3</v>
      </c>
      <c r="F242" s="9" t="n">
        <v>3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1</v>
      </c>
      <c r="M242" s="9" t="n">
        <v>0</v>
      </c>
      <c r="N242" s="9" t="n">
        <v>0</v>
      </c>
      <c r="O242" s="9" t="n">
        <v>3</v>
      </c>
      <c r="P242" s="10" t="n">
        <v>226</v>
      </c>
      <c r="Q242" s="10" t="n">
        <v>0</v>
      </c>
      <c r="R242" s="10" t="n">
        <v>2</v>
      </c>
      <c r="S242" s="10" t="n">
        <v>228</v>
      </c>
      <c r="T242" s="10" t="n">
        <v>0</v>
      </c>
    </row>
    <row r="243">
      <c r="A243" s="7" t="n">
        <v>252</v>
      </c>
      <c r="B243" s="8" t="inlineStr">
        <is>
          <t>Polling Station 252</t>
        </is>
      </c>
      <c r="C243" s="9" t="n">
        <v>2</v>
      </c>
      <c r="D243" s="9" t="n">
        <v>333</v>
      </c>
      <c r="E243" s="9" t="n">
        <v>0</v>
      </c>
      <c r="F243" s="9" t="n">
        <v>0</v>
      </c>
      <c r="G243" s="9" t="n">
        <v>2</v>
      </c>
      <c r="H243" s="9" t="n">
        <v>0</v>
      </c>
      <c r="I243" s="9" t="n">
        <v>0</v>
      </c>
      <c r="J243" s="9" t="n">
        <v>1</v>
      </c>
      <c r="K243" s="9" t="n">
        <v>4</v>
      </c>
      <c r="L243" s="9" t="n">
        <v>0</v>
      </c>
      <c r="M243" s="9" t="n">
        <v>3</v>
      </c>
      <c r="N243" s="9" t="n">
        <v>0</v>
      </c>
      <c r="O243" s="9" t="n">
        <v>4</v>
      </c>
      <c r="P243" s="10" t="n">
        <v>349</v>
      </c>
      <c r="Q243" s="10" t="n">
        <v>0</v>
      </c>
      <c r="R243" s="10" t="n">
        <v>10</v>
      </c>
      <c r="S243" s="10" t="n">
        <v>359</v>
      </c>
      <c r="T243" s="10" t="n">
        <v>0</v>
      </c>
    </row>
    <row r="244">
      <c r="A244" s="7" t="n">
        <v>253</v>
      </c>
      <c r="B244" s="8" t="inlineStr">
        <is>
          <t>Polling Station 253</t>
        </is>
      </c>
      <c r="C244" s="9" t="n">
        <v>0</v>
      </c>
      <c r="D244" s="9" t="n">
        <v>428</v>
      </c>
      <c r="E244" s="9" t="n">
        <v>4</v>
      </c>
      <c r="F244" s="9" t="n">
        <v>0</v>
      </c>
      <c r="G244" s="9" t="n">
        <v>1</v>
      </c>
      <c r="H244" s="9" t="n">
        <v>2</v>
      </c>
      <c r="I244" s="9" t="n">
        <v>1</v>
      </c>
      <c r="J244" s="9" t="n">
        <v>2</v>
      </c>
      <c r="K244" s="9" t="n">
        <v>0</v>
      </c>
      <c r="L244" s="9" t="n">
        <v>0</v>
      </c>
      <c r="M244" s="9" t="n">
        <v>5</v>
      </c>
      <c r="N244" s="9" t="n">
        <v>0</v>
      </c>
      <c r="O244" s="9" t="n">
        <v>2</v>
      </c>
      <c r="P244" s="10" t="n">
        <v>445</v>
      </c>
      <c r="Q244" s="10" t="n">
        <v>0</v>
      </c>
      <c r="R244" s="10" t="n">
        <v>20</v>
      </c>
      <c r="S244" s="10" t="n">
        <v>465</v>
      </c>
      <c r="T244" s="10" t="n">
        <v>0</v>
      </c>
    </row>
    <row r="245">
      <c r="A245" s="7" t="n">
        <v>254</v>
      </c>
      <c r="B245" s="8" t="inlineStr">
        <is>
          <t>Polling Station 254</t>
        </is>
      </c>
      <c r="C245" s="9" t="n">
        <v>0</v>
      </c>
      <c r="D245" s="9" t="n">
        <v>407</v>
      </c>
      <c r="E245" s="9" t="n">
        <v>4</v>
      </c>
      <c r="F245" s="9" t="n">
        <v>45</v>
      </c>
      <c r="G245" s="9" t="n">
        <v>1</v>
      </c>
      <c r="H245" s="9" t="n">
        <v>3</v>
      </c>
      <c r="I245" s="9" t="n">
        <v>1</v>
      </c>
      <c r="J245" s="9" t="n">
        <v>0</v>
      </c>
      <c r="K245" s="9" t="n">
        <v>0</v>
      </c>
      <c r="L245" s="9" t="n">
        <v>0</v>
      </c>
      <c r="M245" s="9" t="n">
        <v>2</v>
      </c>
      <c r="N245" s="9" t="n">
        <v>1</v>
      </c>
      <c r="O245" s="9" t="n">
        <v>4</v>
      </c>
      <c r="P245" s="10" t="n">
        <v>468</v>
      </c>
      <c r="Q245" s="10" t="n">
        <v>0</v>
      </c>
      <c r="R245" s="10" t="n">
        <v>7</v>
      </c>
      <c r="S245" s="10" t="n">
        <v>475</v>
      </c>
      <c r="T245" s="10" t="n">
        <v>0</v>
      </c>
    </row>
    <row r="246">
      <c r="A246" s="7" t="n">
        <v>255</v>
      </c>
      <c r="B246" s="8" t="inlineStr">
        <is>
          <t>Polling Station 255</t>
        </is>
      </c>
      <c r="C246" s="9" t="n">
        <v>16</v>
      </c>
      <c r="D246" s="9" t="n">
        <v>0</v>
      </c>
      <c r="E246" s="9" t="n">
        <v>10</v>
      </c>
      <c r="F246" s="9" t="n">
        <v>0</v>
      </c>
      <c r="G246" s="9" t="n">
        <v>4</v>
      </c>
      <c r="H246" s="9" t="n">
        <v>4</v>
      </c>
      <c r="I246" s="9" t="n">
        <v>1</v>
      </c>
      <c r="J246" s="9" t="n">
        <v>1</v>
      </c>
      <c r="K246" s="9" t="n">
        <v>5</v>
      </c>
      <c r="L246" s="9" t="n">
        <v>4</v>
      </c>
      <c r="M246" s="9" t="n">
        <v>7</v>
      </c>
      <c r="N246" s="9" t="n">
        <v>3</v>
      </c>
      <c r="O246" s="9" t="n">
        <v>26</v>
      </c>
      <c r="P246" s="10" t="n">
        <v>81</v>
      </c>
      <c r="Q246" s="10" t="n">
        <v>0</v>
      </c>
      <c r="R246" s="10" t="n">
        <v>16</v>
      </c>
      <c r="S246" s="10" t="n">
        <v>97</v>
      </c>
      <c r="T246" s="10" t="n">
        <v>0</v>
      </c>
    </row>
    <row r="247">
      <c r="A247" s="7" t="n">
        <v>256</v>
      </c>
      <c r="B247" s="8" t="inlineStr">
        <is>
          <t>Polling Station 256</t>
        </is>
      </c>
      <c r="C247" s="9" t="n">
        <v>7</v>
      </c>
      <c r="D247" s="9" t="n">
        <v>464</v>
      </c>
      <c r="E247" s="9" t="n">
        <v>0</v>
      </c>
      <c r="F247" s="9" t="n">
        <v>204</v>
      </c>
      <c r="G247" s="9" t="n">
        <v>0</v>
      </c>
      <c r="H247" s="9" t="n">
        <v>1</v>
      </c>
      <c r="I247" s="9" t="n">
        <v>0</v>
      </c>
      <c r="J247" s="9" t="n">
        <v>3</v>
      </c>
      <c r="K247" s="9" t="n">
        <v>5</v>
      </c>
      <c r="L247" s="9" t="n">
        <v>0</v>
      </c>
      <c r="M247" s="9" t="n">
        <v>4</v>
      </c>
      <c r="N247" s="9" t="n">
        <v>4</v>
      </c>
      <c r="O247" s="9" t="n">
        <v>8</v>
      </c>
      <c r="P247" s="10" t="n">
        <v>700</v>
      </c>
      <c r="Q247" s="10" t="n">
        <v>0</v>
      </c>
      <c r="R247" s="10" t="n">
        <v>13</v>
      </c>
      <c r="S247" s="10" t="n">
        <v>713</v>
      </c>
      <c r="T247" s="10" t="n">
        <v>0</v>
      </c>
    </row>
    <row r="248">
      <c r="A248" s="7" t="n">
        <v>257</v>
      </c>
      <c r="B248" s="8" t="inlineStr">
        <is>
          <t>Polling Station 257</t>
        </is>
      </c>
      <c r="C248" s="9" t="n">
        <v>8</v>
      </c>
      <c r="D248" s="9" t="n">
        <v>212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1</v>
      </c>
      <c r="L248" s="9" t="n">
        <v>1</v>
      </c>
      <c r="M248" s="9" t="n">
        <v>0</v>
      </c>
      <c r="N248" s="9" t="n">
        <v>7</v>
      </c>
      <c r="O248" s="9" t="n">
        <v>4</v>
      </c>
      <c r="P248" s="10" t="n">
        <v>233</v>
      </c>
      <c r="Q248" s="10" t="n">
        <v>0</v>
      </c>
      <c r="R248" s="10" t="n">
        <v>2</v>
      </c>
      <c r="S248" s="10" t="n">
        <v>235</v>
      </c>
      <c r="T248" s="10" t="n">
        <v>0</v>
      </c>
    </row>
    <row r="249">
      <c r="A249" s="7" t="n">
        <v>258</v>
      </c>
      <c r="B249" s="8" t="inlineStr">
        <is>
          <t>Polling Station 258</t>
        </is>
      </c>
      <c r="C249" s="9" t="n">
        <v>12</v>
      </c>
      <c r="D249" s="9" t="n">
        <v>481</v>
      </c>
      <c r="E249" s="9" t="n">
        <v>0</v>
      </c>
      <c r="F249" s="9" t="n">
        <v>138</v>
      </c>
      <c r="G249" s="9" t="n">
        <v>2</v>
      </c>
      <c r="H249" s="9" t="n">
        <v>0</v>
      </c>
      <c r="I249" s="9" t="n">
        <v>0</v>
      </c>
      <c r="J249" s="9" t="n">
        <v>0</v>
      </c>
      <c r="K249" s="9" t="n">
        <v>3</v>
      </c>
      <c r="L249" s="9" t="n">
        <v>1</v>
      </c>
      <c r="M249" s="9" t="n">
        <v>5</v>
      </c>
      <c r="N249" s="9" t="n">
        <v>1</v>
      </c>
      <c r="O249" s="9" t="n">
        <v>5</v>
      </c>
      <c r="P249" s="10" t="n">
        <v>648</v>
      </c>
      <c r="Q249" s="10" t="n">
        <v>0</v>
      </c>
      <c r="R249" s="10" t="n">
        <v>9</v>
      </c>
      <c r="S249" s="10" t="n">
        <v>657</v>
      </c>
      <c r="T249" s="10" t="n">
        <v>0</v>
      </c>
    </row>
    <row r="250">
      <c r="A250" s="7" t="n">
        <v>259</v>
      </c>
      <c r="B250" s="8" t="inlineStr">
        <is>
          <t>Polling Station 259</t>
        </is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10" t="n">
        <v>0</v>
      </c>
      <c r="Q250" s="10" t="n">
        <v>0</v>
      </c>
      <c r="R250" s="10" t="n">
        <v>4</v>
      </c>
      <c r="S250" s="10" t="n">
        <v>4</v>
      </c>
      <c r="T250" s="10" t="n">
        <v>0</v>
      </c>
    </row>
    <row r="251">
      <c r="A251" s="7" t="n">
        <v>260</v>
      </c>
      <c r="B251" s="8" t="inlineStr">
        <is>
          <t>‘SI.No.of Polling
Station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</row>
    <row r="252">
      <c r="A252" s="7" t="n">
        <v>261</v>
      </c>
      <c r="B252" s="8" t="inlineStr">
        <is>
          <t>Polling Station 261</t>
        </is>
      </c>
      <c r="C252" s="9" t="n">
        <v>0</v>
      </c>
      <c r="D252" s="9" t="n">
        <v>0</v>
      </c>
      <c r="E252" s="9" t="n">
        <v>5</v>
      </c>
      <c r="F252" s="9" t="n">
        <v>0</v>
      </c>
      <c r="G252" s="9" t="n">
        <v>7</v>
      </c>
      <c r="H252" s="9" t="n">
        <v>8</v>
      </c>
      <c r="I252" s="9" t="n">
        <v>9</v>
      </c>
      <c r="J252" s="9" t="n">
        <v>10</v>
      </c>
      <c r="K252" s="9" t="n">
        <v>0</v>
      </c>
      <c r="L252" s="9" t="n">
        <v>12</v>
      </c>
      <c r="M252" s="9" t="n">
        <v>413</v>
      </c>
      <c r="N252" s="9" t="n">
        <v>4</v>
      </c>
      <c r="O252" s="9" t="n">
        <v>0</v>
      </c>
      <c r="P252" s="10" t="n">
        <v>468</v>
      </c>
      <c r="Q252" s="10" t="n">
        <v>7</v>
      </c>
      <c r="R252" s="10" t="n">
        <v>0</v>
      </c>
      <c r="S252" s="10" t="n">
        <v>475</v>
      </c>
      <c r="T252" s="10" t="n">
        <v>0</v>
      </c>
    </row>
    <row r="253">
      <c r="A253" s="7" t="n">
        <v>262</v>
      </c>
      <c r="B253" s="8" t="inlineStr">
        <is>
          <t>Polling Station 262</t>
        </is>
      </c>
      <c r="C253" s="9" t="n">
        <v>23</v>
      </c>
      <c r="D253" s="9" t="n">
        <v>0</v>
      </c>
      <c r="E253" s="9" t="n">
        <v>0</v>
      </c>
      <c r="F253" s="9" t="n">
        <v>160</v>
      </c>
      <c r="G253" s="9" t="n">
        <v>1</v>
      </c>
      <c r="H253" s="9" t="n">
        <v>3</v>
      </c>
      <c r="I253" s="9" t="n">
        <v>2</v>
      </c>
      <c r="J253" s="9" t="n">
        <v>0</v>
      </c>
      <c r="K253" s="9" t="n">
        <v>5</v>
      </c>
      <c r="L253" s="9" t="n">
        <v>0</v>
      </c>
      <c r="M253" s="9" t="n">
        <v>8</v>
      </c>
      <c r="N253" s="9" t="n">
        <v>0</v>
      </c>
      <c r="O253" s="9" t="n">
        <v>0</v>
      </c>
      <c r="P253" s="10" t="n">
        <v>202</v>
      </c>
      <c r="Q253" s="10" t="n">
        <v>0</v>
      </c>
      <c r="R253" s="10" t="n">
        <v>5</v>
      </c>
      <c r="S253" s="10" t="n">
        <v>207</v>
      </c>
      <c r="T253" s="10" t="n">
        <v>0</v>
      </c>
    </row>
    <row r="254">
      <c r="A254" s="7" t="n">
        <v>263</v>
      </c>
      <c r="B254" s="8" t="inlineStr">
        <is>
          <t>Polling Station 263</t>
        </is>
      </c>
      <c r="C254" s="9" t="n">
        <v>0</v>
      </c>
      <c r="D254" s="9" t="n">
        <v>0</v>
      </c>
      <c r="E254" s="9" t="n">
        <v>0</v>
      </c>
      <c r="F254" s="9" t="n">
        <v>244</v>
      </c>
      <c r="G254" s="9" t="n">
        <v>2</v>
      </c>
      <c r="H254" s="9" t="n">
        <v>0</v>
      </c>
      <c r="I254" s="9" t="n">
        <v>2</v>
      </c>
      <c r="J254" s="9" t="n">
        <v>1</v>
      </c>
      <c r="K254" s="9" t="n">
        <v>7</v>
      </c>
      <c r="L254" s="9" t="n">
        <v>0</v>
      </c>
      <c r="M254" s="9" t="n">
        <v>3</v>
      </c>
      <c r="N254" s="9" t="n">
        <v>0</v>
      </c>
      <c r="O254" s="9" t="n">
        <v>0</v>
      </c>
      <c r="P254" s="10" t="n">
        <v>259</v>
      </c>
      <c r="Q254" s="10" t="n">
        <v>0</v>
      </c>
      <c r="R254" s="10" t="n">
        <v>5</v>
      </c>
      <c r="S254" s="10" t="n">
        <v>264</v>
      </c>
      <c r="T254" s="10" t="n">
        <v>0</v>
      </c>
    </row>
    <row r="255">
      <c r="A255" s="7" t="n">
        <v>264</v>
      </c>
      <c r="B255" s="8" t="inlineStr">
        <is>
          <t>Polling Station 264</t>
        </is>
      </c>
      <c r="C255" s="9" t="n">
        <v>0</v>
      </c>
      <c r="D255" s="9" t="n">
        <v>382</v>
      </c>
      <c r="E255" s="9" t="n">
        <v>0</v>
      </c>
      <c r="F255" s="9" t="n">
        <v>107</v>
      </c>
      <c r="G255" s="9" t="n">
        <v>0</v>
      </c>
      <c r="H255" s="9" t="n">
        <v>1</v>
      </c>
      <c r="I255" s="9" t="n">
        <v>0</v>
      </c>
      <c r="J255" s="9" t="n">
        <v>0</v>
      </c>
      <c r="K255" s="9" t="n">
        <v>2</v>
      </c>
      <c r="L255" s="9" t="n">
        <v>0</v>
      </c>
      <c r="M255" s="9" t="n">
        <v>4</v>
      </c>
      <c r="N255" s="9" t="n">
        <v>0</v>
      </c>
      <c r="O255" s="9" t="n">
        <v>1</v>
      </c>
      <c r="P255" s="10" t="n">
        <v>497</v>
      </c>
      <c r="Q255" s="10" t="n">
        <v>0</v>
      </c>
      <c r="R255" s="10" t="n">
        <v>2</v>
      </c>
      <c r="S255" s="10" t="n">
        <v>499</v>
      </c>
      <c r="T255" s="10" t="n">
        <v>0</v>
      </c>
    </row>
    <row r="256">
      <c r="A256" s="7" t="n">
        <v>265</v>
      </c>
      <c r="B256" s="8" t="inlineStr">
        <is>
          <t>| 262</t>
        </is>
      </c>
      <c r="C256" s="9" t="n">
        <v>0</v>
      </c>
      <c r="D256" s="9" t="n">
        <v>612</v>
      </c>
      <c r="E256" s="9" t="n">
        <v>0</v>
      </c>
      <c r="F256" s="9" t="n">
        <v>272</v>
      </c>
      <c r="G256" s="9" t="n">
        <v>4</v>
      </c>
      <c r="H256" s="9" t="n">
        <v>1</v>
      </c>
      <c r="I256" s="9" t="n">
        <v>2</v>
      </c>
      <c r="J256" s="9" t="n">
        <v>1</v>
      </c>
      <c r="K256" s="9" t="n">
        <v>4</v>
      </c>
      <c r="L256" s="9" t="n">
        <v>2</v>
      </c>
      <c r="M256" s="9" t="n">
        <v>6</v>
      </c>
      <c r="N256" s="9" t="n">
        <v>0</v>
      </c>
      <c r="O256" s="9" t="n">
        <v>8</v>
      </c>
      <c r="P256" s="10" t="n">
        <v>912</v>
      </c>
      <c r="Q256" s="10" t="n">
        <v>0</v>
      </c>
      <c r="R256" s="10" t="n">
        <v>9</v>
      </c>
      <c r="S256" s="10" t="n">
        <v>921</v>
      </c>
      <c r="T256" s="10" t="n">
        <v>0</v>
      </c>
    </row>
    <row r="257">
      <c r="A257" s="7" t="n">
        <v>266</v>
      </c>
      <c r="B257" s="8" t="inlineStr">
        <is>
          <t>Polling Station 266</t>
        </is>
      </c>
      <c r="C257" s="9" t="n">
        <v>7</v>
      </c>
      <c r="D257" s="9" t="n">
        <v>872</v>
      </c>
      <c r="E257" s="9" t="n">
        <v>8</v>
      </c>
      <c r="F257" s="9" t="n">
        <v>133</v>
      </c>
      <c r="G257" s="9" t="n">
        <v>5</v>
      </c>
      <c r="H257" s="9" t="n">
        <v>0</v>
      </c>
      <c r="I257" s="9" t="n">
        <v>1</v>
      </c>
      <c r="J257" s="9" t="n">
        <v>1</v>
      </c>
      <c r="K257" s="9" t="n">
        <v>2</v>
      </c>
      <c r="L257" s="9" t="n">
        <v>4</v>
      </c>
      <c r="M257" s="9" t="n">
        <v>0</v>
      </c>
      <c r="N257" s="9" t="n">
        <v>2</v>
      </c>
      <c r="O257" s="9" t="n">
        <v>15</v>
      </c>
      <c r="P257" s="10" t="n">
        <v>1050</v>
      </c>
      <c r="Q257" s="10" t="n">
        <v>0</v>
      </c>
      <c r="R257" s="10" t="n">
        <v>12</v>
      </c>
      <c r="S257" s="10" t="n">
        <v>1062</v>
      </c>
      <c r="T257" s="10" t="n">
        <v>0</v>
      </c>
    </row>
    <row r="258">
      <c r="A258" s="7" t="n">
        <v>267</v>
      </c>
      <c r="B258" s="8" t="inlineStr">
        <is>
          <t>Polling Station 267</t>
        </is>
      </c>
      <c r="C258" s="9" t="n">
        <v>0</v>
      </c>
      <c r="D258" s="9" t="n">
        <v>873</v>
      </c>
      <c r="E258" s="9" t="n">
        <v>0</v>
      </c>
      <c r="F258" s="9" t="n">
        <v>6</v>
      </c>
      <c r="G258" s="9" t="n">
        <v>4</v>
      </c>
      <c r="H258" s="9" t="n">
        <v>0</v>
      </c>
      <c r="I258" s="9" t="n">
        <v>0</v>
      </c>
      <c r="J258" s="9" t="n">
        <v>0</v>
      </c>
      <c r="K258" s="9" t="n">
        <v>5</v>
      </c>
      <c r="L258" s="9" t="n">
        <v>0</v>
      </c>
      <c r="M258" s="9" t="n">
        <v>6</v>
      </c>
      <c r="N258" s="9" t="n">
        <v>4</v>
      </c>
      <c r="O258" s="9" t="n">
        <v>0</v>
      </c>
      <c r="P258" s="10" t="n">
        <v>898</v>
      </c>
      <c r="Q258" s="10" t="n">
        <v>0</v>
      </c>
      <c r="R258" s="10" t="n">
        <v>13</v>
      </c>
      <c r="S258" s="10" t="n">
        <v>911</v>
      </c>
      <c r="T258" s="10" t="n">
        <v>0</v>
      </c>
    </row>
    <row r="259">
      <c r="A259" s="7" t="n">
        <v>268</v>
      </c>
      <c r="B259" s="8" t="inlineStr">
        <is>
          <t>Polling Station 268</t>
        </is>
      </c>
      <c r="C259" s="9" t="n">
        <v>0</v>
      </c>
      <c r="D259" s="9" t="n">
        <v>47</v>
      </c>
      <c r="E259" s="9" t="n">
        <v>3</v>
      </c>
      <c r="F259" s="9" t="n">
        <v>94</v>
      </c>
      <c r="G259" s="9" t="n">
        <v>0</v>
      </c>
      <c r="H259" s="9" t="n">
        <v>1</v>
      </c>
      <c r="I259" s="9" t="n">
        <v>1</v>
      </c>
      <c r="J259" s="9" t="n">
        <v>1</v>
      </c>
      <c r="K259" s="9" t="n">
        <v>5</v>
      </c>
      <c r="L259" s="9" t="n">
        <v>3</v>
      </c>
      <c r="M259" s="9" t="n">
        <v>4</v>
      </c>
      <c r="N259" s="9" t="n">
        <v>3</v>
      </c>
      <c r="O259" s="9" t="n">
        <v>7</v>
      </c>
      <c r="P259" s="10" t="n">
        <v>169</v>
      </c>
      <c r="Q259" s="10" t="n">
        <v>0</v>
      </c>
      <c r="R259" s="10" t="n">
        <v>3</v>
      </c>
      <c r="S259" s="10" t="n">
        <v>172</v>
      </c>
      <c r="T259" s="10" t="n">
        <v>0</v>
      </c>
    </row>
    <row r="260">
      <c r="A260" s="7" t="n">
        <v>269</v>
      </c>
      <c r="B260" s="8" t="inlineStr">
        <is>
          <t>Polling Station 269</t>
        </is>
      </c>
      <c r="C260" s="9" t="n">
        <v>0</v>
      </c>
      <c r="D260" s="9" t="n">
        <v>31</v>
      </c>
      <c r="E260" s="9" t="n">
        <v>10</v>
      </c>
      <c r="F260" s="9" t="n">
        <v>186</v>
      </c>
      <c r="G260" s="9" t="n">
        <v>5</v>
      </c>
      <c r="H260" s="9" t="n">
        <v>1</v>
      </c>
      <c r="I260" s="9" t="n">
        <v>1</v>
      </c>
      <c r="J260" s="9" t="n">
        <v>1</v>
      </c>
      <c r="K260" s="9" t="n">
        <v>3</v>
      </c>
      <c r="L260" s="9" t="n">
        <v>0</v>
      </c>
      <c r="M260" s="9" t="n">
        <v>8</v>
      </c>
      <c r="N260" s="9" t="n">
        <v>3</v>
      </c>
      <c r="O260" s="9" t="n">
        <v>10</v>
      </c>
      <c r="P260" s="10" t="n">
        <v>259</v>
      </c>
      <c r="Q260" s="10" t="n">
        <v>0</v>
      </c>
      <c r="R260" s="10" t="n">
        <v>9</v>
      </c>
      <c r="S260" s="10" t="n">
        <v>268</v>
      </c>
      <c r="T260" s="10" t="n">
        <v>0</v>
      </c>
    </row>
    <row r="261">
      <c r="A261" s="7" t="n">
        <v>270</v>
      </c>
      <c r="B261" s="8" t="inlineStr">
        <is>
          <t>Polling Station 270</t>
        </is>
      </c>
      <c r="C261" s="9" t="n">
        <v>7</v>
      </c>
      <c r="D261" s="9" t="n">
        <v>320</v>
      </c>
      <c r="E261" s="9" t="n">
        <v>10</v>
      </c>
      <c r="F261" s="9" t="n">
        <v>123</v>
      </c>
      <c r="G261" s="9" t="n">
        <v>4</v>
      </c>
      <c r="H261" s="9" t="n">
        <v>1</v>
      </c>
      <c r="I261" s="9" t="n">
        <v>1</v>
      </c>
      <c r="J261" s="9" t="n">
        <v>2</v>
      </c>
      <c r="K261" s="9" t="n">
        <v>0</v>
      </c>
      <c r="L261" s="9" t="n">
        <v>2</v>
      </c>
      <c r="M261" s="9" t="n">
        <v>6</v>
      </c>
      <c r="N261" s="9" t="n">
        <v>4</v>
      </c>
      <c r="O261" s="9" t="n">
        <v>5</v>
      </c>
      <c r="P261" s="10" t="n">
        <v>485</v>
      </c>
      <c r="Q261" s="10" t="n">
        <v>0</v>
      </c>
      <c r="R261" s="10" t="n">
        <v>14</v>
      </c>
      <c r="S261" s="10" t="n">
        <v>499</v>
      </c>
      <c r="T261" s="10" t="n">
        <v>0</v>
      </c>
    </row>
    <row r="262">
      <c r="A262" s="7" t="n">
        <v>271</v>
      </c>
      <c r="B262" s="8" t="inlineStr">
        <is>
          <t>Polling Station 271</t>
        </is>
      </c>
      <c r="C262" s="9" t="n">
        <v>0</v>
      </c>
      <c r="D262" s="9" t="n">
        <v>6</v>
      </c>
      <c r="E262" s="9" t="n">
        <v>4</v>
      </c>
      <c r="F262" s="9" t="n">
        <v>319</v>
      </c>
      <c r="G262" s="9" t="n">
        <v>3</v>
      </c>
      <c r="H262" s="9" t="n">
        <v>3</v>
      </c>
      <c r="I262" s="9" t="n">
        <v>0</v>
      </c>
      <c r="J262" s="9" t="n">
        <v>0</v>
      </c>
      <c r="K262" s="9" t="n">
        <v>3</v>
      </c>
      <c r="L262" s="9" t="n">
        <v>1</v>
      </c>
      <c r="M262" s="9" t="n">
        <v>2</v>
      </c>
      <c r="N262" s="9" t="n">
        <v>0</v>
      </c>
      <c r="O262" s="9" t="n">
        <v>2</v>
      </c>
      <c r="P262" s="10" t="n">
        <v>343</v>
      </c>
      <c r="Q262" s="10" t="n">
        <v>0</v>
      </c>
      <c r="R262" s="10" t="n">
        <v>4</v>
      </c>
      <c r="S262" s="10" t="n">
        <v>347</v>
      </c>
      <c r="T262" s="10" t="n">
        <v>0</v>
      </c>
    </row>
    <row r="263">
      <c r="A263" s="7" t="n">
        <v>272</v>
      </c>
      <c r="B263" s="8" t="inlineStr">
        <is>
          <t>Polling Station 272</t>
        </is>
      </c>
      <c r="C263" s="9" t="n">
        <v>0</v>
      </c>
      <c r="D263" s="9" t="n">
        <v>372</v>
      </c>
      <c r="E263" s="9" t="n">
        <v>9</v>
      </c>
      <c r="F263" s="9" t="n">
        <v>231</v>
      </c>
      <c r="G263" s="9" t="n">
        <v>2</v>
      </c>
      <c r="H263" s="9" t="n">
        <v>2</v>
      </c>
      <c r="I263" s="9" t="n">
        <v>2</v>
      </c>
      <c r="J263" s="9" t="n">
        <v>0</v>
      </c>
      <c r="K263" s="9" t="n">
        <v>4</v>
      </c>
      <c r="L263" s="9" t="n">
        <v>3</v>
      </c>
      <c r="M263" s="9" t="n">
        <v>8</v>
      </c>
      <c r="N263" s="9" t="n">
        <v>4</v>
      </c>
      <c r="O263" s="9" t="n">
        <v>20</v>
      </c>
      <c r="P263" s="10" t="n">
        <v>657</v>
      </c>
      <c r="Q263" s="10" t="n">
        <v>0</v>
      </c>
      <c r="R263" s="10" t="n">
        <v>14</v>
      </c>
      <c r="S263" s="10" t="n">
        <v>671</v>
      </c>
      <c r="T263" s="10" t="n">
        <v>0</v>
      </c>
    </row>
    <row r="264">
      <c r="A264" s="7" t="n">
        <v>273</v>
      </c>
      <c r="B264" s="8" t="inlineStr">
        <is>
          <t>Polling Station 273</t>
        </is>
      </c>
      <c r="C264" s="9" t="n">
        <v>0</v>
      </c>
      <c r="D264" s="9" t="n">
        <v>175</v>
      </c>
      <c r="E264" s="9" t="n">
        <v>0</v>
      </c>
      <c r="F264" s="9" t="n">
        <v>150</v>
      </c>
      <c r="G264" s="9" t="n">
        <v>0</v>
      </c>
      <c r="H264" s="9" t="n">
        <v>3</v>
      </c>
      <c r="I264" s="9" t="n">
        <v>3</v>
      </c>
      <c r="J264" s="9" t="n">
        <v>0</v>
      </c>
      <c r="K264" s="9" t="n">
        <v>0</v>
      </c>
      <c r="L264" s="9" t="n">
        <v>2</v>
      </c>
      <c r="M264" s="9" t="n">
        <v>6</v>
      </c>
      <c r="N264" s="9" t="n">
        <v>1</v>
      </c>
      <c r="O264" s="9" t="n">
        <v>9</v>
      </c>
      <c r="P264" s="10" t="n">
        <v>349</v>
      </c>
      <c r="Q264" s="10" t="n">
        <v>0</v>
      </c>
      <c r="R264" s="10" t="n">
        <v>5</v>
      </c>
      <c r="S264" s="10" t="n">
        <v>354</v>
      </c>
      <c r="T264" s="10" t="n">
        <v>0</v>
      </c>
    </row>
    <row r="265">
      <c r="A265" s="11" t="inlineStr">
        <is>
          <t>TOTAL EVM VOTES</t>
        </is>
      </c>
      <c r="B265" s="12" t="n"/>
      <c r="C265" s="13">
        <f>SUM(C6:C264)</f>
        <v/>
      </c>
      <c r="D265" s="13">
        <f>SUM(D6:D264)</f>
        <v/>
      </c>
      <c r="E265" s="13">
        <f>SUM(E6:E264)</f>
        <v/>
      </c>
      <c r="F265" s="13">
        <f>SUM(F6:F264)</f>
        <v/>
      </c>
      <c r="G265" s="13">
        <f>SUM(G6:G264)</f>
        <v/>
      </c>
      <c r="H265" s="13">
        <f>SUM(H6:H264)</f>
        <v/>
      </c>
      <c r="I265" s="13">
        <f>SUM(I6:I264)</f>
        <v/>
      </c>
      <c r="J265" s="13">
        <f>SUM(J6:J264)</f>
        <v/>
      </c>
      <c r="K265" s="13">
        <f>SUM(K6:K264)</f>
        <v/>
      </c>
      <c r="L265" s="13">
        <f>SUM(L6:L264)</f>
        <v/>
      </c>
      <c r="M265" s="13">
        <f>SUM(M6:M264)</f>
        <v/>
      </c>
      <c r="N265" s="13">
        <f>SUM(N6:N264)</f>
        <v/>
      </c>
      <c r="O265" s="13">
        <f>SUM(O6:O264)</f>
        <v/>
      </c>
      <c r="P265" s="13">
        <f>SUM(P6:P264)</f>
        <v/>
      </c>
      <c r="Q265" s="13">
        <f>SUM(Q6:Q264)</f>
        <v/>
      </c>
      <c r="R265" s="13">
        <f>SUM(R6:R264)</f>
        <v/>
      </c>
      <c r="S265" s="13">
        <f>SUM(S6:S264)</f>
        <v/>
      </c>
      <c r="T265" s="13">
        <f>SUM(T6:T264)</f>
        <v/>
      </c>
    </row>
    <row r="266">
      <c r="A266" s="11" t="inlineStr">
        <is>
          <t>POSTAL BALLOT VOTES</t>
        </is>
      </c>
      <c r="B266" s="12" t="n"/>
      <c r="C266" s="13" t="n">
        <v>0</v>
      </c>
      <c r="D266" s="13" t="n">
        <v>0</v>
      </c>
      <c r="E266" s="13" t="n">
        <v>0</v>
      </c>
      <c r="F266" s="13" t="n">
        <v>0</v>
      </c>
      <c r="G266" s="13" t="n">
        <v>0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  <c r="M266" s="13" t="n">
        <v>0</v>
      </c>
      <c r="N266" s="13" t="n">
        <v>0</v>
      </c>
      <c r="O266" s="13" t="n">
        <v>0</v>
      </c>
      <c r="P266" s="13" t="n">
        <v>0</v>
      </c>
      <c r="Q266" s="13" t="n">
        <v>0</v>
      </c>
      <c r="R266" s="13" t="n">
        <v>0</v>
      </c>
      <c r="S266" s="13" t="n">
        <v>0</v>
      </c>
      <c r="T266" s="13" t="n">
        <v>0</v>
      </c>
    </row>
    <row r="267">
      <c r="A267" s="11" t="inlineStr">
        <is>
          <t>TOTAL VOTES POLLED</t>
        </is>
      </c>
      <c r="B267" s="12" t="n"/>
      <c r="C267" s="14">
        <f>C265+C266</f>
        <v/>
      </c>
      <c r="D267" s="14">
        <f>D265+D266</f>
        <v/>
      </c>
      <c r="E267" s="14">
        <f>E265+E266</f>
        <v/>
      </c>
      <c r="F267" s="14">
        <f>F265+F266</f>
        <v/>
      </c>
      <c r="G267" s="14">
        <f>G265+G266</f>
        <v/>
      </c>
      <c r="H267" s="14">
        <f>H265+H266</f>
        <v/>
      </c>
      <c r="I267" s="14">
        <f>I265+I266</f>
        <v/>
      </c>
      <c r="J267" s="14">
        <f>J265+J266</f>
        <v/>
      </c>
      <c r="K267" s="14">
        <f>K265+K266</f>
        <v/>
      </c>
      <c r="L267" s="14">
        <f>L265+L266</f>
        <v/>
      </c>
      <c r="M267" s="14">
        <f>M265+M266</f>
        <v/>
      </c>
      <c r="N267" s="14">
        <f>N265+N266</f>
        <v/>
      </c>
      <c r="O267" s="14">
        <f>O265+O266</f>
        <v/>
      </c>
      <c r="P267" s="14">
        <f>P265+P266</f>
        <v/>
      </c>
      <c r="Q267" s="14">
        <f>Q265+Q266</f>
        <v/>
      </c>
      <c r="R267" s="14">
        <f>R265+R266</f>
        <v/>
      </c>
      <c r="S267" s="14">
        <f>S265+S266</f>
        <v/>
      </c>
      <c r="T267" s="14">
        <f>T265+T266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5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6" customWidth="1" min="4" max="4"/>
    <col width="23" customWidth="1" min="5" max="5"/>
    <col width="22" customWidth="1" min="6" max="6"/>
    <col width="17" customWidth="1" min="7" max="7"/>
    <col width="22" customWidth="1" min="8" max="8"/>
    <col width="16" customWidth="1" min="9" max="9"/>
    <col width="17" customWidth="1" min="10" max="10"/>
    <col width="19" customWidth="1" min="11" max="11"/>
    <col width="16" customWidth="1" min="12" max="12"/>
    <col width="23" customWidth="1" min="13" max="13"/>
    <col width="19" customWidth="1" min="14" max="14"/>
    <col width="20" customWidth="1" min="15" max="15"/>
    <col width="17" customWidth="1" min="16" max="16"/>
    <col width="16" customWidth="1" min="17" max="17"/>
    <col width="16" customWidth="1" min="18" max="18"/>
    <col width="17" customWidth="1" min="19" max="19"/>
    <col width="23" customWidth="1" min="20" max="20"/>
    <col width="13" customWidth="1" min="21" max="21"/>
  </cols>
  <sheetData>
    <row r="1">
      <c r="A1" s="15" t="inlineStr">
        <is>
          <t>ANNEXURE - 45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15" t="inlineStr">
        <is>
          <t>FINAL RESULT SHEET [SEE RULE 56C(2)(C)]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5" t="inlineStr">
        <is>
          <t>ELECTION TO THE TELANGANA STATE LEGISLATIVE ASSEMBLY FROM 30-MANAKONDUR (SC) ASSEMBLY CONSTITUENCY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15" t="inlineStr">
        <is>
          <t>PART - I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42" customHeight="1">
      <c r="A5" s="16" t="inlineStr">
        <is>
          <t>PS_No</t>
        </is>
      </c>
      <c r="B5" s="17" t="inlineStr">
        <is>
          <t>PS_Name</t>
        </is>
      </c>
      <c r="C5" s="16" t="inlineStr">
        <is>
          <t>AREPALLY MOHAN</t>
        </is>
      </c>
      <c r="D5" s="16" t="inlineStr">
        <is>
          <t>GADDAM NAGARAJU</t>
        </is>
      </c>
      <c r="E5" s="16" t="inlineStr">
        <is>
          <t>DUBBA NEERAJA</t>
        </is>
      </c>
      <c r="F5" s="16" t="inlineStr">
        <is>
          <t>NISHANI RAMACHANDRAM</t>
        </is>
      </c>
      <c r="G5" s="16" t="inlineStr">
        <is>
          <t>RASAMAYI BALAKISHAN</t>
        </is>
      </c>
      <c r="H5" s="16" t="inlineStr">
        <is>
          <t>KARRE RAVINDER</t>
        </is>
      </c>
      <c r="I5" s="16" t="inlineStr">
        <is>
          <t>JAKKANAPALLY GANESH</t>
        </is>
      </c>
      <c r="J5" s="16" t="inlineStr">
        <is>
          <t>GEEDI SADAIAH</t>
        </is>
      </c>
      <c r="K5" s="16" t="inlineStr">
        <is>
          <t>PRABHAKAR MORE</t>
        </is>
      </c>
      <c r="L5" s="16" t="inlineStr">
        <is>
          <t>MANJULA YANAMALA</t>
        </is>
      </c>
      <c r="M5" s="16" t="inlineStr">
        <is>
          <t>MADDELA ODELU</t>
        </is>
      </c>
      <c r="N5" s="16" t="inlineStr">
        <is>
          <t>SAMANAPELLI ANTHAIAH</t>
        </is>
      </c>
      <c r="O5" s="16" t="inlineStr">
        <is>
          <t>ANDE BHANUMURTHI</t>
        </is>
      </c>
      <c r="P5" s="16" t="inlineStr">
        <is>
          <t>Total_Valid_Votes</t>
        </is>
      </c>
      <c r="Q5" s="16" t="inlineStr">
        <is>
          <t>Rejected_Votes</t>
        </is>
      </c>
      <c r="R5" s="16" t="inlineStr">
        <is>
          <t>NOTA</t>
        </is>
      </c>
      <c r="S5" s="16" t="inlineStr">
        <is>
          <t>Total_Votes</t>
        </is>
      </c>
      <c r="T5" s="16" t="inlineStr">
        <is>
          <t>Tendered_Votes</t>
        </is>
      </c>
      <c r="U5" s="16" t="inlineStr">
        <is>
          <t>Checksum_Diff</t>
        </is>
      </c>
    </row>
    <row r="6">
      <c r="A6" s="18" t="n">
        <v>1</v>
      </c>
      <c r="B6" s="19" t="inlineStr">
        <is>
          <t>Lingapur</t>
        </is>
      </c>
      <c r="C6" s="20" t="n">
        <v>214</v>
      </c>
      <c r="D6" s="20" t="n">
        <v>21</v>
      </c>
      <c r="E6" s="20" t="n">
        <v>0</v>
      </c>
      <c r="F6" s="20" t="n">
        <v>4</v>
      </c>
      <c r="G6" s="20" t="n">
        <v>437</v>
      </c>
      <c r="H6" s="20" t="n">
        <v>2</v>
      </c>
      <c r="I6" s="20" t="n">
        <v>1</v>
      </c>
      <c r="J6" s="20" t="n">
        <v>1</v>
      </c>
      <c r="K6" s="20" t="n">
        <v>25</v>
      </c>
      <c r="L6" s="20" t="n">
        <v>2</v>
      </c>
      <c r="M6" s="20" t="n">
        <v>1</v>
      </c>
      <c r="N6" s="20" t="n">
        <v>1</v>
      </c>
      <c r="O6" s="20" t="n">
        <v>0</v>
      </c>
      <c r="P6" s="20" t="n">
        <v>709</v>
      </c>
      <c r="Q6" s="20" t="n">
        <v>0</v>
      </c>
      <c r="R6" s="20" t="n">
        <v>5</v>
      </c>
      <c r="S6" s="20" t="n">
        <v>714</v>
      </c>
      <c r="T6" s="20" t="n">
        <v>0</v>
      </c>
      <c r="U6" s="20">
        <f>SUM(C6:O6)-P6</f>
        <v/>
      </c>
    </row>
    <row r="7">
      <c r="A7" s="18" t="n">
        <v>2</v>
      </c>
      <c r="B7" s="19" t="inlineStr">
        <is>
          <t>Lingapur</t>
        </is>
      </c>
      <c r="C7" s="20" t="n">
        <v>221</v>
      </c>
      <c r="D7" s="20" t="n">
        <v>0</v>
      </c>
      <c r="E7" s="20" t="n">
        <v>2</v>
      </c>
      <c r="F7" s="20" t="n">
        <v>7</v>
      </c>
      <c r="G7" s="20" t="n">
        <v>398</v>
      </c>
      <c r="H7" s="20" t="n">
        <v>9</v>
      </c>
      <c r="I7" s="20" t="n">
        <v>2</v>
      </c>
      <c r="J7" s="20" t="n">
        <v>2</v>
      </c>
      <c r="K7" s="20" t="n">
        <v>48</v>
      </c>
      <c r="L7" s="20" t="n">
        <v>2</v>
      </c>
      <c r="M7" s="20" t="n">
        <v>3</v>
      </c>
      <c r="N7" s="20" t="n">
        <v>0</v>
      </c>
      <c r="O7" s="20" t="n">
        <v>4</v>
      </c>
      <c r="P7" s="20" t="n">
        <v>698</v>
      </c>
      <c r="Q7" s="20" t="n">
        <v>0</v>
      </c>
      <c r="R7" s="20" t="n">
        <v>0</v>
      </c>
      <c r="S7" s="20" t="n">
        <v>698</v>
      </c>
      <c r="T7" s="20" t="n">
        <v>0</v>
      </c>
      <c r="U7" s="20">
        <f>SUM(C7:O7)-P7</f>
        <v/>
      </c>
    </row>
    <row r="8">
      <c r="A8" s="18" t="n">
        <v>3</v>
      </c>
      <c r="B8" s="19" t="inlineStr">
        <is>
          <t>Manakondur</t>
        </is>
      </c>
      <c r="C8" s="20" t="n">
        <v>191</v>
      </c>
      <c r="D8" s="20" t="n">
        <v>7</v>
      </c>
      <c r="E8" s="20" t="n">
        <v>0</v>
      </c>
      <c r="F8" s="20" t="n">
        <v>2</v>
      </c>
      <c r="G8" s="20" t="n">
        <v>378</v>
      </c>
      <c r="H8" s="20" t="n">
        <v>1</v>
      </c>
      <c r="I8" s="20" t="n">
        <v>0</v>
      </c>
      <c r="J8" s="20" t="n">
        <v>1</v>
      </c>
      <c r="K8" s="20" t="n">
        <v>44</v>
      </c>
      <c r="L8" s="20" t="n">
        <v>4</v>
      </c>
      <c r="M8" s="20" t="n">
        <v>1</v>
      </c>
      <c r="N8" s="20" t="n">
        <v>0</v>
      </c>
      <c r="O8" s="20" t="n">
        <v>3</v>
      </c>
      <c r="P8" s="20" t="n">
        <v>632</v>
      </c>
      <c r="Q8" s="20" t="n">
        <v>0</v>
      </c>
      <c r="R8" s="20" t="n">
        <v>7</v>
      </c>
      <c r="S8" s="20" t="n">
        <v>639</v>
      </c>
      <c r="T8" s="20" t="n">
        <v>0</v>
      </c>
      <c r="U8" s="20">
        <f>SUM(C8:O8)-P8</f>
        <v/>
      </c>
    </row>
    <row r="9">
      <c r="A9" s="18" t="n">
        <v>4</v>
      </c>
      <c r="B9" s="19" t="inlineStr">
        <is>
          <t>Manakondur</t>
        </is>
      </c>
      <c r="C9" s="20" t="n">
        <v>124</v>
      </c>
      <c r="D9" s="20" t="n">
        <v>7</v>
      </c>
      <c r="E9" s="20" t="n">
        <v>0</v>
      </c>
      <c r="F9" s="20" t="n">
        <v>1</v>
      </c>
      <c r="G9" s="20" t="n">
        <v>281</v>
      </c>
      <c r="H9" s="20" t="n">
        <v>3</v>
      </c>
      <c r="I9" s="20" t="n">
        <v>1</v>
      </c>
      <c r="J9" s="20" t="n">
        <v>4</v>
      </c>
      <c r="K9" s="20" t="n">
        <v>23</v>
      </c>
      <c r="L9" s="20" t="n">
        <v>1</v>
      </c>
      <c r="M9" s="20" t="n">
        <v>0</v>
      </c>
      <c r="N9" s="20" t="n">
        <v>0</v>
      </c>
      <c r="O9" s="20" t="n">
        <v>0</v>
      </c>
      <c r="P9" s="20" t="n">
        <v>445</v>
      </c>
      <c r="Q9" s="20" t="n">
        <v>0</v>
      </c>
      <c r="R9" s="20" t="n">
        <v>9</v>
      </c>
      <c r="S9" s="20" t="n">
        <v>454</v>
      </c>
      <c r="T9" s="20" t="n">
        <v>0</v>
      </c>
      <c r="U9" s="20">
        <f>SUM(C9:O9)-P9</f>
        <v/>
      </c>
    </row>
    <row r="10">
      <c r="A10" s="18" t="n">
        <v>5</v>
      </c>
      <c r="B10" s="19" t="inlineStr">
        <is>
          <t>Manakondur</t>
        </is>
      </c>
      <c r="C10" s="20" t="n">
        <v>407</v>
      </c>
      <c r="D10" s="20" t="n">
        <v>9</v>
      </c>
      <c r="E10" s="20" t="n">
        <v>0</v>
      </c>
      <c r="F10" s="20" t="n">
        <v>1</v>
      </c>
      <c r="G10" s="20" t="n">
        <v>132</v>
      </c>
      <c r="H10" s="20" t="n">
        <v>0</v>
      </c>
      <c r="I10" s="20" t="n">
        <v>1</v>
      </c>
      <c r="J10" s="20" t="n">
        <v>0</v>
      </c>
      <c r="K10" s="20" t="n">
        <v>12</v>
      </c>
      <c r="L10" s="20" t="n">
        <v>4</v>
      </c>
      <c r="M10" s="20" t="n">
        <v>1</v>
      </c>
      <c r="N10" s="20" t="n">
        <v>0</v>
      </c>
      <c r="O10" s="20" t="n">
        <v>0</v>
      </c>
      <c r="P10" s="20" t="n">
        <v>567</v>
      </c>
      <c r="Q10" s="20" t="n">
        <v>0</v>
      </c>
      <c r="R10" s="20" t="n">
        <v>15</v>
      </c>
      <c r="S10" s="20" t="n">
        <v>582</v>
      </c>
      <c r="T10" s="20" t="n">
        <v>0</v>
      </c>
      <c r="U10" s="20">
        <f>SUM(C10:O10)-P10</f>
        <v/>
      </c>
    </row>
    <row r="11">
      <c r="A11" s="18" t="n">
        <v>6</v>
      </c>
      <c r="B11" s="19" t="inlineStr">
        <is>
          <t>Manakondur</t>
        </is>
      </c>
      <c r="C11" s="20" t="n">
        <v>339</v>
      </c>
      <c r="D11" s="20" t="n">
        <v>9</v>
      </c>
      <c r="E11" s="20" t="n">
        <v>0</v>
      </c>
      <c r="F11" s="20" t="n">
        <v>5</v>
      </c>
      <c r="G11" s="20" t="n">
        <v>161</v>
      </c>
      <c r="H11" s="20" t="n">
        <v>0</v>
      </c>
      <c r="I11" s="20" t="n">
        <v>0</v>
      </c>
      <c r="J11" s="20" t="n">
        <v>0</v>
      </c>
      <c r="K11" s="20" t="n">
        <v>24</v>
      </c>
      <c r="L11" s="20" t="n">
        <v>0</v>
      </c>
      <c r="M11" s="20" t="n">
        <v>1</v>
      </c>
      <c r="N11" s="20" t="n">
        <v>0</v>
      </c>
      <c r="O11" s="20" t="n">
        <v>5</v>
      </c>
      <c r="P11" s="20" t="n">
        <v>544</v>
      </c>
      <c r="Q11" s="20" t="n">
        <v>0</v>
      </c>
      <c r="R11" s="20" t="n">
        <v>11</v>
      </c>
      <c r="S11" s="20" t="n">
        <v>555</v>
      </c>
      <c r="T11" s="20" t="n">
        <v>0</v>
      </c>
      <c r="U11" s="20">
        <f>SUM(C11:O11)-P11</f>
        <v/>
      </c>
    </row>
    <row r="12">
      <c r="A12" s="18" t="n">
        <v>7</v>
      </c>
      <c r="B12" s="19" t="inlineStr">
        <is>
          <t>Manakondur</t>
        </is>
      </c>
      <c r="C12" s="20" t="n">
        <v>221</v>
      </c>
      <c r="D12" s="20" t="n">
        <v>1</v>
      </c>
      <c r="E12" s="20" t="n">
        <v>0</v>
      </c>
      <c r="F12" s="20" t="n">
        <v>2</v>
      </c>
      <c r="G12" s="20" t="n">
        <v>261</v>
      </c>
      <c r="H12" s="20" t="n">
        <v>0</v>
      </c>
      <c r="I12" s="20" t="n">
        <v>0</v>
      </c>
      <c r="J12" s="20" t="n">
        <v>3</v>
      </c>
      <c r="K12" s="20" t="n">
        <v>33</v>
      </c>
      <c r="L12" s="20" t="n">
        <v>3</v>
      </c>
      <c r="M12" s="20" t="n">
        <v>1</v>
      </c>
      <c r="N12" s="20" t="n">
        <v>0</v>
      </c>
      <c r="O12" s="20" t="n">
        <v>2</v>
      </c>
      <c r="P12" s="20" t="n">
        <v>527</v>
      </c>
      <c r="Q12" s="20" t="n">
        <v>0</v>
      </c>
      <c r="R12" s="20" t="n">
        <v>8</v>
      </c>
      <c r="S12" s="20" t="n">
        <v>535</v>
      </c>
      <c r="T12" s="20" t="n">
        <v>0</v>
      </c>
      <c r="U12" s="20">
        <f>SUM(C12:O12)-P12</f>
        <v/>
      </c>
    </row>
    <row r="13">
      <c r="A13" s="18" t="n">
        <v>8</v>
      </c>
      <c r="B13" s="19" t="inlineStr">
        <is>
          <t>Manakondur</t>
        </is>
      </c>
      <c r="C13" s="20" t="n">
        <v>209</v>
      </c>
      <c r="D13" s="20" t="n">
        <v>9</v>
      </c>
      <c r="E13" s="20" t="n">
        <v>0</v>
      </c>
      <c r="F13" s="20" t="n">
        <v>1</v>
      </c>
      <c r="G13" s="20" t="n">
        <v>258</v>
      </c>
      <c r="H13" s="20" t="n">
        <v>1</v>
      </c>
      <c r="I13" s="20" t="n">
        <v>1</v>
      </c>
      <c r="J13" s="20" t="n">
        <v>0</v>
      </c>
      <c r="K13" s="20" t="n">
        <v>21</v>
      </c>
      <c r="L13" s="20" t="n">
        <v>3</v>
      </c>
      <c r="M13" s="20" t="n">
        <v>0</v>
      </c>
      <c r="N13" s="20" t="n">
        <v>3</v>
      </c>
      <c r="O13" s="20" t="n">
        <v>0</v>
      </c>
      <c r="P13" s="20" t="n">
        <v>506</v>
      </c>
      <c r="Q13" s="20" t="n">
        <v>0</v>
      </c>
      <c r="R13" s="20" t="n">
        <v>9</v>
      </c>
      <c r="S13" s="20" t="n">
        <v>515</v>
      </c>
      <c r="T13" s="20" t="n">
        <v>0</v>
      </c>
      <c r="U13" s="20">
        <f>SUM(C13:O13)-P13</f>
        <v/>
      </c>
    </row>
    <row r="14">
      <c r="A14" s="18" t="n">
        <v>9</v>
      </c>
      <c r="B14" s="19" t="inlineStr">
        <is>
          <t>Manakondur</t>
        </is>
      </c>
      <c r="C14" s="20" t="n">
        <v>289</v>
      </c>
      <c r="D14" s="20" t="n">
        <v>19</v>
      </c>
      <c r="E14" s="20" t="n">
        <v>1</v>
      </c>
      <c r="F14" s="20" t="n">
        <v>5</v>
      </c>
      <c r="G14" s="20" t="n">
        <v>441</v>
      </c>
      <c r="H14" s="20" t="n">
        <v>1</v>
      </c>
      <c r="I14" s="20" t="n">
        <v>0</v>
      </c>
      <c r="J14" s="20" t="n">
        <v>0</v>
      </c>
      <c r="K14" s="20" t="n">
        <v>25</v>
      </c>
      <c r="L14" s="20" t="n">
        <v>1</v>
      </c>
      <c r="M14" s="20" t="n">
        <v>1</v>
      </c>
      <c r="N14" s="20" t="n">
        <v>1</v>
      </c>
      <c r="O14" s="20" t="n">
        <v>2</v>
      </c>
      <c r="P14" s="20" t="n">
        <v>786</v>
      </c>
      <c r="Q14" s="20" t="n">
        <v>0</v>
      </c>
      <c r="R14" s="20" t="n">
        <v>9</v>
      </c>
      <c r="S14" s="20" t="n">
        <v>795</v>
      </c>
      <c r="T14" s="20" t="n">
        <v>0</v>
      </c>
      <c r="U14" s="20">
        <f>SUM(C14:O14)-P14</f>
        <v/>
      </c>
    </row>
    <row r="15">
      <c r="A15" s="18" t="n">
        <v>10</v>
      </c>
      <c r="B15" s="19" t="inlineStr">
        <is>
          <t>Manakondur</t>
        </is>
      </c>
      <c r="C15" s="20" t="n">
        <v>125</v>
      </c>
      <c r="D15" s="20" t="n">
        <v>7</v>
      </c>
      <c r="E15" s="20" t="n">
        <v>0</v>
      </c>
      <c r="F15" s="20" t="n">
        <v>1</v>
      </c>
      <c r="G15" s="20" t="n">
        <v>315</v>
      </c>
      <c r="H15" s="20" t="n">
        <v>2</v>
      </c>
      <c r="I15" s="20" t="n">
        <v>1</v>
      </c>
      <c r="J15" s="20" t="n">
        <v>3</v>
      </c>
      <c r="K15" s="20" t="n">
        <v>33</v>
      </c>
      <c r="L15" s="20" t="n">
        <v>2</v>
      </c>
      <c r="M15" s="20" t="n">
        <v>2</v>
      </c>
      <c r="N15" s="20" t="n">
        <v>2</v>
      </c>
      <c r="O15" s="20" t="n">
        <v>1</v>
      </c>
      <c r="P15" s="20" t="n">
        <v>494</v>
      </c>
      <c r="Q15" s="20" t="n">
        <v>0</v>
      </c>
      <c r="R15" s="20" t="n">
        <v>6</v>
      </c>
      <c r="S15" s="20" t="n">
        <v>500</v>
      </c>
      <c r="T15" s="20" t="n">
        <v>0</v>
      </c>
      <c r="U15" s="20">
        <f>SUM(C15:O15)-P15</f>
        <v/>
      </c>
    </row>
    <row r="16">
      <c r="A16" s="18" t="n">
        <v>11</v>
      </c>
      <c r="B16" s="19" t="inlineStr">
        <is>
          <t>Manakondur</t>
        </is>
      </c>
      <c r="C16" s="20" t="n">
        <v>234</v>
      </c>
      <c r="D16" s="20" t="n">
        <v>7</v>
      </c>
      <c r="E16" s="20" t="n">
        <v>1</v>
      </c>
      <c r="F16" s="20" t="n">
        <v>1</v>
      </c>
      <c r="G16" s="20" t="n">
        <v>248</v>
      </c>
      <c r="H16" s="20" t="n">
        <v>3</v>
      </c>
      <c r="I16" s="20" t="n">
        <v>0</v>
      </c>
      <c r="J16" s="20" t="n">
        <v>1</v>
      </c>
      <c r="K16" s="20" t="n">
        <v>17</v>
      </c>
      <c r="L16" s="20" t="n">
        <v>0</v>
      </c>
      <c r="M16" s="20" t="n">
        <v>2</v>
      </c>
      <c r="N16" s="20" t="n">
        <v>0</v>
      </c>
      <c r="O16" s="20" t="n">
        <v>5</v>
      </c>
      <c r="P16" s="20" t="n">
        <v>519</v>
      </c>
      <c r="Q16" s="20" t="n">
        <v>0</v>
      </c>
      <c r="R16" s="20" t="n">
        <v>8</v>
      </c>
      <c r="S16" s="20" t="n">
        <v>527</v>
      </c>
      <c r="T16" s="20" t="n">
        <v>0</v>
      </c>
      <c r="U16" s="20">
        <f>SUM(C16:O16)-P16</f>
        <v/>
      </c>
    </row>
    <row r="17">
      <c r="A17" s="18" t="n">
        <v>12</v>
      </c>
      <c r="B17" s="19" t="inlineStr">
        <is>
          <t>Sadashivapally</t>
        </is>
      </c>
      <c r="C17" s="20" t="n">
        <v>338</v>
      </c>
      <c r="D17" s="20" t="n">
        <v>48</v>
      </c>
      <c r="E17" s="20" t="n">
        <v>0</v>
      </c>
      <c r="F17" s="20" t="n">
        <v>4</v>
      </c>
      <c r="G17" s="20" t="n">
        <v>534</v>
      </c>
      <c r="H17" s="20" t="n">
        <v>3</v>
      </c>
      <c r="I17" s="20" t="n">
        <v>0</v>
      </c>
      <c r="J17" s="20" t="n">
        <v>1</v>
      </c>
      <c r="K17" s="20" t="n">
        <v>70</v>
      </c>
      <c r="L17" s="20" t="n">
        <v>6</v>
      </c>
      <c r="M17" s="20" t="n">
        <v>3</v>
      </c>
      <c r="N17" s="20" t="n">
        <v>3</v>
      </c>
      <c r="O17" s="20" t="n">
        <v>5</v>
      </c>
      <c r="P17" s="20" t="n">
        <v>1015</v>
      </c>
      <c r="Q17" s="20" t="n">
        <v>0</v>
      </c>
      <c r="R17" s="20" t="n">
        <v>10</v>
      </c>
      <c r="S17" s="20" t="n">
        <v>1025</v>
      </c>
      <c r="T17" s="20" t="n">
        <v>0</v>
      </c>
      <c r="U17" s="20">
        <f>SUM(C17:O17)-P17</f>
        <v/>
      </c>
    </row>
    <row r="18">
      <c r="A18" s="18" t="n">
        <v>13</v>
      </c>
      <c r="B18" s="19" t="inlineStr">
        <is>
          <t>Jaggaiahpally</t>
        </is>
      </c>
      <c r="C18" s="20" t="n">
        <v>356</v>
      </c>
      <c r="D18" s="20" t="n">
        <v>22</v>
      </c>
      <c r="E18" s="20" t="n">
        <v>3</v>
      </c>
      <c r="F18" s="20" t="n">
        <v>5</v>
      </c>
      <c r="G18" s="20" t="n">
        <v>355</v>
      </c>
      <c r="H18" s="20" t="n">
        <v>6</v>
      </c>
      <c r="I18" s="20" t="n">
        <v>1</v>
      </c>
      <c r="J18" s="20" t="n">
        <v>2</v>
      </c>
      <c r="K18" s="20" t="n">
        <v>24</v>
      </c>
      <c r="L18" s="20" t="n">
        <v>0</v>
      </c>
      <c r="M18" s="20" t="n">
        <v>0</v>
      </c>
      <c r="N18" s="20" t="n">
        <v>3</v>
      </c>
      <c r="O18" s="20" t="n">
        <v>1</v>
      </c>
      <c r="P18" s="20" t="n">
        <v>778</v>
      </c>
      <c r="Q18" s="20" t="n">
        <v>0</v>
      </c>
      <c r="R18" s="20" t="n">
        <v>8</v>
      </c>
      <c r="S18" s="20" t="n">
        <v>786</v>
      </c>
      <c r="T18" s="20" t="n">
        <v>0</v>
      </c>
      <c r="U18" s="20">
        <f>SUM(C18:O18)-P18</f>
        <v/>
      </c>
    </row>
    <row r="19">
      <c r="A19" s="18" t="n">
        <v>14</v>
      </c>
      <c r="B19" s="19" t="inlineStr">
        <is>
          <t>Srinivasanagar</t>
        </is>
      </c>
      <c r="C19" s="20" t="n">
        <v>271</v>
      </c>
      <c r="D19" s="20" t="n">
        <v>13</v>
      </c>
      <c r="E19" s="20" t="n">
        <v>2</v>
      </c>
      <c r="F19" s="20" t="n">
        <v>3</v>
      </c>
      <c r="G19" s="20" t="n">
        <v>433</v>
      </c>
      <c r="H19" s="20" t="n">
        <v>9</v>
      </c>
      <c r="I19" s="20" t="n">
        <v>3</v>
      </c>
      <c r="J19" s="20" t="n">
        <v>5</v>
      </c>
      <c r="K19" s="20" t="n">
        <v>68</v>
      </c>
      <c r="L19" s="20" t="n">
        <v>9</v>
      </c>
      <c r="M19" s="20" t="n">
        <v>1</v>
      </c>
      <c r="N19" s="20" t="n">
        <v>2</v>
      </c>
      <c r="O19" s="20" t="n">
        <v>1</v>
      </c>
      <c r="P19" s="20" t="n">
        <v>820</v>
      </c>
      <c r="Q19" s="20" t="n">
        <v>0</v>
      </c>
      <c r="R19" s="20" t="n">
        <v>11</v>
      </c>
      <c r="S19" s="20" t="n">
        <v>831</v>
      </c>
      <c r="T19" s="20" t="n">
        <v>0</v>
      </c>
      <c r="U19" s="20">
        <f>SUM(C19:O19)-P19</f>
        <v/>
      </c>
    </row>
    <row r="20">
      <c r="A20" s="18" t="n">
        <v>15</v>
      </c>
      <c r="B20" s="19" t="inlineStr">
        <is>
          <t>Munjampally</t>
        </is>
      </c>
      <c r="C20" s="20" t="n">
        <v>260</v>
      </c>
      <c r="D20" s="20" t="n">
        <v>19</v>
      </c>
      <c r="E20" s="20" t="n">
        <v>0</v>
      </c>
      <c r="F20" s="20" t="n">
        <v>2</v>
      </c>
      <c r="G20" s="20" t="n">
        <v>412</v>
      </c>
      <c r="H20" s="20" t="n">
        <v>0</v>
      </c>
      <c r="I20" s="20" t="n">
        <v>1</v>
      </c>
      <c r="J20" s="20" t="n">
        <v>0</v>
      </c>
      <c r="K20" s="20" t="n">
        <v>50</v>
      </c>
      <c r="L20" s="20" t="n">
        <v>5</v>
      </c>
      <c r="M20" s="20" t="n">
        <v>0</v>
      </c>
      <c r="N20" s="20" t="n">
        <v>2</v>
      </c>
      <c r="O20" s="20" t="n">
        <v>4</v>
      </c>
      <c r="P20" s="20" t="n">
        <v>755</v>
      </c>
      <c r="Q20" s="20" t="n">
        <v>0</v>
      </c>
      <c r="R20" s="20" t="n">
        <v>16</v>
      </c>
      <c r="S20" s="20" t="n">
        <v>771</v>
      </c>
      <c r="T20" s="20" t="n">
        <v>0</v>
      </c>
      <c r="U20" s="20">
        <f>SUM(C20:O20)-P20</f>
        <v/>
      </c>
    </row>
    <row r="21">
      <c r="A21" s="18" t="n">
        <v>16</v>
      </c>
      <c r="B21" s="19" t="inlineStr">
        <is>
          <t>Munjampally</t>
        </is>
      </c>
      <c r="C21" s="20" t="n">
        <v>353</v>
      </c>
      <c r="D21" s="20" t="n">
        <v>19</v>
      </c>
      <c r="E21" s="20" t="n">
        <v>1</v>
      </c>
      <c r="F21" s="20" t="n">
        <v>2</v>
      </c>
      <c r="G21" s="20" t="n">
        <v>427</v>
      </c>
      <c r="H21" s="20" t="n">
        <v>3</v>
      </c>
      <c r="I21" s="20" t="n">
        <v>3</v>
      </c>
      <c r="J21" s="20" t="n">
        <v>3</v>
      </c>
      <c r="K21" s="20" t="n">
        <v>46</v>
      </c>
      <c r="L21" s="20" t="n">
        <v>0</v>
      </c>
      <c r="M21" s="20" t="n">
        <v>2</v>
      </c>
      <c r="N21" s="20" t="n">
        <v>0</v>
      </c>
      <c r="O21" s="20" t="n">
        <v>0</v>
      </c>
      <c r="P21" s="20" t="n">
        <v>859</v>
      </c>
      <c r="Q21" s="20" t="n">
        <v>0</v>
      </c>
      <c r="R21" s="20" t="n">
        <v>9</v>
      </c>
      <c r="S21" s="20" t="n">
        <v>868</v>
      </c>
      <c r="T21" s="20" t="n">
        <v>0</v>
      </c>
      <c r="U21" s="20">
        <f>SUM(C21:O21)-P21</f>
        <v/>
      </c>
    </row>
    <row r="22">
      <c r="A22" s="18" t="n">
        <v>17</v>
      </c>
      <c r="B22" s="19" t="inlineStr">
        <is>
          <t>Edulagattepally</t>
        </is>
      </c>
      <c r="C22" s="20" t="n">
        <v>221</v>
      </c>
      <c r="D22" s="20" t="n">
        <v>0</v>
      </c>
      <c r="E22" s="20" t="n">
        <v>1</v>
      </c>
      <c r="F22" s="20" t="n">
        <v>2</v>
      </c>
      <c r="G22" s="20" t="n">
        <v>343</v>
      </c>
      <c r="H22" s="20" t="n">
        <v>2</v>
      </c>
      <c r="I22" s="20" t="n">
        <v>0</v>
      </c>
      <c r="J22" s="20" t="n">
        <v>2</v>
      </c>
      <c r="K22" s="20" t="n">
        <v>54</v>
      </c>
      <c r="L22" s="20" t="n">
        <v>9</v>
      </c>
      <c r="M22" s="20" t="n">
        <v>1</v>
      </c>
      <c r="N22" s="20" t="n">
        <v>2</v>
      </c>
      <c r="O22" s="20" t="n">
        <v>4</v>
      </c>
      <c r="P22" s="20" t="n">
        <v>641</v>
      </c>
      <c r="Q22" s="20" t="n">
        <v>0</v>
      </c>
      <c r="R22" s="20" t="n">
        <v>7</v>
      </c>
      <c r="S22" s="20" t="n">
        <v>648</v>
      </c>
      <c r="T22" s="20" t="n">
        <v>0</v>
      </c>
      <c r="U22" s="20">
        <f>SUM(C22:O22)-P22</f>
        <v/>
      </c>
    </row>
    <row r="23">
      <c r="A23" s="18" t="n">
        <v>18</v>
      </c>
      <c r="B23" s="19" t="inlineStr">
        <is>
          <t>Edulagattepally</t>
        </is>
      </c>
      <c r="C23" s="20" t="n">
        <v>213</v>
      </c>
      <c r="D23" s="20" t="n">
        <v>9</v>
      </c>
      <c r="E23" s="20" t="n">
        <v>0</v>
      </c>
      <c r="F23" s="20" t="n">
        <v>4</v>
      </c>
      <c r="G23" s="20" t="n">
        <v>171</v>
      </c>
      <c r="H23" s="20" t="n">
        <v>0</v>
      </c>
      <c r="I23" s="20" t="n">
        <v>3</v>
      </c>
      <c r="J23" s="20" t="n">
        <v>0</v>
      </c>
      <c r="K23" s="20" t="n">
        <v>23</v>
      </c>
      <c r="L23" s="20" t="n">
        <v>3</v>
      </c>
      <c r="M23" s="20" t="n">
        <v>0</v>
      </c>
      <c r="N23" s="20" t="n">
        <v>1</v>
      </c>
      <c r="O23" s="20" t="n">
        <v>4</v>
      </c>
      <c r="P23" s="20" t="n">
        <v>431</v>
      </c>
      <c r="Q23" s="20" t="n">
        <v>0</v>
      </c>
      <c r="R23" s="20" t="n">
        <v>5</v>
      </c>
      <c r="S23" s="20" t="n">
        <v>436</v>
      </c>
      <c r="T23" s="20" t="n">
        <v>0</v>
      </c>
      <c r="U23" s="20">
        <f>SUM(C23:O23)-P23</f>
        <v/>
      </c>
    </row>
    <row r="24">
      <c r="A24" s="18" t="n">
        <v>19</v>
      </c>
      <c r="B24" s="19" t="inlineStr">
        <is>
          <t>Annaram</t>
        </is>
      </c>
      <c r="C24" s="20" t="n">
        <v>327</v>
      </c>
      <c r="D24" s="20" t="n">
        <v>14</v>
      </c>
      <c r="E24" s="20" t="n">
        <v>4</v>
      </c>
      <c r="F24" s="20" t="n">
        <v>24</v>
      </c>
      <c r="G24" s="20" t="n">
        <v>277</v>
      </c>
      <c r="H24" s="20" t="n">
        <v>2</v>
      </c>
      <c r="I24" s="20" t="n">
        <v>2</v>
      </c>
      <c r="J24" s="20" t="n">
        <v>8</v>
      </c>
      <c r="K24" s="20" t="n">
        <v>44</v>
      </c>
      <c r="L24" s="20" t="n">
        <v>6</v>
      </c>
      <c r="M24" s="20" t="n">
        <v>1</v>
      </c>
      <c r="N24" s="20" t="n">
        <v>1</v>
      </c>
      <c r="O24" s="20" t="n">
        <v>3</v>
      </c>
      <c r="P24" s="20" t="n">
        <v>713</v>
      </c>
      <c r="Q24" s="20" t="n">
        <v>0</v>
      </c>
      <c r="R24" s="20" t="n">
        <v>10</v>
      </c>
      <c r="S24" s="20" t="n">
        <v>723</v>
      </c>
      <c r="T24" s="20" t="n">
        <v>0</v>
      </c>
      <c r="U24" s="20">
        <f>SUM(C24:O24)-P24</f>
        <v/>
      </c>
    </row>
    <row r="25">
      <c r="A25" s="18" t="n">
        <v>20</v>
      </c>
      <c r="B25" s="19" t="inlineStr">
        <is>
          <t>Annaram</t>
        </is>
      </c>
      <c r="C25" s="20" t="n">
        <v>326</v>
      </c>
      <c r="D25" s="20" t="n">
        <v>23</v>
      </c>
      <c r="E25" s="20" t="n">
        <v>2</v>
      </c>
      <c r="F25" s="20" t="n">
        <v>4</v>
      </c>
      <c r="G25" s="20" t="n">
        <v>347</v>
      </c>
      <c r="H25" s="20" t="n">
        <v>0</v>
      </c>
      <c r="I25" s="20" t="n">
        <v>2</v>
      </c>
      <c r="J25" s="20" t="n">
        <v>0</v>
      </c>
      <c r="K25" s="20" t="n">
        <v>45</v>
      </c>
      <c r="L25" s="20" t="n">
        <v>4</v>
      </c>
      <c r="M25" s="20" t="n">
        <v>3</v>
      </c>
      <c r="N25" s="20" t="n">
        <v>1</v>
      </c>
      <c r="O25" s="20" t="n">
        <v>4</v>
      </c>
      <c r="P25" s="20" t="n">
        <v>761</v>
      </c>
      <c r="Q25" s="20" t="n">
        <v>0</v>
      </c>
      <c r="R25" s="20" t="n">
        <v>13</v>
      </c>
      <c r="S25" s="20" t="n">
        <v>774</v>
      </c>
      <c r="T25" s="20" t="n">
        <v>0</v>
      </c>
      <c r="U25" s="20">
        <f>SUM(C25:O25)-P25</f>
        <v/>
      </c>
    </row>
    <row r="26">
      <c r="A26" s="18" t="n">
        <v>21</v>
      </c>
      <c r="B26" s="19" t="inlineStr">
        <is>
          <t>Annaram</t>
        </is>
      </c>
      <c r="C26" s="20" t="n">
        <v>170</v>
      </c>
      <c r="D26" s="20" t="n">
        <v>14</v>
      </c>
      <c r="E26" s="20" t="n">
        <v>1</v>
      </c>
      <c r="F26" s="20" t="n">
        <v>2</v>
      </c>
      <c r="G26" s="20" t="n">
        <v>342</v>
      </c>
      <c r="H26" s="20" t="n">
        <v>8</v>
      </c>
      <c r="I26" s="20" t="n">
        <v>1</v>
      </c>
      <c r="J26" s="20" t="n">
        <v>3</v>
      </c>
      <c r="K26" s="20" t="n">
        <v>42</v>
      </c>
      <c r="L26" s="20" t="n">
        <v>2</v>
      </c>
      <c r="M26" s="20" t="n">
        <v>1</v>
      </c>
      <c r="N26" s="20" t="n">
        <v>3</v>
      </c>
      <c r="O26" s="20" t="n">
        <v>1</v>
      </c>
      <c r="P26" s="20" t="n">
        <v>590</v>
      </c>
      <c r="Q26" s="20" t="n">
        <v>0</v>
      </c>
      <c r="R26" s="20" t="n">
        <v>5</v>
      </c>
      <c r="S26" s="20" t="n">
        <v>595</v>
      </c>
      <c r="T26" s="20" t="n">
        <v>0</v>
      </c>
      <c r="U26" s="20">
        <f>SUM(C26:O26)-P26</f>
        <v/>
      </c>
    </row>
    <row r="27">
      <c r="A27" s="18" t="n">
        <v>22</v>
      </c>
      <c r="B27" s="19" t="inlineStr">
        <is>
          <t>Kelledu</t>
        </is>
      </c>
      <c r="C27" s="20" t="n">
        <v>86</v>
      </c>
      <c r="D27" s="20" t="n">
        <v>6</v>
      </c>
      <c r="E27" s="20" t="n">
        <v>1</v>
      </c>
      <c r="F27" s="20" t="n">
        <v>6</v>
      </c>
      <c r="G27" s="20" t="n">
        <v>337</v>
      </c>
      <c r="H27" s="20" t="n">
        <v>5</v>
      </c>
      <c r="I27" s="20" t="n">
        <v>1</v>
      </c>
      <c r="J27" s="20" t="n">
        <v>3</v>
      </c>
      <c r="K27" s="20" t="n">
        <v>0</v>
      </c>
      <c r="L27" s="20" t="n">
        <v>4</v>
      </c>
      <c r="M27" s="20" t="n">
        <v>3</v>
      </c>
      <c r="N27" s="20" t="n">
        <v>3</v>
      </c>
      <c r="O27" s="20" t="n">
        <v>3</v>
      </c>
      <c r="P27" s="20" t="n">
        <v>458</v>
      </c>
      <c r="Q27" s="20" t="n">
        <v>0</v>
      </c>
      <c r="R27" s="20" t="n">
        <v>8</v>
      </c>
      <c r="S27" s="20" t="n">
        <v>466</v>
      </c>
      <c r="T27" s="20" t="n">
        <v>0</v>
      </c>
      <c r="U27" s="20">
        <f>SUM(C27:O27)-P27</f>
        <v/>
      </c>
    </row>
    <row r="28">
      <c r="A28" s="18" t="n">
        <v>23</v>
      </c>
      <c r="B28" s="19" t="inlineStr">
        <is>
          <t>Kelledu</t>
        </is>
      </c>
      <c r="C28" s="20" t="n">
        <v>209</v>
      </c>
      <c r="D28" s="20" t="n">
        <v>24</v>
      </c>
      <c r="E28" s="20" t="n">
        <v>0</v>
      </c>
      <c r="F28" s="20" t="n">
        <v>3</v>
      </c>
      <c r="G28" s="20" t="n">
        <v>249</v>
      </c>
      <c r="H28" s="20" t="n">
        <v>3</v>
      </c>
      <c r="I28" s="20" t="n">
        <v>0</v>
      </c>
      <c r="J28" s="20" t="n">
        <v>0</v>
      </c>
      <c r="K28" s="20" t="n">
        <v>42</v>
      </c>
      <c r="L28" s="20" t="n">
        <v>8</v>
      </c>
      <c r="M28" s="20" t="n">
        <v>1</v>
      </c>
      <c r="N28" s="20" t="n">
        <v>6</v>
      </c>
      <c r="O28" s="20" t="n">
        <v>2</v>
      </c>
      <c r="P28" s="20" t="n">
        <v>547</v>
      </c>
      <c r="Q28" s="20" t="n">
        <v>0</v>
      </c>
      <c r="R28" s="20" t="n">
        <v>16</v>
      </c>
      <c r="S28" s="20" t="n">
        <v>563</v>
      </c>
      <c r="T28" s="20" t="n">
        <v>0</v>
      </c>
      <c r="U28" s="20">
        <f>SUM(C28:O28)-P28</f>
        <v/>
      </c>
    </row>
    <row r="29">
      <c r="A29" s="18" t="n">
        <v>24</v>
      </c>
      <c r="B29" s="19" t="inlineStr">
        <is>
          <t>Pochampally H/oKelleda</t>
        </is>
      </c>
      <c r="C29" s="20" t="n">
        <v>185</v>
      </c>
      <c r="D29" s="20" t="n">
        <v>14</v>
      </c>
      <c r="E29" s="20" t="n">
        <v>0</v>
      </c>
      <c r="F29" s="20" t="n">
        <v>2</v>
      </c>
      <c r="G29" s="20" t="n">
        <v>425</v>
      </c>
      <c r="H29" s="20" t="n">
        <v>2</v>
      </c>
      <c r="I29" s="20" t="n">
        <v>0</v>
      </c>
      <c r="J29" s="20" t="n">
        <v>0</v>
      </c>
      <c r="K29" s="20" t="n">
        <v>30</v>
      </c>
      <c r="L29" s="20" t="n">
        <v>0</v>
      </c>
      <c r="M29" s="20" t="n">
        <v>0</v>
      </c>
      <c r="N29" s="20" t="n">
        <v>0</v>
      </c>
      <c r="O29" s="20" t="n">
        <v>1</v>
      </c>
      <c r="P29" s="20" t="n">
        <v>659</v>
      </c>
      <c r="Q29" s="20" t="n">
        <v>0</v>
      </c>
      <c r="R29" s="20" t="n">
        <v>7</v>
      </c>
      <c r="S29" s="20" t="n">
        <v>666</v>
      </c>
      <c r="T29" s="20" t="n">
        <v>0</v>
      </c>
      <c r="U29" s="20">
        <f>SUM(C29:O29)-P29</f>
        <v/>
      </c>
    </row>
    <row r="30">
      <c r="A30" s="18" t="n">
        <v>25</v>
      </c>
      <c r="B30" s="19" t="inlineStr">
        <is>
          <t>Maddikunta</t>
        </is>
      </c>
      <c r="C30" s="20" t="n">
        <v>132</v>
      </c>
      <c r="D30" s="20" t="n">
        <v>5</v>
      </c>
      <c r="E30" s="20" t="n">
        <v>0</v>
      </c>
      <c r="F30" s="20" t="n">
        <v>3</v>
      </c>
      <c r="G30" s="20" t="n">
        <v>191</v>
      </c>
      <c r="H30" s="20" t="n">
        <v>5</v>
      </c>
      <c r="I30" s="20" t="n">
        <v>1</v>
      </c>
      <c r="J30" s="20" t="n">
        <v>0</v>
      </c>
      <c r="K30" s="20" t="n">
        <v>45</v>
      </c>
      <c r="L30" s="20" t="n">
        <v>0</v>
      </c>
      <c r="M30" s="20" t="n">
        <v>4</v>
      </c>
      <c r="N30" s="20" t="n">
        <v>0</v>
      </c>
      <c r="O30" s="20" t="n">
        <v>3</v>
      </c>
      <c r="P30" s="20" t="n">
        <v>389</v>
      </c>
      <c r="Q30" s="20" t="n">
        <v>0</v>
      </c>
      <c r="R30" s="20" t="n">
        <v>10</v>
      </c>
      <c r="S30" s="20" t="n">
        <v>399</v>
      </c>
      <c r="T30" s="20" t="n">
        <v>0</v>
      </c>
      <c r="U30" s="20">
        <f>SUM(C30:O30)-P30</f>
        <v/>
      </c>
    </row>
    <row r="31">
      <c r="A31" s="18" t="n">
        <v>26</v>
      </c>
      <c r="B31" s="19" t="inlineStr">
        <is>
          <t>Kondapalkala</t>
        </is>
      </c>
      <c r="C31" s="20" t="n">
        <v>230</v>
      </c>
      <c r="D31" s="20" t="n">
        <v>9</v>
      </c>
      <c r="E31" s="20" t="n">
        <v>2</v>
      </c>
      <c r="F31" s="20" t="n">
        <v>1</v>
      </c>
      <c r="G31" s="20" t="n">
        <v>305</v>
      </c>
      <c r="H31" s="20" t="n">
        <v>1</v>
      </c>
      <c r="I31" s="20" t="n">
        <v>2</v>
      </c>
      <c r="J31" s="20" t="n">
        <v>1</v>
      </c>
      <c r="K31" s="20" t="n">
        <v>51</v>
      </c>
      <c r="L31" s="20" t="n">
        <v>6</v>
      </c>
      <c r="M31" s="20" t="n">
        <v>2</v>
      </c>
      <c r="N31" s="20" t="n">
        <v>2</v>
      </c>
      <c r="O31" s="20" t="n">
        <v>4</v>
      </c>
      <c r="P31" s="20" t="n">
        <v>616</v>
      </c>
      <c r="Q31" s="20" t="n">
        <v>0</v>
      </c>
      <c r="R31" s="20" t="n">
        <v>18</v>
      </c>
      <c r="S31" s="20" t="n">
        <v>634</v>
      </c>
      <c r="T31" s="20" t="n">
        <v>0</v>
      </c>
      <c r="U31" s="20">
        <f>SUM(C31:O31)-P31</f>
        <v/>
      </c>
    </row>
    <row r="32">
      <c r="A32" s="18" t="n">
        <v>27</v>
      </c>
      <c r="B32" s="19" t="inlineStr">
        <is>
          <t>Kondapalkala</t>
        </is>
      </c>
      <c r="C32" s="20" t="n">
        <v>321</v>
      </c>
      <c r="D32" s="20" t="n">
        <v>44</v>
      </c>
      <c r="E32" s="20" t="n">
        <v>3</v>
      </c>
      <c r="F32" s="20" t="n">
        <v>9</v>
      </c>
      <c r="G32" s="20" t="n">
        <v>424</v>
      </c>
      <c r="H32" s="20" t="n">
        <v>3</v>
      </c>
      <c r="I32" s="20" t="n">
        <v>2</v>
      </c>
      <c r="J32" s="20" t="n">
        <v>4</v>
      </c>
      <c r="K32" s="20" t="n">
        <v>59</v>
      </c>
      <c r="L32" s="20" t="n">
        <v>4</v>
      </c>
      <c r="M32" s="20" t="n">
        <v>1</v>
      </c>
      <c r="N32" s="20" t="n">
        <v>2</v>
      </c>
      <c r="O32" s="20" t="n">
        <v>0</v>
      </c>
      <c r="P32" s="20" t="n">
        <v>876</v>
      </c>
      <c r="Q32" s="20" t="n">
        <v>0</v>
      </c>
      <c r="R32" s="20" t="n">
        <v>8</v>
      </c>
      <c r="S32" s="20" t="n">
        <v>884</v>
      </c>
      <c r="T32" s="20" t="n">
        <v>0</v>
      </c>
      <c r="U32" s="20">
        <f>SUM(C32:O32)-P32</f>
        <v/>
      </c>
    </row>
    <row r="33">
      <c r="A33" s="18" t="n">
        <v>28</v>
      </c>
      <c r="B33" s="19" t="inlineStr">
        <is>
          <t>Kondapalkala</t>
        </is>
      </c>
      <c r="C33" s="20" t="n">
        <v>347</v>
      </c>
      <c r="D33" s="20" t="n">
        <v>30</v>
      </c>
      <c r="E33" s="20" t="n">
        <v>0</v>
      </c>
      <c r="F33" s="20" t="n">
        <v>6</v>
      </c>
      <c r="G33" s="20" t="n">
        <v>348</v>
      </c>
      <c r="H33" s="20" t="n">
        <v>7</v>
      </c>
      <c r="I33" s="20" t="n">
        <v>0</v>
      </c>
      <c r="J33" s="20" t="n">
        <v>2</v>
      </c>
      <c r="K33" s="20" t="n">
        <v>75</v>
      </c>
      <c r="L33" s="20" t="n">
        <v>0</v>
      </c>
      <c r="M33" s="20" t="n">
        <v>0</v>
      </c>
      <c r="N33" s="20" t="n">
        <v>4</v>
      </c>
      <c r="O33" s="20" t="n">
        <v>7</v>
      </c>
      <c r="P33" s="20" t="n">
        <v>826</v>
      </c>
      <c r="Q33" s="20" t="n">
        <v>0</v>
      </c>
      <c r="R33" s="20" t="n">
        <v>15</v>
      </c>
      <c r="S33" s="20" t="n">
        <v>841</v>
      </c>
      <c r="T33" s="20" t="n">
        <v>0</v>
      </c>
      <c r="U33" s="20">
        <f>SUM(C33:O33)-P33</f>
        <v/>
      </c>
    </row>
    <row r="34">
      <c r="A34" s="18" t="n">
        <v>29</v>
      </c>
      <c r="B34" s="19" t="inlineStr">
        <is>
          <t>Kondapalkala</t>
        </is>
      </c>
      <c r="C34" s="20" t="n">
        <v>289</v>
      </c>
      <c r="D34" s="20" t="n">
        <v>42</v>
      </c>
      <c r="E34" s="20" t="n">
        <v>0</v>
      </c>
      <c r="F34" s="20" t="n">
        <v>2</v>
      </c>
      <c r="G34" s="20" t="n">
        <v>216</v>
      </c>
      <c r="H34" s="20" t="n">
        <v>1</v>
      </c>
      <c r="I34" s="20" t="n">
        <v>0</v>
      </c>
      <c r="J34" s="20" t="n">
        <v>0</v>
      </c>
      <c r="K34" s="20" t="n">
        <v>34</v>
      </c>
      <c r="L34" s="20" t="n">
        <v>0</v>
      </c>
      <c r="M34" s="20" t="n">
        <v>1</v>
      </c>
      <c r="N34" s="20" t="n">
        <v>2</v>
      </c>
      <c r="O34" s="20" t="n">
        <v>2</v>
      </c>
      <c r="P34" s="20" t="n">
        <v>589</v>
      </c>
      <c r="Q34" s="20" t="n">
        <v>0</v>
      </c>
      <c r="R34" s="20" t="n">
        <v>9</v>
      </c>
      <c r="S34" s="20" t="n">
        <v>598</v>
      </c>
      <c r="T34" s="20" t="n">
        <v>0</v>
      </c>
      <c r="U34" s="20">
        <f>SUM(C34:O34)-P34</f>
        <v/>
      </c>
    </row>
    <row r="35">
      <c r="A35" s="18" t="n">
        <v>30</v>
      </c>
      <c r="B35" s="19" t="inlineStr">
        <is>
          <t>Kondapalkala</t>
        </is>
      </c>
      <c r="C35" s="20" t="n">
        <v>144</v>
      </c>
      <c r="D35" s="20" t="n">
        <v>2</v>
      </c>
      <c r="E35" s="20" t="n">
        <v>3</v>
      </c>
      <c r="F35" s="20" t="n">
        <v>4</v>
      </c>
      <c r="G35" s="20" t="n">
        <v>176</v>
      </c>
      <c r="H35" s="20" t="n">
        <v>0</v>
      </c>
      <c r="I35" s="20" t="n">
        <v>2</v>
      </c>
      <c r="J35" s="20" t="n">
        <v>3</v>
      </c>
      <c r="K35" s="20" t="n">
        <v>43</v>
      </c>
      <c r="L35" s="20" t="n">
        <v>2</v>
      </c>
      <c r="M35" s="20" t="n">
        <v>1</v>
      </c>
      <c r="N35" s="20" t="n">
        <v>0</v>
      </c>
      <c r="O35" s="20" t="n">
        <v>0</v>
      </c>
      <c r="P35" s="20" t="n">
        <v>380</v>
      </c>
      <c r="Q35" s="20" t="n">
        <v>0</v>
      </c>
      <c r="R35" s="20" t="n">
        <v>0</v>
      </c>
      <c r="S35" s="20" t="n">
        <v>380</v>
      </c>
      <c r="T35" s="20" t="n">
        <v>0</v>
      </c>
      <c r="U35" s="20">
        <f>SUM(C35:O35)-P35</f>
        <v/>
      </c>
    </row>
    <row r="36">
      <c r="A36" s="18" t="n">
        <v>31</v>
      </c>
      <c r="B36" s="19" t="inlineStr">
        <is>
          <t>Gangipally</t>
        </is>
      </c>
      <c r="C36" s="20" t="n">
        <v>247</v>
      </c>
      <c r="D36" s="20" t="n">
        <v>31</v>
      </c>
      <c r="E36" s="20" t="n">
        <v>4</v>
      </c>
      <c r="F36" s="20" t="n">
        <v>14</v>
      </c>
      <c r="G36" s="20" t="n">
        <v>530</v>
      </c>
      <c r="H36" s="20" t="n">
        <v>5</v>
      </c>
      <c r="I36" s="20" t="n">
        <v>0</v>
      </c>
      <c r="J36" s="20" t="n">
        <v>9</v>
      </c>
      <c r="K36" s="20" t="n">
        <v>124</v>
      </c>
      <c r="L36" s="20" t="n">
        <v>1</v>
      </c>
      <c r="M36" s="20" t="n">
        <v>4</v>
      </c>
      <c r="N36" s="20" t="n">
        <v>8</v>
      </c>
      <c r="O36" s="20" t="n">
        <v>3</v>
      </c>
      <c r="P36" s="20" t="n">
        <v>980</v>
      </c>
      <c r="Q36" s="20" t="n">
        <v>0</v>
      </c>
      <c r="R36" s="20" t="n">
        <v>11</v>
      </c>
      <c r="S36" s="20" t="n">
        <v>991</v>
      </c>
      <c r="T36" s="20" t="n">
        <v>0</v>
      </c>
      <c r="U36" s="20">
        <f>SUM(C36:O36)-P36</f>
        <v/>
      </c>
    </row>
    <row r="37">
      <c r="A37" s="18" t="n">
        <v>32</v>
      </c>
      <c r="B37" s="19" t="inlineStr">
        <is>
          <t>Gangipally</t>
        </is>
      </c>
      <c r="C37" s="20" t="n">
        <v>268</v>
      </c>
      <c r="D37" s="20" t="n">
        <v>24</v>
      </c>
      <c r="E37" s="20" t="n">
        <v>1</v>
      </c>
      <c r="F37" s="20" t="n">
        <v>7</v>
      </c>
      <c r="G37" s="20" t="n">
        <v>426</v>
      </c>
      <c r="H37" s="20" t="n">
        <v>3</v>
      </c>
      <c r="I37" s="20" t="n">
        <v>2</v>
      </c>
      <c r="J37" s="20" t="n">
        <v>10</v>
      </c>
      <c r="K37" s="20" t="n">
        <v>113</v>
      </c>
      <c r="L37" s="20" t="n">
        <v>2</v>
      </c>
      <c r="M37" s="20" t="n">
        <v>2</v>
      </c>
      <c r="N37" s="20" t="n">
        <v>3</v>
      </c>
      <c r="O37" s="20" t="n">
        <v>11</v>
      </c>
      <c r="P37" s="20" t="n">
        <v>872</v>
      </c>
      <c r="Q37" s="20" t="n">
        <v>0</v>
      </c>
      <c r="R37" s="20" t="n">
        <v>13</v>
      </c>
      <c r="S37" s="20" t="n">
        <v>885</v>
      </c>
      <c r="T37" s="20" t="n">
        <v>0</v>
      </c>
      <c r="U37" s="20">
        <f>SUM(C37:O37)-P37</f>
        <v/>
      </c>
    </row>
    <row r="38">
      <c r="A38" s="18" t="n">
        <v>33</v>
      </c>
      <c r="B38" s="19" t="inlineStr">
        <is>
          <t>Gangipally</t>
        </is>
      </c>
      <c r="C38" s="20" t="n">
        <v>186</v>
      </c>
      <c r="D38" s="20" t="n">
        <v>1</v>
      </c>
      <c r="E38" s="20" t="n">
        <v>1</v>
      </c>
      <c r="F38" s="20" t="n">
        <v>6</v>
      </c>
      <c r="G38" s="20" t="n">
        <v>360</v>
      </c>
      <c r="H38" s="20" t="n">
        <v>1</v>
      </c>
      <c r="I38" s="20" t="n">
        <v>0</v>
      </c>
      <c r="J38" s="20" t="n">
        <v>2</v>
      </c>
      <c r="K38" s="20" t="n">
        <v>51</v>
      </c>
      <c r="L38" s="20" t="n">
        <v>2</v>
      </c>
      <c r="M38" s="20" t="n">
        <v>0</v>
      </c>
      <c r="N38" s="20" t="n">
        <v>0</v>
      </c>
      <c r="O38" s="20" t="n">
        <v>2</v>
      </c>
      <c r="P38" s="20" t="n">
        <v>612</v>
      </c>
      <c r="Q38" s="20" t="n">
        <v>0</v>
      </c>
      <c r="R38" s="20" t="n">
        <v>16</v>
      </c>
      <c r="S38" s="20" t="n">
        <v>628</v>
      </c>
      <c r="T38" s="20" t="n">
        <v>0</v>
      </c>
      <c r="U38" s="20">
        <f>SUM(C38:O38)-P38</f>
        <v/>
      </c>
    </row>
    <row r="39">
      <c r="A39" s="18" t="n">
        <v>34</v>
      </c>
      <c r="B39" s="19" t="inlineStr">
        <is>
          <t>Gangipally</t>
        </is>
      </c>
      <c r="C39" s="20" t="n">
        <v>76</v>
      </c>
      <c r="D39" s="20" t="n">
        <v>47</v>
      </c>
      <c r="E39" s="20" t="n">
        <v>1</v>
      </c>
      <c r="F39" s="20" t="n">
        <v>0</v>
      </c>
      <c r="G39" s="20" t="n">
        <v>185</v>
      </c>
      <c r="H39" s="20" t="n">
        <v>2</v>
      </c>
      <c r="I39" s="20" t="n">
        <v>2</v>
      </c>
      <c r="J39" s="20" t="n">
        <v>1</v>
      </c>
      <c r="K39" s="20" t="n">
        <v>0</v>
      </c>
      <c r="L39" s="20" t="n">
        <v>2</v>
      </c>
      <c r="M39" s="20" t="n">
        <v>1</v>
      </c>
      <c r="N39" s="20" t="n">
        <v>0</v>
      </c>
      <c r="O39" s="20" t="n">
        <v>0</v>
      </c>
      <c r="P39" s="20" t="n">
        <v>317</v>
      </c>
      <c r="Q39" s="20" t="n">
        <v>0</v>
      </c>
      <c r="R39" s="20" t="n">
        <v>6</v>
      </c>
      <c r="S39" s="20" t="n">
        <v>323</v>
      </c>
      <c r="T39" s="20" t="n">
        <v>0</v>
      </c>
      <c r="U39" s="20">
        <f>SUM(C39:O39)-P39</f>
        <v/>
      </c>
    </row>
    <row r="40">
      <c r="A40" s="18" t="n">
        <v>35</v>
      </c>
      <c r="B40" s="19" t="inlineStr">
        <is>
          <t>Gangipally</t>
        </is>
      </c>
      <c r="C40" s="20" t="n">
        <v>90</v>
      </c>
      <c r="D40" s="20" t="n">
        <v>14</v>
      </c>
      <c r="E40" s="20" t="n">
        <v>2</v>
      </c>
      <c r="F40" s="20" t="n">
        <v>2</v>
      </c>
      <c r="G40" s="20" t="n">
        <v>425</v>
      </c>
      <c r="H40" s="20" t="n">
        <v>3</v>
      </c>
      <c r="I40" s="20" t="n">
        <v>1</v>
      </c>
      <c r="J40" s="20" t="n">
        <v>7</v>
      </c>
      <c r="K40" s="20" t="n">
        <v>58</v>
      </c>
      <c r="L40" s="20" t="n">
        <v>4</v>
      </c>
      <c r="M40" s="20" t="n">
        <v>1</v>
      </c>
      <c r="N40" s="20" t="n">
        <v>0</v>
      </c>
      <c r="O40" s="20" t="n">
        <v>4</v>
      </c>
      <c r="P40" s="20" t="n">
        <v>611</v>
      </c>
      <c r="Q40" s="20" t="n">
        <v>0</v>
      </c>
      <c r="R40" s="20" t="n">
        <v>10</v>
      </c>
      <c r="S40" s="20" t="n">
        <v>621</v>
      </c>
      <c r="T40" s="20" t="n">
        <v>0</v>
      </c>
      <c r="U40" s="20">
        <f>SUM(C40:O40)-P40</f>
        <v/>
      </c>
    </row>
    <row r="41">
      <c r="A41" s="18" t="n">
        <v>36</v>
      </c>
      <c r="B41" s="19" t="inlineStr">
        <is>
          <t>Gangipally</t>
        </is>
      </c>
      <c r="C41" s="20" t="n">
        <v>99</v>
      </c>
      <c r="D41" s="20" t="n">
        <v>19</v>
      </c>
      <c r="E41" s="20" t="n">
        <v>2</v>
      </c>
      <c r="F41" s="20" t="n">
        <v>1</v>
      </c>
      <c r="G41" s="20" t="n">
        <v>248</v>
      </c>
      <c r="H41" s="20" t="n">
        <v>3</v>
      </c>
      <c r="I41" s="20" t="n">
        <v>0</v>
      </c>
      <c r="J41" s="20" t="n">
        <v>3</v>
      </c>
      <c r="K41" s="20" t="n">
        <v>7</v>
      </c>
      <c r="L41" s="20" t="n">
        <v>3</v>
      </c>
      <c r="M41" s="20" t="n">
        <v>0</v>
      </c>
      <c r="N41" s="20" t="n">
        <v>42</v>
      </c>
      <c r="O41" s="20" t="n">
        <v>3</v>
      </c>
      <c r="P41" s="20" t="n">
        <v>430</v>
      </c>
      <c r="Q41" s="20" t="n">
        <v>0</v>
      </c>
      <c r="R41" s="20" t="n">
        <v>0</v>
      </c>
      <c r="S41" s="20" t="n">
        <v>430</v>
      </c>
      <c r="T41" s="20" t="n">
        <v>0</v>
      </c>
      <c r="U41" s="20">
        <f>SUM(C41:O41)-P41</f>
        <v/>
      </c>
    </row>
    <row r="42">
      <c r="A42" s="18" t="n">
        <v>37</v>
      </c>
      <c r="B42" s="19" t="inlineStr">
        <is>
          <t>Chenjerla</t>
        </is>
      </c>
      <c r="C42" s="20" t="n">
        <v>217</v>
      </c>
      <c r="D42" s="20" t="n">
        <v>10</v>
      </c>
      <c r="E42" s="20" t="n">
        <v>0</v>
      </c>
      <c r="F42" s="20" t="n">
        <v>4</v>
      </c>
      <c r="G42" s="20" t="n">
        <v>210</v>
      </c>
      <c r="H42" s="20" t="n">
        <v>2</v>
      </c>
      <c r="I42" s="20" t="n">
        <v>0</v>
      </c>
      <c r="J42" s="20" t="n">
        <v>0</v>
      </c>
      <c r="K42" s="20" t="n">
        <v>42</v>
      </c>
      <c r="L42" s="20" t="n">
        <v>7</v>
      </c>
      <c r="M42" s="20" t="n">
        <v>0</v>
      </c>
      <c r="N42" s="20" t="n">
        <v>2</v>
      </c>
      <c r="O42" s="20" t="n">
        <v>2</v>
      </c>
      <c r="P42" s="20" t="n">
        <v>496</v>
      </c>
      <c r="Q42" s="20" t="n">
        <v>0</v>
      </c>
      <c r="R42" s="20" t="n">
        <v>0</v>
      </c>
      <c r="S42" s="20" t="n">
        <v>496</v>
      </c>
      <c r="T42" s="20" t="n">
        <v>0</v>
      </c>
      <c r="U42" s="20">
        <f>SUM(C42:O42)-P42</f>
        <v/>
      </c>
    </row>
    <row r="43">
      <c r="A43" s="18" t="n">
        <v>38</v>
      </c>
      <c r="B43" s="19" t="inlineStr">
        <is>
          <t>Chenjerla</t>
        </is>
      </c>
      <c r="C43" s="20" t="n">
        <v>208</v>
      </c>
      <c r="D43" s="20" t="n">
        <v>13</v>
      </c>
      <c r="E43" s="20" t="n">
        <v>0</v>
      </c>
      <c r="F43" s="20" t="n">
        <v>9</v>
      </c>
      <c r="G43" s="20" t="n">
        <v>332</v>
      </c>
      <c r="H43" s="20" t="n">
        <v>2</v>
      </c>
      <c r="I43" s="20" t="n">
        <v>1</v>
      </c>
      <c r="J43" s="20" t="n">
        <v>2</v>
      </c>
      <c r="K43" s="20" t="n">
        <v>41</v>
      </c>
      <c r="L43" s="20" t="n">
        <v>3</v>
      </c>
      <c r="M43" s="20" t="n">
        <v>0</v>
      </c>
      <c r="N43" s="20" t="n">
        <v>2</v>
      </c>
      <c r="O43" s="20" t="n">
        <v>1</v>
      </c>
      <c r="P43" s="20" t="n">
        <v>614</v>
      </c>
      <c r="Q43" s="20" t="n">
        <v>0</v>
      </c>
      <c r="R43" s="20" t="n">
        <v>4</v>
      </c>
      <c r="S43" s="20" t="n">
        <v>618</v>
      </c>
      <c r="T43" s="20" t="n">
        <v>0</v>
      </c>
      <c r="U43" s="20">
        <f>SUM(C43:O43)-P43</f>
        <v/>
      </c>
    </row>
    <row r="44">
      <c r="A44" s="18" t="n">
        <v>39</v>
      </c>
      <c r="B44" s="19" t="inlineStr">
        <is>
          <t>Chenjerla</t>
        </is>
      </c>
      <c r="C44" s="20" t="n">
        <v>103</v>
      </c>
      <c r="D44" s="20" t="n">
        <v>20</v>
      </c>
      <c r="E44" s="20" t="n">
        <v>0</v>
      </c>
      <c r="F44" s="20" t="n">
        <v>7</v>
      </c>
      <c r="G44" s="20" t="n">
        <v>431</v>
      </c>
      <c r="H44" s="20" t="n">
        <v>3</v>
      </c>
      <c r="I44" s="20" t="n">
        <v>0</v>
      </c>
      <c r="J44" s="20" t="n">
        <v>2</v>
      </c>
      <c r="K44" s="20" t="n">
        <v>51</v>
      </c>
      <c r="L44" s="20" t="n">
        <v>5</v>
      </c>
      <c r="M44" s="20" t="n">
        <v>1</v>
      </c>
      <c r="N44" s="20" t="n">
        <v>3</v>
      </c>
      <c r="O44" s="20" t="n">
        <v>0</v>
      </c>
      <c r="P44" s="20" t="n">
        <v>626</v>
      </c>
      <c r="Q44" s="20" t="n">
        <v>0</v>
      </c>
      <c r="R44" s="20" t="n">
        <v>9</v>
      </c>
      <c r="S44" s="20" t="n">
        <v>635</v>
      </c>
      <c r="T44" s="20" t="n">
        <v>0</v>
      </c>
      <c r="U44" s="20">
        <f>SUM(C44:O44)-P44</f>
        <v/>
      </c>
    </row>
    <row r="45">
      <c r="A45" s="18" t="n">
        <v>40</v>
      </c>
      <c r="B45" s="19" t="inlineStr">
        <is>
          <t>Nijayatigudem H/o
Chenjerla</t>
        </is>
      </c>
      <c r="C45" s="20" t="n">
        <v>199</v>
      </c>
      <c r="D45" s="20" t="n">
        <v>27</v>
      </c>
      <c r="E45" s="20" t="n">
        <v>0</v>
      </c>
      <c r="F45" s="20" t="n">
        <v>1</v>
      </c>
      <c r="G45" s="20" t="n">
        <v>423</v>
      </c>
      <c r="H45" s="20" t="n">
        <v>2</v>
      </c>
      <c r="I45" s="20" t="n">
        <v>1</v>
      </c>
      <c r="J45" s="20" t="n">
        <v>0</v>
      </c>
      <c r="K45" s="20" t="n">
        <v>69</v>
      </c>
      <c r="L45" s="20" t="n">
        <v>9</v>
      </c>
      <c r="M45" s="20" t="n">
        <v>4</v>
      </c>
      <c r="N45" s="20" t="n">
        <v>2</v>
      </c>
      <c r="O45" s="20" t="n">
        <v>0</v>
      </c>
      <c r="P45" s="20" t="n">
        <v>737</v>
      </c>
      <c r="Q45" s="20" t="n">
        <v>0</v>
      </c>
      <c r="R45" s="20" t="n">
        <v>14</v>
      </c>
      <c r="S45" s="20" t="n">
        <v>751</v>
      </c>
      <c r="T45" s="20" t="n">
        <v>0</v>
      </c>
      <c r="U45" s="20">
        <f>SUM(C45:O45)-P45</f>
        <v/>
      </c>
    </row>
    <row r="46">
      <c r="A46" s="18" t="n">
        <v>41</v>
      </c>
      <c r="B46" s="19" t="inlineStr">
        <is>
          <t>Kadergudem H/o Chenjerla</t>
        </is>
      </c>
      <c r="C46" s="20" t="n">
        <v>246</v>
      </c>
      <c r="D46" s="20" t="n">
        <v>3</v>
      </c>
      <c r="E46" s="20" t="n">
        <v>0</v>
      </c>
      <c r="F46" s="20" t="n">
        <v>7</v>
      </c>
      <c r="G46" s="20" t="n">
        <v>461</v>
      </c>
      <c r="H46" s="20" t="n">
        <v>3</v>
      </c>
      <c r="I46" s="20" t="n">
        <v>4</v>
      </c>
      <c r="J46" s="20" t="n">
        <v>4</v>
      </c>
      <c r="K46" s="20" t="n">
        <v>63</v>
      </c>
      <c r="L46" s="20" t="n">
        <v>6</v>
      </c>
      <c r="M46" s="20" t="n">
        <v>1</v>
      </c>
      <c r="N46" s="20" t="n">
        <v>4</v>
      </c>
      <c r="O46" s="20" t="n">
        <v>7</v>
      </c>
      <c r="P46" s="20" t="n">
        <v>809</v>
      </c>
      <c r="Q46" s="20" t="n">
        <v>0</v>
      </c>
      <c r="R46" s="20" t="n">
        <v>21</v>
      </c>
      <c r="S46" s="20" t="n">
        <v>830</v>
      </c>
      <c r="T46" s="20" t="n">
        <v>0</v>
      </c>
      <c r="U46" s="20">
        <f>SUM(C46:O46)-P46</f>
        <v/>
      </c>
    </row>
    <row r="47">
      <c r="A47" s="18" t="n">
        <v>42</v>
      </c>
      <c r="B47" s="19" t="inlineStr">
        <is>
          <t>Gattududdenapally</t>
        </is>
      </c>
      <c r="C47" s="20" t="n">
        <v>91</v>
      </c>
      <c r="D47" s="20" t="n">
        <v>28</v>
      </c>
      <c r="E47" s="20" t="n">
        <v>0</v>
      </c>
      <c r="F47" s="20" t="n">
        <v>1</v>
      </c>
      <c r="G47" s="20" t="n">
        <v>359</v>
      </c>
      <c r="H47" s="20" t="n">
        <v>6</v>
      </c>
      <c r="I47" s="20" t="n">
        <v>0</v>
      </c>
      <c r="J47" s="20" t="n">
        <v>2</v>
      </c>
      <c r="K47" s="20" t="n">
        <v>73</v>
      </c>
      <c r="L47" s="20" t="n">
        <v>6</v>
      </c>
      <c r="M47" s="20" t="n">
        <v>0</v>
      </c>
      <c r="N47" s="20" t="n">
        <v>2</v>
      </c>
      <c r="O47" s="20" t="n">
        <v>0</v>
      </c>
      <c r="P47" s="20" t="n">
        <v>568</v>
      </c>
      <c r="Q47" s="20" t="n">
        <v>0</v>
      </c>
      <c r="R47" s="20" t="n">
        <v>3</v>
      </c>
      <c r="S47" s="20" t="n">
        <v>571</v>
      </c>
      <c r="T47" s="20" t="n">
        <v>0</v>
      </c>
      <c r="U47" s="20">
        <f>SUM(C47:O47)-P47</f>
        <v/>
      </c>
    </row>
    <row r="48">
      <c r="A48" s="18" t="n">
        <v>43</v>
      </c>
      <c r="B48" s="19" t="inlineStr">
        <is>
          <t>Gattududdenapally</t>
        </is>
      </c>
      <c r="C48" s="20" t="n">
        <v>206</v>
      </c>
      <c r="D48" s="20" t="n">
        <v>18</v>
      </c>
      <c r="E48" s="20" t="n">
        <v>1</v>
      </c>
      <c r="F48" s="20" t="n">
        <v>3</v>
      </c>
      <c r="G48" s="20" t="n">
        <v>44</v>
      </c>
      <c r="H48" s="20" t="n">
        <v>2</v>
      </c>
      <c r="I48" s="20" t="n">
        <v>2</v>
      </c>
      <c r="J48" s="20" t="n">
        <v>2</v>
      </c>
      <c r="K48" s="20" t="n">
        <v>37</v>
      </c>
      <c r="L48" s="20" t="n">
        <v>6</v>
      </c>
      <c r="M48" s="20" t="n">
        <v>2</v>
      </c>
      <c r="N48" s="20" t="n">
        <v>2</v>
      </c>
      <c r="O48" s="20" t="n">
        <v>0</v>
      </c>
      <c r="P48" s="20" t="n">
        <v>325</v>
      </c>
      <c r="Q48" s="20" t="n">
        <v>0</v>
      </c>
      <c r="R48" s="20" t="n">
        <v>7</v>
      </c>
      <c r="S48" s="20" t="n">
        <v>332</v>
      </c>
      <c r="T48" s="20" t="n">
        <v>0</v>
      </c>
      <c r="U48" s="20">
        <f>SUM(C48:O48)-P48</f>
        <v/>
      </c>
    </row>
    <row r="49">
      <c r="A49" s="18" t="n">
        <v>44</v>
      </c>
      <c r="B49" s="19" t="inlineStr">
        <is>
          <t>Gattududdenapally</t>
        </is>
      </c>
      <c r="C49" s="20" t="n">
        <v>232</v>
      </c>
      <c r="D49" s="20" t="n">
        <v>18</v>
      </c>
      <c r="E49" s="20" t="n">
        <v>2</v>
      </c>
      <c r="F49" s="20" t="n">
        <v>11</v>
      </c>
      <c r="G49" s="20" t="n">
        <v>630</v>
      </c>
      <c r="H49" s="20" t="n">
        <v>3</v>
      </c>
      <c r="I49" s="20" t="n">
        <v>0</v>
      </c>
      <c r="J49" s="20" t="n">
        <v>5</v>
      </c>
      <c r="K49" s="20" t="n">
        <v>70</v>
      </c>
      <c r="L49" s="20" t="n">
        <v>2</v>
      </c>
      <c r="M49" s="20" t="n">
        <v>1</v>
      </c>
      <c r="N49" s="20" t="n">
        <v>2</v>
      </c>
      <c r="O49" s="20" t="n">
        <v>4</v>
      </c>
      <c r="P49" s="20" t="n">
        <v>980</v>
      </c>
      <c r="Q49" s="20" t="n">
        <v>0</v>
      </c>
      <c r="R49" s="20" t="n">
        <v>8</v>
      </c>
      <c r="S49" s="20" t="n">
        <v>988</v>
      </c>
      <c r="T49" s="20" t="n">
        <v>0</v>
      </c>
      <c r="U49" s="20">
        <f>SUM(C49:O49)-P49</f>
        <v/>
      </c>
    </row>
    <row r="50">
      <c r="A50" s="18" t="n">
        <v>45</v>
      </c>
      <c r="B50" s="19" t="inlineStr">
        <is>
          <t>Devampally</t>
        </is>
      </c>
      <c r="C50" s="20" t="n">
        <v>224</v>
      </c>
      <c r="D50" s="20" t="n">
        <v>6</v>
      </c>
      <c r="E50" s="20" t="n">
        <v>2</v>
      </c>
      <c r="F50" s="20" t="n">
        <v>34</v>
      </c>
      <c r="G50" s="20" t="n">
        <v>307</v>
      </c>
      <c r="H50" s="20" t="n">
        <v>0</v>
      </c>
      <c r="I50" s="20" t="n">
        <v>0</v>
      </c>
      <c r="J50" s="20" t="n">
        <v>1</v>
      </c>
      <c r="K50" s="20" t="n">
        <v>28</v>
      </c>
      <c r="L50" s="20" t="n">
        <v>3</v>
      </c>
      <c r="M50" s="20" t="n">
        <v>0</v>
      </c>
      <c r="N50" s="20" t="n">
        <v>1</v>
      </c>
      <c r="O50" s="20" t="n">
        <v>2</v>
      </c>
      <c r="P50" s="20" t="n">
        <v>608</v>
      </c>
      <c r="Q50" s="20" t="n">
        <v>0</v>
      </c>
      <c r="R50" s="20" t="n">
        <v>11</v>
      </c>
      <c r="S50" s="20" t="n">
        <v>619</v>
      </c>
      <c r="T50" s="20" t="n">
        <v>0</v>
      </c>
      <c r="U50" s="20">
        <f>SUM(C50:O50)-P50</f>
        <v/>
      </c>
    </row>
    <row r="51">
      <c r="A51" s="18" t="n">
        <v>46</v>
      </c>
      <c r="B51" s="19" t="inlineStr">
        <is>
          <t>Devampally</t>
        </is>
      </c>
      <c r="C51" s="20" t="n">
        <v>160</v>
      </c>
      <c r="D51" s="20" t="n">
        <v>7</v>
      </c>
      <c r="E51" s="20" t="n">
        <v>0</v>
      </c>
      <c r="F51" s="20" t="n">
        <v>7</v>
      </c>
      <c r="G51" s="20" t="n">
        <v>291</v>
      </c>
      <c r="H51" s="20" t="n">
        <v>5</v>
      </c>
      <c r="I51" s="20" t="n">
        <v>1</v>
      </c>
      <c r="J51" s="20" t="n">
        <v>0</v>
      </c>
      <c r="K51" s="20" t="n">
        <v>65</v>
      </c>
      <c r="L51" s="20" t="n">
        <v>5</v>
      </c>
      <c r="M51" s="20" t="n">
        <v>1</v>
      </c>
      <c r="N51" s="20" t="n">
        <v>3</v>
      </c>
      <c r="O51" s="20" t="n">
        <v>3</v>
      </c>
      <c r="P51" s="20" t="n">
        <v>548</v>
      </c>
      <c r="Q51" s="20" t="n">
        <v>0</v>
      </c>
      <c r="R51" s="20" t="n">
        <v>14</v>
      </c>
      <c r="S51" s="20" t="n">
        <v>562</v>
      </c>
      <c r="T51" s="20" t="n">
        <v>0</v>
      </c>
      <c r="U51" s="20">
        <f>SUM(C51:O51)-P51</f>
        <v/>
      </c>
    </row>
    <row r="52">
      <c r="A52" s="18" t="n">
        <v>47</v>
      </c>
      <c r="B52" s="19" t="inlineStr">
        <is>
          <t>L:alithapur</t>
        </is>
      </c>
      <c r="C52" s="20" t="n">
        <v>139</v>
      </c>
      <c r="D52" s="20" t="n">
        <v>20</v>
      </c>
      <c r="E52" s="20" t="n">
        <v>0</v>
      </c>
      <c r="F52" s="20" t="n">
        <v>6</v>
      </c>
      <c r="G52" s="20" t="n">
        <v>468</v>
      </c>
      <c r="H52" s="20" t="n">
        <v>5</v>
      </c>
      <c r="I52" s="20" t="n">
        <v>3</v>
      </c>
      <c r="J52" s="20" t="n">
        <v>5</v>
      </c>
      <c r="K52" s="20" t="n">
        <v>87</v>
      </c>
      <c r="L52" s="20" t="n">
        <v>6</v>
      </c>
      <c r="M52" s="20" t="n">
        <v>1</v>
      </c>
      <c r="N52" s="20" t="n">
        <v>1</v>
      </c>
      <c r="O52" s="20" t="n">
        <v>6</v>
      </c>
      <c r="P52" s="20" t="n">
        <v>747</v>
      </c>
      <c r="Q52" s="20" t="n">
        <v>0</v>
      </c>
      <c r="R52" s="20" t="n">
        <v>7</v>
      </c>
      <c r="S52" s="20" t="n">
        <v>754</v>
      </c>
      <c r="T52" s="20" t="n">
        <v>0</v>
      </c>
      <c r="U52" s="20">
        <f>SUM(C52:O52)-P52</f>
        <v/>
      </c>
    </row>
    <row r="53">
      <c r="A53" s="18" t="n">
        <v>48</v>
      </c>
      <c r="B53" s="19" t="inlineStr">
        <is>
          <t>Veldhi</t>
        </is>
      </c>
      <c r="C53" s="20" t="n">
        <v>175</v>
      </c>
      <c r="D53" s="20" t="n">
        <v>1</v>
      </c>
      <c r="E53" s="20" t="n">
        <v>1</v>
      </c>
      <c r="F53" s="20" t="n">
        <v>0</v>
      </c>
      <c r="G53" s="20" t="n">
        <v>384</v>
      </c>
      <c r="H53" s="20" t="n">
        <v>9</v>
      </c>
      <c r="I53" s="20" t="n">
        <v>1</v>
      </c>
      <c r="J53" s="20" t="n">
        <v>27</v>
      </c>
      <c r="K53" s="20" t="n">
        <v>87</v>
      </c>
      <c r="L53" s="20" t="n">
        <v>8</v>
      </c>
      <c r="M53" s="20" t="n">
        <v>0</v>
      </c>
      <c r="N53" s="20" t="n">
        <v>8</v>
      </c>
      <c r="O53" s="20" t="n">
        <v>5</v>
      </c>
      <c r="P53" s="20" t="n">
        <v>706</v>
      </c>
      <c r="Q53" s="20" t="n">
        <v>0</v>
      </c>
      <c r="R53" s="20" t="n">
        <v>21</v>
      </c>
      <c r="S53" s="20" t="n">
        <v>727</v>
      </c>
      <c r="T53" s="20" t="n">
        <v>0</v>
      </c>
      <c r="U53" s="20">
        <f>SUM(C53:O53)-P53</f>
        <v/>
      </c>
    </row>
    <row r="54">
      <c r="A54" s="18" t="n">
        <v>49</v>
      </c>
      <c r="B54" s="19" t="inlineStr">
        <is>
          <t>Veldhi</t>
        </is>
      </c>
      <c r="C54" s="20" t="n">
        <v>323</v>
      </c>
      <c r="D54" s="20" t="n">
        <v>26</v>
      </c>
      <c r="E54" s="20" t="n">
        <v>0</v>
      </c>
      <c r="F54" s="20" t="n">
        <v>9</v>
      </c>
      <c r="G54" s="20" t="n">
        <v>293</v>
      </c>
      <c r="H54" s="20" t="n">
        <v>2</v>
      </c>
      <c r="I54" s="20" t="n">
        <v>2</v>
      </c>
      <c r="J54" s="20" t="n">
        <v>3</v>
      </c>
      <c r="K54" s="20" t="n">
        <v>41</v>
      </c>
      <c r="L54" s="20" t="n">
        <v>5</v>
      </c>
      <c r="M54" s="20" t="n">
        <v>0</v>
      </c>
      <c r="N54" s="20" t="n">
        <v>0</v>
      </c>
      <c r="O54" s="20" t="n">
        <v>0</v>
      </c>
      <c r="P54" s="20" t="n">
        <v>704</v>
      </c>
      <c r="Q54" s="20" t="n">
        <v>0</v>
      </c>
      <c r="R54" s="20" t="n">
        <v>11</v>
      </c>
      <c r="S54" s="20" t="n">
        <v>715</v>
      </c>
      <c r="T54" s="20" t="n">
        <v>0</v>
      </c>
      <c r="U54" s="20">
        <f>SUM(C54:O54)-P54</f>
        <v/>
      </c>
    </row>
    <row r="55">
      <c r="A55" s="18" t="n">
        <v>50</v>
      </c>
      <c r="B55" s="19" t="inlineStr">
        <is>
          <t>Laxmipur</t>
        </is>
      </c>
      <c r="C55" s="20" t="n">
        <v>250</v>
      </c>
      <c r="D55" s="20" t="n">
        <v>25</v>
      </c>
      <c r="E55" s="20" t="n">
        <v>1</v>
      </c>
      <c r="F55" s="20" t="n">
        <v>5</v>
      </c>
      <c r="G55" s="20" t="n">
        <v>379</v>
      </c>
      <c r="H55" s="20" t="n">
        <v>5</v>
      </c>
      <c r="I55" s="20" t="n">
        <v>3</v>
      </c>
      <c r="J55" s="20" t="n">
        <v>2</v>
      </c>
      <c r="K55" s="20" t="n">
        <v>85</v>
      </c>
      <c r="L55" s="20" t="n">
        <v>4</v>
      </c>
      <c r="M55" s="20" t="n">
        <v>5</v>
      </c>
      <c r="N55" s="20" t="n">
        <v>4</v>
      </c>
      <c r="O55" s="20" t="n">
        <v>4</v>
      </c>
      <c r="P55" s="20" t="n">
        <v>772</v>
      </c>
      <c r="Q55" s="20" t="n">
        <v>0</v>
      </c>
      <c r="R55" s="20" t="n">
        <v>13</v>
      </c>
      <c r="S55" s="20" t="n">
        <v>785</v>
      </c>
      <c r="T55" s="20" t="n">
        <v>0</v>
      </c>
      <c r="U55" s="20">
        <f>SUM(C55:O55)-P55</f>
        <v/>
      </c>
    </row>
    <row r="56">
      <c r="A56" s="18" t="n">
        <v>51</v>
      </c>
      <c r="B56" s="19" t="inlineStr">
        <is>
          <t>Laxmipur</t>
        </is>
      </c>
      <c r="C56" s="20" t="n">
        <v>331</v>
      </c>
      <c r="D56" s="20" t="n">
        <v>16</v>
      </c>
      <c r="E56" s="20" t="n">
        <v>2</v>
      </c>
      <c r="F56" s="20" t="n">
        <v>10</v>
      </c>
      <c r="G56" s="20" t="n">
        <v>341</v>
      </c>
      <c r="H56" s="20" t="n">
        <v>2</v>
      </c>
      <c r="I56" s="20" t="n">
        <v>0</v>
      </c>
      <c r="J56" s="20" t="n">
        <v>2</v>
      </c>
      <c r="K56" s="20" t="n">
        <v>0</v>
      </c>
      <c r="L56" s="20" t="n">
        <v>2</v>
      </c>
      <c r="M56" s="20" t="n">
        <v>0</v>
      </c>
      <c r="N56" s="20" t="n">
        <v>2</v>
      </c>
      <c r="O56" s="20" t="n">
        <v>0</v>
      </c>
      <c r="P56" s="20" t="n">
        <v>708</v>
      </c>
      <c r="Q56" s="20" t="n">
        <v>0</v>
      </c>
      <c r="R56" s="20" t="n">
        <v>14</v>
      </c>
      <c r="S56" s="20" t="n">
        <v>722</v>
      </c>
      <c r="T56" s="20" t="n">
        <v>0</v>
      </c>
      <c r="U56" s="20">
        <f>SUM(C56:O56)-P56</f>
        <v/>
      </c>
    </row>
    <row r="57">
      <c r="A57" s="18" t="n">
        <v>52</v>
      </c>
      <c r="B57" s="19" t="inlineStr">
        <is>
          <t>Rangapeta</t>
        </is>
      </c>
      <c r="C57" s="20" t="n">
        <v>228</v>
      </c>
      <c r="D57" s="20" t="n">
        <v>25</v>
      </c>
      <c r="E57" s="20" t="n">
        <v>0</v>
      </c>
      <c r="F57" s="20" t="n">
        <v>8</v>
      </c>
      <c r="G57" s="20" t="n">
        <v>341</v>
      </c>
      <c r="H57" s="20" t="n">
        <v>2</v>
      </c>
      <c r="I57" s="20" t="n">
        <v>1</v>
      </c>
      <c r="J57" s="20" t="n">
        <v>0</v>
      </c>
      <c r="K57" s="20" t="n">
        <v>62</v>
      </c>
      <c r="L57" s="20" t="n">
        <v>4</v>
      </c>
      <c r="M57" s="20" t="n">
        <v>1</v>
      </c>
      <c r="N57" s="20" t="n">
        <v>3</v>
      </c>
      <c r="O57" s="20" t="n">
        <v>5</v>
      </c>
      <c r="P57" s="20" t="n">
        <v>680</v>
      </c>
      <c r="Q57" s="20" t="n">
        <v>0</v>
      </c>
      <c r="R57" s="20" t="n">
        <v>11</v>
      </c>
      <c r="S57" s="20" t="n">
        <v>691</v>
      </c>
      <c r="T57" s="20" t="n">
        <v>0</v>
      </c>
      <c r="U57" s="20">
        <f>SUM(C57:O57)-P57</f>
        <v/>
      </c>
    </row>
    <row r="58">
      <c r="A58" s="18" t="n">
        <v>53</v>
      </c>
      <c r="B58" s="19" t="inlineStr">
        <is>
          <t>Rangapeta</t>
        </is>
      </c>
      <c r="C58" s="20" t="n">
        <v>219</v>
      </c>
      <c r="D58" s="20" t="n">
        <v>21</v>
      </c>
      <c r="E58" s="20" t="n">
        <v>0</v>
      </c>
      <c r="F58" s="20" t="n">
        <v>6</v>
      </c>
      <c r="G58" s="20" t="n">
        <v>233</v>
      </c>
      <c r="H58" s="20" t="n">
        <v>0</v>
      </c>
      <c r="I58" s="20" t="n">
        <v>1</v>
      </c>
      <c r="J58" s="20" t="n">
        <v>1</v>
      </c>
      <c r="K58" s="20" t="n">
        <v>67</v>
      </c>
      <c r="L58" s="20" t="n">
        <v>3</v>
      </c>
      <c r="M58" s="20" t="n">
        <v>1</v>
      </c>
      <c r="N58" s="20" t="n">
        <v>4</v>
      </c>
      <c r="O58" s="20" t="n">
        <v>0</v>
      </c>
      <c r="P58" s="20" t="n">
        <v>556</v>
      </c>
      <c r="Q58" s="20" t="n">
        <v>0</v>
      </c>
      <c r="R58" s="20" t="n">
        <v>9</v>
      </c>
      <c r="S58" s="20" t="n">
        <v>565</v>
      </c>
      <c r="T58" s="20" t="n">
        <v>0</v>
      </c>
      <c r="U58" s="20">
        <f>SUM(C58:O58)-P58</f>
        <v/>
      </c>
    </row>
    <row r="59">
      <c r="A59" s="18" t="n">
        <v>54</v>
      </c>
      <c r="B59" s="19" t="inlineStr">
        <is>
          <t>Vegurupally</t>
        </is>
      </c>
      <c r="C59" s="20" t="n">
        <v>300</v>
      </c>
      <c r="D59" s="20" t="n">
        <v>11</v>
      </c>
      <c r="E59" s="20" t="n">
        <v>3</v>
      </c>
      <c r="F59" s="20" t="n">
        <v>4</v>
      </c>
      <c r="G59" s="20" t="n">
        <v>395</v>
      </c>
      <c r="H59" s="20" t="n">
        <v>2</v>
      </c>
      <c r="I59" s="20" t="n">
        <v>2</v>
      </c>
      <c r="J59" s="20" t="n">
        <v>4</v>
      </c>
      <c r="K59" s="20" t="n">
        <v>7</v>
      </c>
      <c r="L59" s="20" t="n">
        <v>9</v>
      </c>
      <c r="M59" s="20" t="n">
        <v>3</v>
      </c>
      <c r="N59" s="20" t="n">
        <v>2</v>
      </c>
      <c r="O59" s="20" t="n">
        <v>4</v>
      </c>
      <c r="P59" s="20" t="n">
        <v>746</v>
      </c>
      <c r="Q59" s="20" t="n">
        <v>0</v>
      </c>
      <c r="R59" s="20" t="n">
        <v>25</v>
      </c>
      <c r="S59" s="20" t="n">
        <v>771</v>
      </c>
      <c r="T59" s="20" t="n">
        <v>0</v>
      </c>
      <c r="U59" s="20">
        <f>SUM(C59:O59)-P59</f>
        <v/>
      </c>
    </row>
    <row r="60">
      <c r="A60" s="18" t="n">
        <v>55</v>
      </c>
      <c r="B60" s="19" t="inlineStr">
        <is>
          <t>Vegurupally</t>
        </is>
      </c>
      <c r="C60" s="20" t="n">
        <v>216</v>
      </c>
      <c r="D60" s="20" t="n">
        <v>4</v>
      </c>
      <c r="E60" s="20" t="n">
        <v>0</v>
      </c>
      <c r="F60" s="20" t="n">
        <v>6</v>
      </c>
      <c r="G60" s="20" t="n">
        <v>270</v>
      </c>
      <c r="H60" s="20" t="n">
        <v>5</v>
      </c>
      <c r="I60" s="20" t="n">
        <v>0</v>
      </c>
      <c r="J60" s="20" t="n">
        <v>4</v>
      </c>
      <c r="K60" s="20" t="n">
        <v>42</v>
      </c>
      <c r="L60" s="20" t="n">
        <v>1</v>
      </c>
      <c r="M60" s="20" t="n">
        <v>1</v>
      </c>
      <c r="N60" s="20" t="n">
        <v>4</v>
      </c>
      <c r="O60" s="20" t="n">
        <v>0</v>
      </c>
      <c r="P60" s="20" t="n">
        <v>553</v>
      </c>
      <c r="Q60" s="20" t="n">
        <v>0</v>
      </c>
      <c r="R60" s="20" t="n">
        <v>1</v>
      </c>
      <c r="S60" s="20" t="n">
        <v>554</v>
      </c>
      <c r="T60" s="20" t="n">
        <v>0</v>
      </c>
      <c r="U60" s="20">
        <f>SUM(C60:O60)-P60</f>
        <v/>
      </c>
    </row>
    <row r="61">
      <c r="A61" s="18" t="n">
        <v>56</v>
      </c>
      <c r="B61" s="19" t="inlineStr">
        <is>
          <t>Pachunur</t>
        </is>
      </c>
      <c r="C61" s="20" t="n">
        <v>291</v>
      </c>
      <c r="D61" s="20" t="n">
        <v>8</v>
      </c>
      <c r="E61" s="20" t="n">
        <v>0</v>
      </c>
      <c r="F61" s="20" t="n">
        <v>0</v>
      </c>
      <c r="G61" s="20" t="n">
        <v>446</v>
      </c>
      <c r="H61" s="20" t="n">
        <v>1</v>
      </c>
      <c r="I61" s="20" t="n">
        <v>0</v>
      </c>
      <c r="J61" s="20" t="n">
        <v>2</v>
      </c>
      <c r="K61" s="20" t="n">
        <v>33</v>
      </c>
      <c r="L61" s="20" t="n">
        <v>1</v>
      </c>
      <c r="M61" s="20" t="n">
        <v>0</v>
      </c>
      <c r="N61" s="20" t="n">
        <v>0</v>
      </c>
      <c r="O61" s="20" t="n">
        <v>0</v>
      </c>
      <c r="P61" s="20" t="n">
        <v>782</v>
      </c>
      <c r="Q61" s="20" t="n">
        <v>0</v>
      </c>
      <c r="R61" s="20" t="n">
        <v>2</v>
      </c>
      <c r="S61" s="20" t="n">
        <v>784</v>
      </c>
      <c r="T61" s="20" t="n">
        <v>0</v>
      </c>
      <c r="U61" s="20">
        <f>SUM(C61:O61)-P61</f>
        <v/>
      </c>
    </row>
    <row r="62">
      <c r="A62" s="18" t="n">
        <v>57</v>
      </c>
      <c r="B62" s="19" t="inlineStr">
        <is>
          <t>Pachunur</t>
        </is>
      </c>
      <c r="C62" s="20" t="n">
        <v>281</v>
      </c>
      <c r="D62" s="20" t="n">
        <v>14</v>
      </c>
      <c r="E62" s="20" t="n">
        <v>1</v>
      </c>
      <c r="F62" s="20" t="n">
        <v>6</v>
      </c>
      <c r="G62" s="20" t="n">
        <v>352</v>
      </c>
      <c r="H62" s="20" t="n">
        <v>2</v>
      </c>
      <c r="I62" s="20" t="n">
        <v>2</v>
      </c>
      <c r="J62" s="20" t="n">
        <v>0</v>
      </c>
      <c r="K62" s="20" t="n">
        <v>63</v>
      </c>
      <c r="L62" s="20" t="n">
        <v>2</v>
      </c>
      <c r="M62" s="20" t="n">
        <v>1</v>
      </c>
      <c r="N62" s="20" t="n">
        <v>0</v>
      </c>
      <c r="O62" s="20" t="n">
        <v>0</v>
      </c>
      <c r="P62" s="20" t="n">
        <v>724</v>
      </c>
      <c r="Q62" s="20" t="n">
        <v>0</v>
      </c>
      <c r="R62" s="20" t="n">
        <v>10</v>
      </c>
      <c r="S62" s="20" t="n">
        <v>734</v>
      </c>
      <c r="T62" s="20" t="n">
        <v>0</v>
      </c>
      <c r="U62" s="20">
        <f>SUM(C62:O62)-P62</f>
        <v/>
      </c>
    </row>
    <row r="63">
      <c r="A63" s="18" t="n">
        <v>58</v>
      </c>
      <c r="B63" s="19" t="inlineStr">
        <is>
          <t>Pachunur</t>
        </is>
      </c>
      <c r="C63" s="20" t="n">
        <v>152</v>
      </c>
      <c r="D63" s="20" t="n">
        <v>14</v>
      </c>
      <c r="E63" s="20" t="n">
        <v>0</v>
      </c>
      <c r="F63" s="20" t="n">
        <v>5</v>
      </c>
      <c r="G63" s="20" t="n">
        <v>334</v>
      </c>
      <c r="H63" s="20" t="n">
        <v>8</v>
      </c>
      <c r="I63" s="20" t="n">
        <v>1</v>
      </c>
      <c r="J63" s="20" t="n">
        <v>2</v>
      </c>
      <c r="K63" s="20" t="n">
        <v>84</v>
      </c>
      <c r="L63" s="20" t="n">
        <v>6</v>
      </c>
      <c r="M63" s="20" t="n">
        <v>1</v>
      </c>
      <c r="N63" s="20" t="n">
        <v>2</v>
      </c>
      <c r="O63" s="20" t="n">
        <v>3</v>
      </c>
      <c r="P63" s="20" t="n">
        <v>612</v>
      </c>
      <c r="Q63" s="20" t="n">
        <v>0</v>
      </c>
      <c r="R63" s="20" t="n">
        <v>23</v>
      </c>
      <c r="S63" s="20" t="n">
        <v>635</v>
      </c>
      <c r="T63" s="20" t="n">
        <v>0</v>
      </c>
      <c r="U63" s="20">
        <f>SUM(C63:O63)-P63</f>
        <v/>
      </c>
    </row>
    <row r="64">
      <c r="A64" s="18" t="n">
        <v>59</v>
      </c>
      <c r="B64" s="19" t="inlineStr">
        <is>
          <t>Pachunur</t>
        </is>
      </c>
      <c r="C64" s="20" t="n">
        <v>206</v>
      </c>
      <c r="D64" s="20" t="n">
        <v>35</v>
      </c>
      <c r="E64" s="20" t="n">
        <v>3</v>
      </c>
      <c r="F64" s="20" t="n">
        <v>6</v>
      </c>
      <c r="G64" s="20" t="n">
        <v>522</v>
      </c>
      <c r="H64" s="20" t="n">
        <v>6</v>
      </c>
      <c r="I64" s="20" t="n">
        <v>7</v>
      </c>
      <c r="J64" s="20" t="n">
        <v>4</v>
      </c>
      <c r="K64" s="20" t="n">
        <v>104</v>
      </c>
      <c r="L64" s="20" t="n">
        <v>8</v>
      </c>
      <c r="M64" s="20" t="n">
        <v>0</v>
      </c>
      <c r="N64" s="20" t="n">
        <v>0</v>
      </c>
      <c r="O64" s="20" t="n">
        <v>0</v>
      </c>
      <c r="P64" s="20" t="n">
        <v>901</v>
      </c>
      <c r="Q64" s="20" t="n">
        <v>0</v>
      </c>
      <c r="R64" s="20" t="n">
        <v>37</v>
      </c>
      <c r="S64" s="20" t="n">
        <v>938</v>
      </c>
      <c r="T64" s="20" t="n">
        <v>0</v>
      </c>
      <c r="U64" s="20">
        <f>SUM(C64:O64)-P64</f>
        <v/>
      </c>
    </row>
    <row r="65">
      <c r="A65" s="18" t="n">
        <v>60</v>
      </c>
      <c r="B65" s="19" t="inlineStr">
        <is>
          <t>Utoor</t>
        </is>
      </c>
      <c r="C65" s="20" t="n">
        <v>248</v>
      </c>
      <c r="D65" s="20" t="n">
        <v>16</v>
      </c>
      <c r="E65" s="20" t="n">
        <v>0</v>
      </c>
      <c r="F65" s="20" t="n">
        <v>6</v>
      </c>
      <c r="G65" s="20" t="n">
        <v>324</v>
      </c>
      <c r="H65" s="20" t="n">
        <v>2</v>
      </c>
      <c r="I65" s="20" t="n">
        <v>0</v>
      </c>
      <c r="J65" s="20" t="n">
        <v>2</v>
      </c>
      <c r="K65" s="20" t="n">
        <v>50</v>
      </c>
      <c r="L65" s="20" t="n">
        <v>11</v>
      </c>
      <c r="M65" s="20" t="n">
        <v>2</v>
      </c>
      <c r="N65" s="20" t="n">
        <v>2</v>
      </c>
      <c r="O65" s="20" t="n">
        <v>4</v>
      </c>
      <c r="P65" s="20" t="n">
        <v>667</v>
      </c>
      <c r="Q65" s="20" t="n">
        <v>0</v>
      </c>
      <c r="R65" s="20" t="n">
        <v>9</v>
      </c>
      <c r="S65" s="20" t="n">
        <v>676</v>
      </c>
      <c r="T65" s="20" t="n">
        <v>0</v>
      </c>
      <c r="U65" s="20">
        <f>SUM(C65:O65)-P65</f>
        <v/>
      </c>
    </row>
    <row r="66">
      <c r="A66" s="18" t="n">
        <v>61</v>
      </c>
      <c r="B66" s="19" t="inlineStr">
        <is>
          <t>Utoor</t>
        </is>
      </c>
      <c r="C66" s="20" t="n">
        <v>181</v>
      </c>
      <c r="D66" s="20" t="n">
        <v>4</v>
      </c>
      <c r="E66" s="20" t="n">
        <v>2</v>
      </c>
      <c r="F66" s="20" t="n">
        <v>11</v>
      </c>
      <c r="G66" s="20" t="n">
        <v>207</v>
      </c>
      <c r="H66" s="20" t="n">
        <v>1</v>
      </c>
      <c r="I66" s="20" t="n">
        <v>1</v>
      </c>
      <c r="J66" s="20" t="n">
        <v>1</v>
      </c>
      <c r="K66" s="20" t="n">
        <v>43</v>
      </c>
      <c r="L66" s="20" t="n">
        <v>4</v>
      </c>
      <c r="M66" s="20" t="n">
        <v>1</v>
      </c>
      <c r="N66" s="20" t="n">
        <v>3</v>
      </c>
      <c r="O66" s="20" t="n">
        <v>0</v>
      </c>
      <c r="P66" s="20" t="n">
        <v>459</v>
      </c>
      <c r="Q66" s="20" t="n">
        <v>0</v>
      </c>
      <c r="R66" s="20" t="n">
        <v>11</v>
      </c>
      <c r="S66" s="20" t="n">
        <v>470</v>
      </c>
      <c r="T66" s="20" t="n">
        <v>0</v>
      </c>
      <c r="U66" s="20">
        <f>SUM(C66:O66)-P66</f>
        <v/>
      </c>
    </row>
    <row r="67">
      <c r="A67" s="18" t="n">
        <v>62</v>
      </c>
      <c r="B67" s="19" t="inlineStr">
        <is>
          <t>Utoor</t>
        </is>
      </c>
      <c r="C67" s="20" t="n">
        <v>210</v>
      </c>
      <c r="D67" s="20" t="n">
        <v>12</v>
      </c>
      <c r="E67" s="20" t="n">
        <v>3</v>
      </c>
      <c r="F67" s="20" t="n">
        <v>1</v>
      </c>
      <c r="G67" s="20" t="n">
        <v>234</v>
      </c>
      <c r="H67" s="20" t="n">
        <v>2</v>
      </c>
      <c r="I67" s="20" t="n">
        <v>1</v>
      </c>
      <c r="J67" s="20" t="n">
        <v>0</v>
      </c>
      <c r="K67" s="20" t="n">
        <v>65</v>
      </c>
      <c r="L67" s="20" t="n">
        <v>5</v>
      </c>
      <c r="M67" s="20" t="n">
        <v>0</v>
      </c>
      <c r="N67" s="20" t="n">
        <v>0</v>
      </c>
      <c r="O67" s="20" t="n">
        <v>0</v>
      </c>
      <c r="P67" s="20" t="n">
        <v>533</v>
      </c>
      <c r="Q67" s="20" t="n">
        <v>0</v>
      </c>
      <c r="R67" s="20" t="n">
        <v>6</v>
      </c>
      <c r="S67" s="20" t="n">
        <v>539</v>
      </c>
      <c r="T67" s="20" t="n">
        <v>0</v>
      </c>
      <c r="U67" s="20">
        <f>SUM(C67:O67)-P67</f>
        <v/>
      </c>
    </row>
    <row r="68">
      <c r="A68" s="18" t="n">
        <v>63</v>
      </c>
      <c r="B68" s="19" t="inlineStr">
        <is>
          <t>Vannaram</t>
        </is>
      </c>
      <c r="C68" s="20" t="n">
        <v>218</v>
      </c>
      <c r="D68" s="20" t="n">
        <v>19</v>
      </c>
      <c r="E68" s="20" t="n">
        <v>1</v>
      </c>
      <c r="F68" s="20" t="n">
        <v>3</v>
      </c>
      <c r="G68" s="20" t="n">
        <v>527</v>
      </c>
      <c r="H68" s="20" t="n">
        <v>2</v>
      </c>
      <c r="I68" s="20" t="n">
        <v>3</v>
      </c>
      <c r="J68" s="20" t="n">
        <v>2</v>
      </c>
      <c r="K68" s="20" t="n">
        <v>138</v>
      </c>
      <c r="L68" s="20" t="n">
        <v>7</v>
      </c>
      <c r="M68" s="20" t="n">
        <v>1</v>
      </c>
      <c r="N68" s="20" t="n">
        <v>4</v>
      </c>
      <c r="O68" s="20" t="n">
        <v>10</v>
      </c>
      <c r="P68" s="20" t="n">
        <v>935</v>
      </c>
      <c r="Q68" s="20" t="n">
        <v>0</v>
      </c>
      <c r="R68" s="20" t="n">
        <v>20</v>
      </c>
      <c r="S68" s="20" t="n">
        <v>955</v>
      </c>
      <c r="T68" s="20" t="n">
        <v>0</v>
      </c>
      <c r="U68" s="20">
        <f>SUM(C68:O68)-P68</f>
        <v/>
      </c>
    </row>
    <row r="69">
      <c r="A69" s="18" t="n">
        <v>64</v>
      </c>
      <c r="B69" s="19" t="inlineStr">
        <is>
          <t>Ambalpur</t>
        </is>
      </c>
      <c r="C69" s="20" t="n">
        <v>274</v>
      </c>
      <c r="D69" s="20" t="n">
        <v>14</v>
      </c>
      <c r="E69" s="20" t="n">
        <v>1</v>
      </c>
      <c r="F69" s="20" t="n">
        <v>7</v>
      </c>
      <c r="G69" s="20" t="n">
        <v>519</v>
      </c>
      <c r="H69" s="20" t="n">
        <v>4</v>
      </c>
      <c r="I69" s="20" t="n">
        <v>3</v>
      </c>
      <c r="J69" s="20" t="n">
        <v>1</v>
      </c>
      <c r="K69" s="20" t="n">
        <v>83</v>
      </c>
      <c r="L69" s="20" t="n">
        <v>0</v>
      </c>
      <c r="M69" s="20" t="n">
        <v>0</v>
      </c>
      <c r="N69" s="20" t="n">
        <v>2</v>
      </c>
      <c r="O69" s="20" t="n">
        <v>2</v>
      </c>
      <c r="P69" s="20" t="n">
        <v>910</v>
      </c>
      <c r="Q69" s="20" t="n">
        <v>0</v>
      </c>
      <c r="R69" s="20" t="n">
        <v>11</v>
      </c>
      <c r="S69" s="20" t="n">
        <v>921</v>
      </c>
      <c r="T69" s="20" t="n">
        <v>0</v>
      </c>
      <c r="U69" s="20">
        <f>SUM(C69:O69)-P69</f>
        <v/>
      </c>
    </row>
    <row r="70">
      <c r="A70" s="18" t="n">
        <v>65</v>
      </c>
      <c r="B70" s="19" t="inlineStr">
        <is>
          <t>Ippalapalli H/o Ambalpur</t>
        </is>
      </c>
      <c r="C70" s="20" t="n">
        <v>351</v>
      </c>
      <c r="D70" s="20" t="n">
        <v>7</v>
      </c>
      <c r="E70" s="20" t="n">
        <v>0</v>
      </c>
      <c r="F70" s="20" t="n">
        <v>4</v>
      </c>
      <c r="G70" s="20" t="n">
        <v>443</v>
      </c>
      <c r="H70" s="20" t="n">
        <v>1</v>
      </c>
      <c r="I70" s="20" t="n">
        <v>1</v>
      </c>
      <c r="J70" s="20" t="n">
        <v>3</v>
      </c>
      <c r="K70" s="20" t="n">
        <v>70</v>
      </c>
      <c r="L70" s="20" t="n">
        <v>0</v>
      </c>
      <c r="M70" s="20" t="n">
        <v>0</v>
      </c>
      <c r="N70" s="20" t="n">
        <v>2</v>
      </c>
      <c r="O70" s="20" t="n">
        <v>0</v>
      </c>
      <c r="P70" s="20" t="n">
        <v>882</v>
      </c>
      <c r="Q70" s="20" t="n">
        <v>0</v>
      </c>
      <c r="R70" s="20" t="n">
        <v>18</v>
      </c>
      <c r="S70" s="20" t="n">
        <v>900</v>
      </c>
      <c r="T70" s="20" t="n">
        <v>0</v>
      </c>
      <c r="U70" s="20">
        <f>SUM(C70:O70)-P70</f>
        <v/>
      </c>
    </row>
    <row r="71">
      <c r="A71" s="18" t="n">
        <v>66</v>
      </c>
      <c r="B71" s="19" t="inlineStr">
        <is>
          <t>Karimpeta</t>
        </is>
      </c>
      <c r="C71" s="20" t="n">
        <v>372</v>
      </c>
      <c r="D71" s="20" t="n">
        <v>32</v>
      </c>
      <c r="E71" s="20" t="n">
        <v>3</v>
      </c>
      <c r="F71" s="20" t="n">
        <v>6</v>
      </c>
      <c r="G71" s="20" t="n">
        <v>378</v>
      </c>
      <c r="H71" s="20" t="n">
        <v>8</v>
      </c>
      <c r="I71" s="20" t="n">
        <v>0</v>
      </c>
      <c r="J71" s="20" t="n">
        <v>4</v>
      </c>
      <c r="K71" s="20" t="n">
        <v>82</v>
      </c>
      <c r="L71" s="20" t="n">
        <v>5</v>
      </c>
      <c r="M71" s="20" t="n">
        <v>0</v>
      </c>
      <c r="N71" s="20" t="n">
        <v>3</v>
      </c>
      <c r="O71" s="20" t="n">
        <v>0</v>
      </c>
      <c r="P71" s="20" t="n">
        <v>893</v>
      </c>
      <c r="Q71" s="20" t="n">
        <v>0</v>
      </c>
      <c r="R71" s="20" t="n">
        <v>7</v>
      </c>
      <c r="S71" s="20" t="n">
        <v>900</v>
      </c>
      <c r="T71" s="20" t="n">
        <v>0</v>
      </c>
      <c r="U71" s="20">
        <f>SUM(C71:O71)-P71</f>
        <v/>
      </c>
    </row>
    <row r="72">
      <c r="A72" s="18" t="n">
        <v>67</v>
      </c>
      <c r="B72" s="19" t="inlineStr">
        <is>
          <t>Kothagattu</t>
        </is>
      </c>
      <c r="C72" s="20" t="n">
        <v>139</v>
      </c>
      <c r="D72" s="20" t="n">
        <v>7</v>
      </c>
      <c r="E72" s="20" t="n">
        <v>1</v>
      </c>
      <c r="F72" s="20" t="n">
        <v>2</v>
      </c>
      <c r="G72" s="20" t="n">
        <v>449</v>
      </c>
      <c r="H72" s="20" t="n">
        <v>5</v>
      </c>
      <c r="I72" s="20" t="n">
        <v>1</v>
      </c>
      <c r="J72" s="20" t="n">
        <v>1</v>
      </c>
      <c r="K72" s="20" t="n">
        <v>70</v>
      </c>
      <c r="L72" s="20" t="n">
        <v>7</v>
      </c>
      <c r="M72" s="20" t="n">
        <v>0</v>
      </c>
      <c r="N72" s="20" t="n">
        <v>12</v>
      </c>
      <c r="O72" s="20" t="n">
        <v>4</v>
      </c>
      <c r="P72" s="20" t="n">
        <v>698</v>
      </c>
      <c r="Q72" s="20" t="n">
        <v>0</v>
      </c>
      <c r="R72" s="20" t="n">
        <v>0</v>
      </c>
      <c r="S72" s="20" t="n">
        <v>698</v>
      </c>
      <c r="T72" s="20" t="n">
        <v>0</v>
      </c>
      <c r="U72" s="20">
        <f>SUM(C72:O72)-P72</f>
        <v/>
      </c>
    </row>
    <row r="73">
      <c r="A73" s="18" t="n">
        <v>68</v>
      </c>
      <c r="B73" s="19" t="inlineStr">
        <is>
          <t>Kothagattu</t>
        </is>
      </c>
      <c r="C73" s="20" t="n">
        <v>101</v>
      </c>
      <c r="D73" s="20" t="n">
        <v>1</v>
      </c>
      <c r="E73" s="20" t="n">
        <v>0</v>
      </c>
      <c r="F73" s="20" t="n">
        <v>2</v>
      </c>
      <c r="G73" s="20" t="n">
        <v>330</v>
      </c>
      <c r="H73" s="20" t="n">
        <v>5</v>
      </c>
      <c r="I73" s="20" t="n">
        <v>1</v>
      </c>
      <c r="J73" s="20" t="n">
        <v>2</v>
      </c>
      <c r="K73" s="20" t="n">
        <v>50</v>
      </c>
      <c r="L73" s="20" t="n">
        <v>1</v>
      </c>
      <c r="M73" s="20" t="n">
        <v>1</v>
      </c>
      <c r="N73" s="20" t="n">
        <v>0</v>
      </c>
      <c r="O73" s="20" t="n">
        <v>0</v>
      </c>
      <c r="P73" s="20" t="n">
        <v>494</v>
      </c>
      <c r="Q73" s="20" t="n">
        <v>0</v>
      </c>
      <c r="R73" s="20" t="n">
        <v>2</v>
      </c>
      <c r="S73" s="20" t="n">
        <v>496</v>
      </c>
      <c r="T73" s="20" t="n">
        <v>0</v>
      </c>
      <c r="U73" s="20">
        <f>SUM(C73:O73)-P73</f>
        <v/>
      </c>
    </row>
    <row r="74">
      <c r="A74" s="18" t="n">
        <v>69</v>
      </c>
      <c r="B74" s="19" t="inlineStr">
        <is>
          <t>Kothagattu</t>
        </is>
      </c>
      <c r="C74" s="20" t="n">
        <v>182</v>
      </c>
      <c r="D74" s="20" t="n">
        <v>8</v>
      </c>
      <c r="E74" s="20" t="n">
        <v>0</v>
      </c>
      <c r="F74" s="20" t="n">
        <v>5</v>
      </c>
      <c r="G74" s="20" t="n">
        <v>383</v>
      </c>
      <c r="H74" s="20" t="n">
        <v>3</v>
      </c>
      <c r="I74" s="20" t="n">
        <v>3</v>
      </c>
      <c r="J74" s="20" t="n">
        <v>3</v>
      </c>
      <c r="K74" s="20" t="n">
        <v>7</v>
      </c>
      <c r="L74" s="20" t="n">
        <v>3</v>
      </c>
      <c r="M74" s="20" t="n">
        <v>0</v>
      </c>
      <c r="N74" s="20" t="n">
        <v>1</v>
      </c>
      <c r="O74" s="20" t="n">
        <v>0</v>
      </c>
      <c r="P74" s="20" t="n">
        <v>598</v>
      </c>
      <c r="Q74" s="20" t="n">
        <v>0</v>
      </c>
      <c r="R74" s="20" t="n">
        <v>0</v>
      </c>
      <c r="S74" s="20" t="n">
        <v>598</v>
      </c>
      <c r="T74" s="20" t="n">
        <v>0</v>
      </c>
      <c r="U74" s="20">
        <f>SUM(C74:O74)-P74</f>
        <v/>
      </c>
    </row>
    <row r="75">
      <c r="A75" s="18" t="n">
        <v>70</v>
      </c>
      <c r="B75" s="19" t="inlineStr">
        <is>
          <t>Kothagattu</t>
        </is>
      </c>
      <c r="C75" s="20" t="n">
        <v>210</v>
      </c>
      <c r="D75" s="20" t="n">
        <v>123</v>
      </c>
      <c r="E75" s="20" t="n">
        <v>0</v>
      </c>
      <c r="F75" s="20" t="n">
        <v>2</v>
      </c>
      <c r="G75" s="20" t="n">
        <v>143</v>
      </c>
      <c r="H75" s="20" t="n">
        <v>0</v>
      </c>
      <c r="I75" s="20" t="n">
        <v>1</v>
      </c>
      <c r="J75" s="20" t="n">
        <v>0</v>
      </c>
      <c r="K75" s="20" t="n">
        <v>7</v>
      </c>
      <c r="L75" s="20" t="n">
        <v>2</v>
      </c>
      <c r="M75" s="20" t="n">
        <v>0</v>
      </c>
      <c r="N75" s="20" t="n">
        <v>1</v>
      </c>
      <c r="O75" s="20" t="n">
        <v>0</v>
      </c>
      <c r="P75" s="20" t="n">
        <v>489</v>
      </c>
      <c r="Q75" s="20" t="n">
        <v>0</v>
      </c>
      <c r="R75" s="20" t="n">
        <v>3</v>
      </c>
      <c r="S75" s="20" t="n">
        <v>492</v>
      </c>
      <c r="T75" s="20" t="n">
        <v>0</v>
      </c>
      <c r="U75" s="20">
        <f>SUM(C75:O75)-P75</f>
        <v/>
      </c>
    </row>
    <row r="76">
      <c r="A76" s="18" t="n">
        <v>71</v>
      </c>
      <c r="B76" s="19" t="inlineStr">
        <is>
          <t>Amdalapalli</t>
        </is>
      </c>
      <c r="C76" s="20" t="n">
        <v>132</v>
      </c>
      <c r="D76" s="20" t="n">
        <v>26</v>
      </c>
      <c r="E76" s="20" t="n">
        <v>0</v>
      </c>
      <c r="F76" s="20" t="n">
        <v>3</v>
      </c>
      <c r="G76" s="20" t="n">
        <v>274</v>
      </c>
      <c r="H76" s="20" t="n">
        <v>6</v>
      </c>
      <c r="I76" s="20" t="n">
        <v>1</v>
      </c>
      <c r="J76" s="20" t="n">
        <v>7</v>
      </c>
      <c r="K76" s="20" t="n">
        <v>39</v>
      </c>
      <c r="L76" s="20" t="n">
        <v>6</v>
      </c>
      <c r="M76" s="20" t="n">
        <v>1</v>
      </c>
      <c r="N76" s="20" t="n">
        <v>0</v>
      </c>
      <c r="O76" s="20" t="n">
        <v>2</v>
      </c>
      <c r="P76" s="20" t="n">
        <v>497</v>
      </c>
      <c r="Q76" s="20" t="n">
        <v>0</v>
      </c>
      <c r="R76" s="20" t="n">
        <v>6</v>
      </c>
      <c r="S76" s="20" t="n">
        <v>503</v>
      </c>
      <c r="T76" s="20" t="n">
        <v>0</v>
      </c>
      <c r="U76" s="20">
        <f>SUM(C76:O76)-P76</f>
        <v/>
      </c>
    </row>
    <row r="77">
      <c r="A77" s="18" t="n">
        <v>72</v>
      </c>
      <c r="B77" s="19" t="inlineStr">
        <is>
          <t>Metpalli</t>
        </is>
      </c>
      <c r="C77" s="20" t="n">
        <v>249</v>
      </c>
      <c r="D77" s="20" t="n">
        <v>24</v>
      </c>
      <c r="E77" s="20" t="n">
        <v>1</v>
      </c>
      <c r="F77" s="20" t="n">
        <v>9</v>
      </c>
      <c r="G77" s="20" t="n">
        <v>352</v>
      </c>
      <c r="H77" s="20" t="n">
        <v>7</v>
      </c>
      <c r="I77" s="20" t="n">
        <v>1</v>
      </c>
      <c r="J77" s="20" t="n">
        <v>3</v>
      </c>
      <c r="K77" s="20" t="n">
        <v>58</v>
      </c>
      <c r="L77" s="20" t="n">
        <v>3</v>
      </c>
      <c r="M77" s="20" t="n">
        <v>0</v>
      </c>
      <c r="N77" s="20" t="n">
        <v>0</v>
      </c>
      <c r="O77" s="20" t="n">
        <v>2</v>
      </c>
      <c r="P77" s="20" t="n">
        <v>709</v>
      </c>
      <c r="Q77" s="20" t="n">
        <v>0</v>
      </c>
      <c r="R77" s="20" t="n">
        <v>8</v>
      </c>
      <c r="S77" s="20" t="n">
        <v>717</v>
      </c>
      <c r="T77" s="20" t="n">
        <v>0</v>
      </c>
      <c r="U77" s="20">
        <f>SUM(C77:O77)-P77</f>
        <v/>
      </c>
    </row>
    <row r="78">
      <c r="A78" s="18" t="n">
        <v>73</v>
      </c>
      <c r="B78" s="19" t="inlineStr">
        <is>
          <t>Metpalli</t>
        </is>
      </c>
      <c r="C78" s="20" t="n">
        <v>269</v>
      </c>
      <c r="D78" s="20" t="n">
        <v>12</v>
      </c>
      <c r="E78" s="20" t="n">
        <v>0</v>
      </c>
      <c r="F78" s="20" t="n">
        <v>6</v>
      </c>
      <c r="G78" s="20" t="n">
        <v>295</v>
      </c>
      <c r="H78" s="20" t="n">
        <v>8</v>
      </c>
      <c r="I78" s="20" t="n">
        <v>0</v>
      </c>
      <c r="J78" s="20" t="n">
        <v>6</v>
      </c>
      <c r="K78" s="20" t="n">
        <v>36</v>
      </c>
      <c r="L78" s="20" t="n">
        <v>0</v>
      </c>
      <c r="M78" s="20" t="n">
        <v>4</v>
      </c>
      <c r="N78" s="20" t="n">
        <v>6</v>
      </c>
      <c r="O78" s="20" t="n">
        <v>8</v>
      </c>
      <c r="P78" s="20" t="n">
        <v>650</v>
      </c>
      <c r="Q78" s="20" t="n">
        <v>0</v>
      </c>
      <c r="R78" s="20" t="n">
        <v>14</v>
      </c>
      <c r="S78" s="20" t="n">
        <v>664</v>
      </c>
      <c r="T78" s="20" t="n">
        <v>0</v>
      </c>
      <c r="U78" s="20">
        <f>SUM(C78:O78)-P78</f>
        <v/>
      </c>
    </row>
    <row r="79">
      <c r="A79" s="18" t="n">
        <v>74</v>
      </c>
      <c r="B79" s="19" t="inlineStr">
        <is>
          <t>Metpalli</t>
        </is>
      </c>
      <c r="C79" s="20" t="n">
        <v>174</v>
      </c>
      <c r="D79" s="20" t="n">
        <v>1</v>
      </c>
      <c r="E79" s="20" t="n">
        <v>0</v>
      </c>
      <c r="F79" s="20" t="n">
        <v>0</v>
      </c>
      <c r="G79" s="20" t="n">
        <v>323</v>
      </c>
      <c r="H79" s="20" t="n">
        <v>4</v>
      </c>
      <c r="I79" s="20" t="n">
        <v>0</v>
      </c>
      <c r="J79" s="20" t="n">
        <v>0</v>
      </c>
      <c r="K79" s="20" t="n">
        <v>49</v>
      </c>
      <c r="L79" s="20" t="n">
        <v>3</v>
      </c>
      <c r="M79" s="20" t="n">
        <v>2</v>
      </c>
      <c r="N79" s="20" t="n">
        <v>3</v>
      </c>
      <c r="O79" s="20" t="n">
        <v>1</v>
      </c>
      <c r="P79" s="20" t="n">
        <v>560</v>
      </c>
      <c r="Q79" s="20" t="n">
        <v>0</v>
      </c>
      <c r="R79" s="20" t="n">
        <v>8</v>
      </c>
      <c r="S79" s="20" t="n">
        <v>568</v>
      </c>
      <c r="T79" s="20" t="n">
        <v>0</v>
      </c>
      <c r="U79" s="20">
        <f>SUM(C79:O79)-P79</f>
        <v/>
      </c>
    </row>
    <row r="80">
      <c r="A80" s="18" t="n">
        <v>75</v>
      </c>
      <c r="B80" s="19" t="inlineStr">
        <is>
          <t>Erukalagudem H/o Metpalli</t>
        </is>
      </c>
      <c r="C80" s="20" t="n">
        <v>244</v>
      </c>
      <c r="D80" s="20" t="n">
        <v>8</v>
      </c>
      <c r="E80" s="20" t="n">
        <v>1</v>
      </c>
      <c r="F80" s="20" t="n">
        <v>6</v>
      </c>
      <c r="G80" s="20" t="n">
        <v>293</v>
      </c>
      <c r="H80" s="20" t="n">
        <v>2</v>
      </c>
      <c r="I80" s="20" t="n">
        <v>1</v>
      </c>
      <c r="J80" s="20" t="n">
        <v>4</v>
      </c>
      <c r="K80" s="20" t="n">
        <v>40</v>
      </c>
      <c r="L80" s="20" t="n">
        <v>6</v>
      </c>
      <c r="M80" s="20" t="n">
        <v>1</v>
      </c>
      <c r="N80" s="20" t="n">
        <v>0</v>
      </c>
      <c r="O80" s="20" t="n">
        <v>0</v>
      </c>
      <c r="P80" s="20" t="n">
        <v>606</v>
      </c>
      <c r="Q80" s="20" t="n">
        <v>0</v>
      </c>
      <c r="R80" s="20" t="n">
        <v>13</v>
      </c>
      <c r="S80" s="20" t="n">
        <v>619</v>
      </c>
      <c r="T80" s="20" t="n">
        <v>0</v>
      </c>
      <c r="U80" s="20">
        <f>SUM(C80:O80)-P80</f>
        <v/>
      </c>
    </row>
    <row r="81">
      <c r="A81" s="18" t="n">
        <v>76</v>
      </c>
      <c r="B81" s="19" t="inlineStr">
        <is>
          <t>Erukalagudem H/o Metpalli</t>
        </is>
      </c>
      <c r="C81" s="20" t="n">
        <v>138</v>
      </c>
      <c r="D81" s="20" t="n">
        <v>6</v>
      </c>
      <c r="E81" s="20" t="n">
        <v>4</v>
      </c>
      <c r="F81" s="20" t="n">
        <v>12</v>
      </c>
      <c r="G81" s="20" t="n">
        <v>641</v>
      </c>
      <c r="H81" s="20" t="n">
        <v>9</v>
      </c>
      <c r="I81" s="20" t="n">
        <v>5</v>
      </c>
      <c r="J81" s="20" t="n">
        <v>4</v>
      </c>
      <c r="K81" s="20" t="n">
        <v>92</v>
      </c>
      <c r="L81" s="20" t="n">
        <v>6</v>
      </c>
      <c r="M81" s="20" t="n">
        <v>0</v>
      </c>
      <c r="N81" s="20" t="n">
        <v>1</v>
      </c>
      <c r="O81" s="20" t="n">
        <v>4</v>
      </c>
      <c r="P81" s="20" t="n">
        <v>922</v>
      </c>
      <c r="Q81" s="20" t="n">
        <v>0</v>
      </c>
      <c r="R81" s="20" t="n">
        <v>7</v>
      </c>
      <c r="S81" s="20" t="n">
        <v>929</v>
      </c>
      <c r="T81" s="20" t="n">
        <v>0</v>
      </c>
      <c r="U81" s="20">
        <f>SUM(C81:O81)-P81</f>
        <v/>
      </c>
    </row>
    <row r="82">
      <c r="A82" s="18" t="n">
        <v>77</v>
      </c>
      <c r="B82" s="19" t="inlineStr">
        <is>
          <t>Eradapalli</t>
        </is>
      </c>
      <c r="C82" s="20" t="n">
        <v>106</v>
      </c>
      <c r="D82" s="20" t="n">
        <v>10</v>
      </c>
      <c r="E82" s="20" t="n">
        <v>1</v>
      </c>
      <c r="F82" s="20" t="n">
        <v>9</v>
      </c>
      <c r="G82" s="20" t="n">
        <v>432</v>
      </c>
      <c r="H82" s="20" t="n">
        <v>3</v>
      </c>
      <c r="I82" s="20" t="n">
        <v>2</v>
      </c>
      <c r="J82" s="20" t="n">
        <v>3</v>
      </c>
      <c r="K82" s="20" t="n">
        <v>83</v>
      </c>
      <c r="L82" s="20" t="n">
        <v>8</v>
      </c>
      <c r="M82" s="20" t="n">
        <v>0</v>
      </c>
      <c r="N82" s="20" t="n">
        <v>4</v>
      </c>
      <c r="O82" s="20" t="n">
        <v>6</v>
      </c>
      <c r="P82" s="20" t="n">
        <v>667</v>
      </c>
      <c r="Q82" s="20" t="n">
        <v>0</v>
      </c>
      <c r="R82" s="20" t="n">
        <v>23</v>
      </c>
      <c r="S82" s="20" t="n">
        <v>690</v>
      </c>
      <c r="T82" s="20" t="n">
        <v>0</v>
      </c>
      <c r="U82" s="20">
        <f>SUM(C82:O82)-P82</f>
        <v/>
      </c>
    </row>
    <row r="83">
      <c r="A83" s="18" t="n">
        <v>78</v>
      </c>
      <c r="B83" s="19" t="inlineStr">
        <is>
          <t>Eradapalli</t>
        </is>
      </c>
      <c r="C83" s="20" t="n">
        <v>212</v>
      </c>
      <c r="D83" s="20" t="n">
        <v>10</v>
      </c>
      <c r="E83" s="20" t="n">
        <v>0</v>
      </c>
      <c r="F83" s="20" t="n">
        <v>2</v>
      </c>
      <c r="G83" s="20" t="n">
        <v>348</v>
      </c>
      <c r="H83" s="20" t="n">
        <v>2</v>
      </c>
      <c r="I83" s="20" t="n">
        <v>3</v>
      </c>
      <c r="J83" s="20" t="n">
        <v>1</v>
      </c>
      <c r="K83" s="20" t="n">
        <v>52</v>
      </c>
      <c r="L83" s="20" t="n">
        <v>4</v>
      </c>
      <c r="M83" s="20" t="n">
        <v>0</v>
      </c>
      <c r="N83" s="20" t="n">
        <v>3</v>
      </c>
      <c r="O83" s="20" t="n">
        <v>3</v>
      </c>
      <c r="P83" s="20" t="n">
        <v>640</v>
      </c>
      <c r="Q83" s="20" t="n">
        <v>0</v>
      </c>
      <c r="R83" s="20" t="n">
        <v>25</v>
      </c>
      <c r="S83" s="20" t="n">
        <v>665</v>
      </c>
      <c r="T83" s="20" t="n">
        <v>0</v>
      </c>
      <c r="U83" s="20">
        <f>SUM(C83:O83)-P83</f>
        <v/>
      </c>
    </row>
    <row r="84">
      <c r="A84" s="18" t="n">
        <v>79</v>
      </c>
      <c r="B84" s="19" t="inlineStr">
        <is>
          <t>Mutharam</t>
        </is>
      </c>
      <c r="C84" s="20" t="n">
        <v>148</v>
      </c>
      <c r="D84" s="20" t="n">
        <v>43</v>
      </c>
      <c r="E84" s="20" t="n">
        <v>0</v>
      </c>
      <c r="F84" s="20" t="n">
        <v>3</v>
      </c>
      <c r="G84" s="20" t="n">
        <v>425</v>
      </c>
      <c r="H84" s="20" t="n">
        <v>4</v>
      </c>
      <c r="I84" s="20" t="n">
        <v>0</v>
      </c>
      <c r="J84" s="20" t="n">
        <v>0</v>
      </c>
      <c r="K84" s="20" t="n">
        <v>73</v>
      </c>
      <c r="L84" s="20" t="n">
        <v>5</v>
      </c>
      <c r="M84" s="20" t="n">
        <v>1</v>
      </c>
      <c r="N84" s="20" t="n">
        <v>0</v>
      </c>
      <c r="O84" s="20" t="n">
        <v>2</v>
      </c>
      <c r="P84" s="20" t="n">
        <v>704</v>
      </c>
      <c r="Q84" s="20" t="n">
        <v>0</v>
      </c>
      <c r="R84" s="20" t="n">
        <v>5</v>
      </c>
      <c r="S84" s="20" t="n">
        <v>709</v>
      </c>
      <c r="T84" s="20" t="n">
        <v>0</v>
      </c>
      <c r="U84" s="20">
        <f>SUM(C84:O84)-P84</f>
        <v/>
      </c>
    </row>
    <row r="85">
      <c r="A85" s="18" t="n">
        <v>80</v>
      </c>
      <c r="B85" s="19" t="inlineStr">
        <is>
          <t>Mutharam</t>
        </is>
      </c>
      <c r="C85" s="20" t="n">
        <v>224</v>
      </c>
      <c r="D85" s="20" t="n">
        <v>35</v>
      </c>
      <c r="E85" s="20" t="n">
        <v>0</v>
      </c>
      <c r="F85" s="20" t="n">
        <v>11</v>
      </c>
      <c r="G85" s="20" t="n">
        <v>412</v>
      </c>
      <c r="H85" s="20" t="n">
        <v>7</v>
      </c>
      <c r="I85" s="20" t="n">
        <v>5</v>
      </c>
      <c r="J85" s="20" t="n">
        <v>5</v>
      </c>
      <c r="K85" s="20" t="n">
        <v>94</v>
      </c>
      <c r="L85" s="20" t="n">
        <v>6</v>
      </c>
      <c r="M85" s="20" t="n">
        <v>6</v>
      </c>
      <c r="N85" s="20" t="n">
        <v>0</v>
      </c>
      <c r="O85" s="20" t="n">
        <v>4</v>
      </c>
      <c r="P85" s="20" t="n">
        <v>809</v>
      </c>
      <c r="Q85" s="20" t="n">
        <v>0</v>
      </c>
      <c r="R85" s="20" t="n">
        <v>13</v>
      </c>
      <c r="S85" s="20" t="n">
        <v>822</v>
      </c>
      <c r="T85" s="20" t="n">
        <v>0</v>
      </c>
      <c r="U85" s="20">
        <f>SUM(C85:O85)-P85</f>
        <v/>
      </c>
    </row>
    <row r="86">
      <c r="A86" s="18" t="n">
        <v>81</v>
      </c>
      <c r="B86" s="19" t="inlineStr">
        <is>
          <t>Thadikal</t>
        </is>
      </c>
      <c r="C86" s="20" t="n">
        <v>220</v>
      </c>
      <c r="D86" s="20" t="n">
        <v>16</v>
      </c>
      <c r="E86" s="20" t="n">
        <v>0</v>
      </c>
      <c r="F86" s="20" t="n">
        <v>2</v>
      </c>
      <c r="G86" s="20" t="n">
        <v>310</v>
      </c>
      <c r="H86" s="20" t="n">
        <v>1</v>
      </c>
      <c r="I86" s="20" t="n">
        <v>1</v>
      </c>
      <c r="J86" s="20" t="n">
        <v>2</v>
      </c>
      <c r="K86" s="20" t="n">
        <v>48</v>
      </c>
      <c r="L86" s="20" t="n">
        <v>7</v>
      </c>
      <c r="M86" s="20" t="n">
        <v>0</v>
      </c>
      <c r="N86" s="20" t="n">
        <v>2</v>
      </c>
      <c r="O86" s="20" t="n">
        <v>0</v>
      </c>
      <c r="P86" s="20" t="n">
        <v>609</v>
      </c>
      <c r="Q86" s="20" t="n">
        <v>0</v>
      </c>
      <c r="R86" s="20" t="n">
        <v>9</v>
      </c>
      <c r="S86" s="20" t="n">
        <v>618</v>
      </c>
      <c r="T86" s="20" t="n">
        <v>0</v>
      </c>
      <c r="U86" s="20">
        <f>SUM(C86:O86)-P86</f>
        <v/>
      </c>
    </row>
    <row r="87">
      <c r="A87" s="18" t="n">
        <v>82</v>
      </c>
      <c r="B87" s="19" t="inlineStr">
        <is>
          <t>Thadikal</t>
        </is>
      </c>
      <c r="C87" s="20" t="n">
        <v>303</v>
      </c>
      <c r="D87" s="20" t="n">
        <v>38</v>
      </c>
      <c r="E87" s="20" t="n">
        <v>3</v>
      </c>
      <c r="F87" s="20" t="n">
        <v>9</v>
      </c>
      <c r="G87" s="20" t="n">
        <v>483</v>
      </c>
      <c r="H87" s="20" t="n">
        <v>5</v>
      </c>
      <c r="I87" s="20" t="n">
        <v>1</v>
      </c>
      <c r="J87" s="20" t="n">
        <v>3</v>
      </c>
      <c r="K87" s="20" t="n">
        <v>91</v>
      </c>
      <c r="L87" s="20" t="n">
        <v>7</v>
      </c>
      <c r="M87" s="20" t="n">
        <v>1</v>
      </c>
      <c r="N87" s="20" t="n">
        <v>1</v>
      </c>
      <c r="O87" s="20" t="n">
        <v>2</v>
      </c>
      <c r="P87" s="20" t="n">
        <v>947</v>
      </c>
      <c r="Q87" s="20" t="n">
        <v>0</v>
      </c>
      <c r="R87" s="20" t="n">
        <v>21</v>
      </c>
      <c r="S87" s="20" t="n">
        <v>968</v>
      </c>
      <c r="T87" s="20" t="n">
        <v>0</v>
      </c>
      <c r="U87" s="20">
        <f>SUM(C87:O87)-P87</f>
        <v/>
      </c>
    </row>
    <row r="88">
      <c r="A88" s="18" t="n">
        <v>83</v>
      </c>
      <c r="B88" s="19" t="inlineStr">
        <is>
          <t>Thadikal</t>
        </is>
      </c>
      <c r="C88" s="20" t="n">
        <v>131</v>
      </c>
      <c r="D88" s="20" t="n">
        <v>16</v>
      </c>
      <c r="E88" s="20" t="n">
        <v>0</v>
      </c>
      <c r="F88" s="20" t="n">
        <v>8</v>
      </c>
      <c r="G88" s="20" t="n">
        <v>541</v>
      </c>
      <c r="H88" s="20" t="n">
        <v>0</v>
      </c>
      <c r="I88" s="20" t="n">
        <v>0</v>
      </c>
      <c r="J88" s="20" t="n">
        <v>2</v>
      </c>
      <c r="K88" s="20" t="n">
        <v>61</v>
      </c>
      <c r="L88" s="20" t="n">
        <v>7</v>
      </c>
      <c r="M88" s="20" t="n">
        <v>34</v>
      </c>
      <c r="N88" s="20" t="n">
        <v>2</v>
      </c>
      <c r="O88" s="20" t="n">
        <v>37</v>
      </c>
      <c r="P88" s="20" t="n">
        <v>839</v>
      </c>
      <c r="Q88" s="20" t="n">
        <v>0</v>
      </c>
      <c r="R88" s="20" t="n">
        <v>11</v>
      </c>
      <c r="S88" s="20" t="n">
        <v>850</v>
      </c>
      <c r="T88" s="20" t="n">
        <v>0</v>
      </c>
      <c r="U88" s="20">
        <f>SUM(C88:O88)-P88</f>
        <v/>
      </c>
    </row>
    <row r="89">
      <c r="A89" s="18" t="n">
        <v>84</v>
      </c>
      <c r="B89" s="19" t="inlineStr">
        <is>
          <t>Chinthagutta H/o Thadikal</t>
        </is>
      </c>
      <c r="C89" s="20" t="n">
        <v>303</v>
      </c>
      <c r="D89" s="20" t="n">
        <v>9</v>
      </c>
      <c r="E89" s="20" t="n">
        <v>0</v>
      </c>
      <c r="F89" s="20" t="n">
        <v>8</v>
      </c>
      <c r="G89" s="20" t="n">
        <v>249</v>
      </c>
      <c r="H89" s="20" t="n">
        <v>1</v>
      </c>
      <c r="I89" s="20" t="n">
        <v>2</v>
      </c>
      <c r="J89" s="20" t="n">
        <v>0</v>
      </c>
      <c r="K89" s="20" t="n">
        <v>4</v>
      </c>
      <c r="L89" s="20" t="n">
        <v>2</v>
      </c>
      <c r="M89" s="20" t="n">
        <v>2</v>
      </c>
      <c r="N89" s="20" t="n">
        <v>3</v>
      </c>
      <c r="O89" s="20" t="n">
        <v>2</v>
      </c>
      <c r="P89" s="20" t="n">
        <v>585</v>
      </c>
      <c r="Q89" s="20" t="n">
        <v>0</v>
      </c>
      <c r="R89" s="20" t="n">
        <v>8</v>
      </c>
      <c r="S89" s="20" t="n">
        <v>593</v>
      </c>
      <c r="T89" s="20" t="n">
        <v>0</v>
      </c>
      <c r="U89" s="20">
        <f>SUM(C89:O89)-P89</f>
        <v/>
      </c>
    </row>
    <row r="90">
      <c r="A90" s="18" t="n">
        <v>85</v>
      </c>
      <c r="B90" s="19" t="inlineStr">
        <is>
          <t>Keshavapatnam</t>
        </is>
      </c>
      <c r="C90" s="20" t="n">
        <v>287</v>
      </c>
      <c r="D90" s="20" t="n">
        <v>20</v>
      </c>
      <c r="E90" s="20" t="n">
        <v>1</v>
      </c>
      <c r="F90" s="20" t="n">
        <v>4</v>
      </c>
      <c r="G90" s="20" t="n">
        <v>257</v>
      </c>
      <c r="H90" s="20" t="n">
        <v>0</v>
      </c>
      <c r="I90" s="20" t="n">
        <v>0</v>
      </c>
      <c r="J90" s="20" t="n">
        <v>0</v>
      </c>
      <c r="K90" s="20" t="n">
        <v>27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596</v>
      </c>
      <c r="Q90" s="20" t="n">
        <v>0</v>
      </c>
      <c r="R90" s="20" t="n">
        <v>19</v>
      </c>
      <c r="S90" s="20" t="n">
        <v>615</v>
      </c>
      <c r="T90" s="20" t="n">
        <v>0</v>
      </c>
      <c r="U90" s="20">
        <f>SUM(C90:O90)-P90</f>
        <v/>
      </c>
    </row>
    <row r="91">
      <c r="A91" s="18" t="n">
        <v>86</v>
      </c>
      <c r="B91" s="19" t="inlineStr">
        <is>
          <t>Keshavapatnam</t>
        </is>
      </c>
      <c r="C91" s="20" t="n">
        <v>221</v>
      </c>
      <c r="D91" s="20" t="n">
        <v>18</v>
      </c>
      <c r="E91" s="20" t="n">
        <v>1</v>
      </c>
      <c r="F91" s="20" t="n">
        <v>0</v>
      </c>
      <c r="G91" s="20" t="n">
        <v>322</v>
      </c>
      <c r="H91" s="20" t="n">
        <v>4</v>
      </c>
      <c r="I91" s="20" t="n">
        <v>0</v>
      </c>
      <c r="J91" s="20" t="n">
        <v>4</v>
      </c>
      <c r="K91" s="20" t="n">
        <v>33</v>
      </c>
      <c r="L91" s="20" t="n">
        <v>4</v>
      </c>
      <c r="M91" s="20" t="n">
        <v>3</v>
      </c>
      <c r="N91" s="20" t="n">
        <v>3</v>
      </c>
      <c r="O91" s="20" t="n">
        <v>3</v>
      </c>
      <c r="P91" s="20" t="n">
        <v>616</v>
      </c>
      <c r="Q91" s="20" t="n">
        <v>0</v>
      </c>
      <c r="R91" s="20" t="n">
        <v>6</v>
      </c>
      <c r="S91" s="20" t="n">
        <v>622</v>
      </c>
      <c r="T91" s="20" t="n">
        <v>0</v>
      </c>
      <c r="U91" s="20">
        <f>SUM(C91:O91)-P91</f>
        <v/>
      </c>
    </row>
    <row r="92">
      <c r="A92" s="18" t="n">
        <v>87</v>
      </c>
      <c r="B92" s="19" t="inlineStr">
        <is>
          <t>Keshavapatnam</t>
        </is>
      </c>
      <c r="C92" s="20" t="n">
        <v>237</v>
      </c>
      <c r="D92" s="20" t="n">
        <v>14</v>
      </c>
      <c r="E92" s="20" t="n">
        <v>1</v>
      </c>
      <c r="F92" s="20" t="n">
        <v>9</v>
      </c>
      <c r="G92" s="20" t="n">
        <v>618</v>
      </c>
      <c r="H92" s="20" t="n">
        <v>9</v>
      </c>
      <c r="I92" s="20" t="n">
        <v>2</v>
      </c>
      <c r="J92" s="20" t="n">
        <v>3</v>
      </c>
      <c r="K92" s="20" t="n">
        <v>94</v>
      </c>
      <c r="L92" s="20" t="n">
        <v>4</v>
      </c>
      <c r="M92" s="20" t="n">
        <v>2</v>
      </c>
      <c r="N92" s="20" t="n">
        <v>2</v>
      </c>
      <c r="O92" s="20" t="n">
        <v>0</v>
      </c>
      <c r="P92" s="20" t="n">
        <v>995</v>
      </c>
      <c r="Q92" s="20" t="n">
        <v>0</v>
      </c>
      <c r="R92" s="20" t="n">
        <v>16</v>
      </c>
      <c r="S92" s="20" t="n">
        <v>1011</v>
      </c>
      <c r="T92" s="20" t="n">
        <v>0</v>
      </c>
      <c r="U92" s="20">
        <f>SUM(C92:O92)-P92</f>
        <v/>
      </c>
    </row>
    <row r="93">
      <c r="A93" s="18" t="n">
        <v>88</v>
      </c>
      <c r="B93" s="19" t="inlineStr">
        <is>
          <t>Keshavapatnam</t>
        </is>
      </c>
      <c r="C93" s="20" t="n">
        <v>193</v>
      </c>
      <c r="D93" s="20" t="n">
        <v>1</v>
      </c>
      <c r="E93" s="20" t="n">
        <v>2</v>
      </c>
      <c r="F93" s="20" t="n">
        <v>7</v>
      </c>
      <c r="G93" s="20" t="n">
        <v>407</v>
      </c>
      <c r="H93" s="20" t="n">
        <v>3</v>
      </c>
      <c r="I93" s="20" t="n">
        <v>1</v>
      </c>
      <c r="J93" s="20" t="n">
        <v>1</v>
      </c>
      <c r="K93" s="20" t="n">
        <v>62</v>
      </c>
      <c r="L93" s="20" t="n">
        <v>2</v>
      </c>
      <c r="M93" s="20" t="n">
        <v>3</v>
      </c>
      <c r="N93" s="20" t="n">
        <v>1</v>
      </c>
      <c r="O93" s="20" t="n">
        <v>37</v>
      </c>
      <c r="P93" s="20" t="n">
        <v>720</v>
      </c>
      <c r="Q93" s="20" t="n">
        <v>0</v>
      </c>
      <c r="R93" s="20" t="n">
        <v>8</v>
      </c>
      <c r="S93" s="20" t="n">
        <v>728</v>
      </c>
      <c r="T93" s="20" t="n">
        <v>0</v>
      </c>
      <c r="U93" s="20">
        <f>SUM(C93:O93)-P93</f>
        <v/>
      </c>
    </row>
    <row r="94">
      <c r="A94" s="18" t="n">
        <v>89</v>
      </c>
      <c r="B94" s="19" t="inlineStr">
        <is>
          <t>Keshavapatnam</t>
        </is>
      </c>
      <c r="C94" s="20" t="n">
        <v>240</v>
      </c>
      <c r="D94" s="20" t="n">
        <v>18</v>
      </c>
      <c r="E94" s="20" t="n">
        <v>1</v>
      </c>
      <c r="F94" s="20" t="n">
        <v>1</v>
      </c>
      <c r="G94" s="20" t="n">
        <v>401</v>
      </c>
      <c r="H94" s="20" t="n">
        <v>4</v>
      </c>
      <c r="I94" s="20" t="n">
        <v>2</v>
      </c>
      <c r="J94" s="20" t="n">
        <v>1</v>
      </c>
      <c r="K94" s="20" t="n">
        <v>30</v>
      </c>
      <c r="L94" s="20" t="n">
        <v>1</v>
      </c>
      <c r="M94" s="20" t="n">
        <v>0</v>
      </c>
      <c r="N94" s="20" t="n">
        <v>1</v>
      </c>
      <c r="O94" s="20" t="n">
        <v>1</v>
      </c>
      <c r="P94" s="20" t="n">
        <v>701</v>
      </c>
      <c r="Q94" s="20" t="n">
        <v>0</v>
      </c>
      <c r="R94" s="20" t="n">
        <v>9</v>
      </c>
      <c r="S94" s="20" t="n">
        <v>710</v>
      </c>
      <c r="T94" s="20" t="n">
        <v>0</v>
      </c>
      <c r="U94" s="20">
        <f>SUM(C94:O94)-P94</f>
        <v/>
      </c>
    </row>
    <row r="95">
      <c r="A95" s="18" t="n">
        <v>90</v>
      </c>
      <c r="B95" s="19" t="inlineStr">
        <is>
          <t>Vankayagudem H/o
Keshavapatnam</t>
        </is>
      </c>
      <c r="C95" s="20" t="n">
        <v>264</v>
      </c>
      <c r="D95" s="20" t="n">
        <v>19</v>
      </c>
      <c r="E95" s="20" t="n">
        <v>0</v>
      </c>
      <c r="F95" s="20" t="n">
        <v>5</v>
      </c>
      <c r="G95" s="20" t="n">
        <v>332</v>
      </c>
      <c r="H95" s="20" t="n">
        <v>0</v>
      </c>
      <c r="I95" s="20" t="n">
        <v>0</v>
      </c>
      <c r="J95" s="20" t="n">
        <v>3</v>
      </c>
      <c r="K95" s="20" t="n">
        <v>37</v>
      </c>
      <c r="L95" s="20" t="n">
        <v>0</v>
      </c>
      <c r="M95" s="20" t="n">
        <v>1</v>
      </c>
      <c r="N95" s="20" t="n">
        <v>0</v>
      </c>
      <c r="O95" s="20" t="n">
        <v>2</v>
      </c>
      <c r="P95" s="20" t="n">
        <v>663</v>
      </c>
      <c r="Q95" s="20" t="n">
        <v>0</v>
      </c>
      <c r="R95" s="20" t="n">
        <v>5</v>
      </c>
      <c r="S95" s="20" t="n">
        <v>668</v>
      </c>
      <c r="T95" s="20" t="n">
        <v>0</v>
      </c>
      <c r="U95" s="20">
        <f>SUM(C95:O95)-P95</f>
        <v/>
      </c>
    </row>
    <row r="96">
      <c r="A96" s="18" t="n">
        <v>91</v>
      </c>
      <c r="B96" s="19" t="inlineStr">
        <is>
          <t>Molangoor</t>
        </is>
      </c>
      <c r="C96" s="20" t="n">
        <v>139</v>
      </c>
      <c r="D96" s="20" t="n">
        <v>19</v>
      </c>
      <c r="E96" s="20" t="n">
        <v>0</v>
      </c>
      <c r="F96" s="20" t="n">
        <v>2</v>
      </c>
      <c r="G96" s="20" t="n">
        <v>211</v>
      </c>
      <c r="H96" s="20" t="n">
        <v>0</v>
      </c>
      <c r="I96" s="20" t="n">
        <v>0</v>
      </c>
      <c r="J96" s="20" t="n">
        <v>1</v>
      </c>
      <c r="K96" s="20" t="n">
        <v>31</v>
      </c>
      <c r="L96" s="20" t="n">
        <v>2</v>
      </c>
      <c r="M96" s="20" t="n">
        <v>3</v>
      </c>
      <c r="N96" s="20" t="n">
        <v>2</v>
      </c>
      <c r="O96" s="20" t="n">
        <v>0</v>
      </c>
      <c r="P96" s="20" t="n">
        <v>410</v>
      </c>
      <c r="Q96" s="20" t="n">
        <v>0</v>
      </c>
      <c r="R96" s="20" t="n">
        <v>1</v>
      </c>
      <c r="S96" s="20" t="n">
        <v>411</v>
      </c>
      <c r="T96" s="20" t="n">
        <v>0</v>
      </c>
      <c r="U96" s="20">
        <f>SUM(C96:O96)-P96</f>
        <v/>
      </c>
    </row>
    <row r="97">
      <c r="A97" s="18" t="n">
        <v>92</v>
      </c>
      <c r="B97" s="19" t="inlineStr">
        <is>
          <t>Molangoor</t>
        </is>
      </c>
      <c r="C97" s="20" t="n">
        <v>142</v>
      </c>
      <c r="D97" s="20" t="n">
        <v>19</v>
      </c>
      <c r="E97" s="20" t="n">
        <v>0</v>
      </c>
      <c r="F97" s="20" t="n">
        <v>3</v>
      </c>
      <c r="G97" s="20" t="n">
        <v>336</v>
      </c>
      <c r="H97" s="20" t="n">
        <v>5</v>
      </c>
      <c r="I97" s="20" t="n">
        <v>0</v>
      </c>
      <c r="J97" s="20" t="n">
        <v>1</v>
      </c>
      <c r="K97" s="20" t="n">
        <v>40</v>
      </c>
      <c r="L97" s="20" t="n">
        <v>6</v>
      </c>
      <c r="M97" s="20" t="n">
        <v>0</v>
      </c>
      <c r="N97" s="20" t="n">
        <v>2</v>
      </c>
      <c r="O97" s="20" t="n">
        <v>8</v>
      </c>
      <c r="P97" s="20" t="n">
        <v>562</v>
      </c>
      <c r="Q97" s="20" t="n">
        <v>0</v>
      </c>
      <c r="R97" s="20" t="n">
        <v>12</v>
      </c>
      <c r="S97" s="20" t="n">
        <v>574</v>
      </c>
      <c r="T97" s="20" t="n">
        <v>0</v>
      </c>
      <c r="U97" s="20">
        <f>SUM(C97:O97)-P97</f>
        <v/>
      </c>
    </row>
    <row r="98">
      <c r="A98" s="18" t="n">
        <v>93</v>
      </c>
      <c r="B98" s="19" t="inlineStr">
        <is>
          <t>Molangoor</t>
        </is>
      </c>
      <c r="C98" s="20" t="n">
        <v>311</v>
      </c>
      <c r="D98" s="20" t="n">
        <v>25</v>
      </c>
      <c r="E98" s="20" t="n">
        <v>2</v>
      </c>
      <c r="F98" s="20" t="n">
        <v>5</v>
      </c>
      <c r="G98" s="20" t="n">
        <v>393</v>
      </c>
      <c r="H98" s="20" t="n">
        <v>1</v>
      </c>
      <c r="I98" s="20" t="n">
        <v>1</v>
      </c>
      <c r="J98" s="20" t="n">
        <v>2</v>
      </c>
      <c r="K98" s="20" t="n">
        <v>51</v>
      </c>
      <c r="L98" s="20" t="n">
        <v>2</v>
      </c>
      <c r="M98" s="20" t="n">
        <v>3</v>
      </c>
      <c r="N98" s="20" t="n">
        <v>2</v>
      </c>
      <c r="O98" s="20" t="n">
        <v>0</v>
      </c>
      <c r="P98" s="20" t="n">
        <v>798</v>
      </c>
      <c r="Q98" s="20" t="n">
        <v>0</v>
      </c>
      <c r="R98" s="20" t="n">
        <v>11</v>
      </c>
      <c r="S98" s="20" t="n">
        <v>809</v>
      </c>
      <c r="T98" s="20" t="n">
        <v>0</v>
      </c>
      <c r="U98" s="20">
        <f>SUM(C98:O98)-P98</f>
        <v/>
      </c>
    </row>
    <row r="99">
      <c r="A99" s="18" t="n">
        <v>94</v>
      </c>
      <c r="B99" s="19" t="inlineStr">
        <is>
          <t>Chinthallapalli H/o Molangoor</t>
        </is>
      </c>
      <c r="C99" s="20" t="n">
        <v>137</v>
      </c>
      <c r="D99" s="20" t="n">
        <v>30</v>
      </c>
      <c r="E99" s="20" t="n">
        <v>1</v>
      </c>
      <c r="F99" s="20" t="n">
        <v>4</v>
      </c>
      <c r="G99" s="20" t="n">
        <v>295</v>
      </c>
      <c r="H99" s="20" t="n">
        <v>2</v>
      </c>
      <c r="I99" s="20" t="n">
        <v>1</v>
      </c>
      <c r="J99" s="20" t="n">
        <v>1</v>
      </c>
      <c r="K99" s="20" t="n">
        <v>39</v>
      </c>
      <c r="L99" s="20" t="n">
        <v>1</v>
      </c>
      <c r="M99" s="20" t="n">
        <v>1</v>
      </c>
      <c r="N99" s="20" t="n">
        <v>1</v>
      </c>
      <c r="O99" s="20" t="n">
        <v>1</v>
      </c>
      <c r="P99" s="20" t="n">
        <v>514</v>
      </c>
      <c r="Q99" s="20" t="n">
        <v>0</v>
      </c>
      <c r="R99" s="20" t="n">
        <v>6</v>
      </c>
      <c r="S99" s="20" t="n">
        <v>520</v>
      </c>
      <c r="T99" s="20" t="n">
        <v>0</v>
      </c>
      <c r="U99" s="20">
        <f>SUM(C99:O99)-P99</f>
        <v/>
      </c>
    </row>
    <row r="100">
      <c r="A100" s="18" t="n">
        <v>95</v>
      </c>
      <c r="B100" s="19" t="inlineStr">
        <is>
          <t>Kannapur</t>
        </is>
      </c>
      <c r="C100" s="20" t="n">
        <v>155</v>
      </c>
      <c r="D100" s="20" t="n">
        <v>7</v>
      </c>
      <c r="E100" s="20" t="n">
        <v>0</v>
      </c>
      <c r="F100" s="20" t="n">
        <v>1</v>
      </c>
      <c r="G100" s="20" t="n">
        <v>264</v>
      </c>
      <c r="H100" s="20" t="n">
        <v>1</v>
      </c>
      <c r="I100" s="20" t="n">
        <v>0</v>
      </c>
      <c r="J100" s="20" t="n">
        <v>0</v>
      </c>
      <c r="K100" s="20" t="n">
        <v>29</v>
      </c>
      <c r="L100" s="20" t="n">
        <v>3</v>
      </c>
      <c r="M100" s="20" t="n">
        <v>1</v>
      </c>
      <c r="N100" s="20" t="n">
        <v>0</v>
      </c>
      <c r="O100" s="20" t="n">
        <v>2</v>
      </c>
      <c r="P100" s="20" t="n">
        <v>463</v>
      </c>
      <c r="Q100" s="20" t="n">
        <v>0</v>
      </c>
      <c r="R100" s="20" t="n">
        <v>6</v>
      </c>
      <c r="S100" s="20" t="n">
        <v>469</v>
      </c>
      <c r="T100" s="20" t="n">
        <v>0</v>
      </c>
      <c r="U100" s="20">
        <f>SUM(C100:O100)-P100</f>
        <v/>
      </c>
    </row>
    <row r="101">
      <c r="A101" s="18" t="n">
        <v>96</v>
      </c>
      <c r="B101" s="19" t="inlineStr">
        <is>
          <t>Kannapur</t>
        </is>
      </c>
      <c r="C101" s="20" t="n">
        <v>372</v>
      </c>
      <c r="D101" s="20" t="n">
        <v>37</v>
      </c>
      <c r="E101" s="20" t="n">
        <v>2</v>
      </c>
      <c r="F101" s="20" t="n">
        <v>5</v>
      </c>
      <c r="G101" s="20" t="n">
        <v>358</v>
      </c>
      <c r="H101" s="20" t="n">
        <v>8</v>
      </c>
      <c r="I101" s="20" t="n">
        <v>2</v>
      </c>
      <c r="J101" s="20" t="n">
        <v>2</v>
      </c>
      <c r="K101" s="20" t="n">
        <v>61</v>
      </c>
      <c r="L101" s="20" t="n">
        <v>5</v>
      </c>
      <c r="M101" s="20" t="n">
        <v>2</v>
      </c>
      <c r="N101" s="20" t="n">
        <v>0</v>
      </c>
      <c r="O101" s="20" t="n">
        <v>2</v>
      </c>
      <c r="P101" s="20" t="n">
        <v>856</v>
      </c>
      <c r="Q101" s="20" t="n">
        <v>0</v>
      </c>
      <c r="R101" s="20" t="n">
        <v>15</v>
      </c>
      <c r="S101" s="20" t="n">
        <v>871</v>
      </c>
      <c r="T101" s="20" t="n">
        <v>0</v>
      </c>
      <c r="U101" s="20">
        <f>SUM(C101:O101)-P101</f>
        <v/>
      </c>
    </row>
    <row r="102">
      <c r="A102" s="18" t="n">
        <v>97</v>
      </c>
      <c r="B102" s="19" t="inlineStr">
        <is>
          <t>Dharmaram (PM)</t>
        </is>
      </c>
      <c r="C102" s="20" t="n">
        <v>287</v>
      </c>
      <c r="D102" s="20" t="n">
        <v>16</v>
      </c>
      <c r="E102" s="20" t="n">
        <v>1</v>
      </c>
      <c r="F102" s="20" t="n">
        <v>8</v>
      </c>
      <c r="G102" s="20" t="n">
        <v>448</v>
      </c>
      <c r="H102" s="20" t="n">
        <v>0</v>
      </c>
      <c r="I102" s="20" t="n">
        <v>2</v>
      </c>
      <c r="J102" s="20" t="n">
        <v>3</v>
      </c>
      <c r="K102" s="20" t="n">
        <v>5</v>
      </c>
      <c r="L102" s="20" t="n">
        <v>6</v>
      </c>
      <c r="M102" s="20" t="n">
        <v>2</v>
      </c>
      <c r="N102" s="20" t="n">
        <v>2</v>
      </c>
      <c r="O102" s="20" t="n">
        <v>3</v>
      </c>
      <c r="P102" s="20" t="n">
        <v>783</v>
      </c>
      <c r="Q102" s="20" t="n">
        <v>0</v>
      </c>
      <c r="R102" s="20" t="n">
        <v>16</v>
      </c>
      <c r="S102" s="20" t="n">
        <v>799</v>
      </c>
      <c r="T102" s="20" t="n">
        <v>0</v>
      </c>
      <c r="U102" s="20">
        <f>SUM(C102:O102)-P102</f>
        <v/>
      </c>
    </row>
    <row r="103">
      <c r="A103" s="18" t="n">
        <v>98</v>
      </c>
      <c r="B103" s="19" t="inlineStr">
        <is>
          <t>Arkandla</t>
        </is>
      </c>
      <c r="C103" s="20" t="n">
        <v>285</v>
      </c>
      <c r="D103" s="20" t="n">
        <v>7</v>
      </c>
      <c r="E103" s="20" t="n">
        <v>0</v>
      </c>
      <c r="F103" s="20" t="n">
        <v>8</v>
      </c>
      <c r="G103" s="20" t="n">
        <v>430</v>
      </c>
      <c r="H103" s="20" t="n">
        <v>5</v>
      </c>
      <c r="I103" s="20" t="n">
        <v>1</v>
      </c>
      <c r="J103" s="20" t="n">
        <v>0</v>
      </c>
      <c r="K103" s="20" t="n">
        <v>102</v>
      </c>
      <c r="L103" s="20" t="n">
        <v>6</v>
      </c>
      <c r="M103" s="20" t="n">
        <v>0</v>
      </c>
      <c r="N103" s="20" t="n">
        <v>0</v>
      </c>
      <c r="O103" s="20" t="n">
        <v>0</v>
      </c>
      <c r="P103" s="20" t="n">
        <v>844</v>
      </c>
      <c r="Q103" s="20" t="n">
        <v>0</v>
      </c>
      <c r="R103" s="20" t="n">
        <v>1</v>
      </c>
      <c r="S103" s="20" t="n">
        <v>845</v>
      </c>
      <c r="T103" s="20" t="n">
        <v>0</v>
      </c>
      <c r="U103" s="20">
        <f>SUM(C103:O103)-P103</f>
        <v/>
      </c>
    </row>
    <row r="104">
      <c r="A104" s="18" t="n">
        <v>99</v>
      </c>
      <c r="B104" s="19" t="inlineStr">
        <is>
          <t>Rajapur</t>
        </is>
      </c>
      <c r="C104" s="20" t="n">
        <v>276</v>
      </c>
      <c r="D104" s="20" t="n">
        <v>18</v>
      </c>
      <c r="E104" s="20" t="n">
        <v>0</v>
      </c>
      <c r="F104" s="20" t="n">
        <v>7</v>
      </c>
      <c r="G104" s="20" t="n">
        <v>405</v>
      </c>
      <c r="H104" s="20" t="n">
        <v>5</v>
      </c>
      <c r="I104" s="20" t="n">
        <v>2</v>
      </c>
      <c r="J104" s="20" t="n">
        <v>1</v>
      </c>
      <c r="K104" s="20" t="n">
        <v>97</v>
      </c>
      <c r="L104" s="20" t="n">
        <v>3</v>
      </c>
      <c r="M104" s="20" t="n">
        <v>0</v>
      </c>
      <c r="N104" s="20" t="n">
        <v>1</v>
      </c>
      <c r="O104" s="20" t="n">
        <v>3</v>
      </c>
      <c r="P104" s="20" t="n">
        <v>818</v>
      </c>
      <c r="Q104" s="20" t="n">
        <v>0</v>
      </c>
      <c r="R104" s="20" t="n">
        <v>9</v>
      </c>
      <c r="S104" s="20" t="n">
        <v>827</v>
      </c>
      <c r="T104" s="20" t="n">
        <v>0</v>
      </c>
      <c r="U104" s="20">
        <f>SUM(C104:O104)-P104</f>
        <v/>
      </c>
    </row>
    <row r="105">
      <c r="A105" s="18" t="n">
        <v>100</v>
      </c>
      <c r="B105" s="19" t="inlineStr">
        <is>
          <t>Rajapur</t>
        </is>
      </c>
      <c r="C105" s="20" t="n">
        <v>255</v>
      </c>
      <c r="D105" s="20" t="n">
        <v>25</v>
      </c>
      <c r="E105" s="20" t="n">
        <v>2</v>
      </c>
      <c r="F105" s="20" t="n">
        <v>10</v>
      </c>
      <c r="G105" s="20" t="n">
        <v>472</v>
      </c>
      <c r="H105" s="20" t="n">
        <v>3</v>
      </c>
      <c r="I105" s="20" t="n">
        <v>2</v>
      </c>
      <c r="J105" s="20" t="n">
        <v>3</v>
      </c>
      <c r="K105" s="20" t="n">
        <v>81</v>
      </c>
      <c r="L105" s="20" t="n">
        <v>2</v>
      </c>
      <c r="M105" s="20" t="n">
        <v>0</v>
      </c>
      <c r="N105" s="20" t="n">
        <v>1</v>
      </c>
      <c r="O105" s="20" t="n">
        <v>0</v>
      </c>
      <c r="P105" s="20" t="n">
        <v>856</v>
      </c>
      <c r="Q105" s="20" t="n">
        <v>0</v>
      </c>
      <c r="R105" s="20" t="n">
        <v>5</v>
      </c>
      <c r="S105" s="20" t="n">
        <v>861</v>
      </c>
      <c r="T105" s="20" t="n">
        <v>0</v>
      </c>
      <c r="U105" s="20">
        <f>SUM(C105:O105)-P105</f>
        <v/>
      </c>
    </row>
    <row r="106">
      <c r="A106" s="18" t="n">
        <v>101</v>
      </c>
      <c r="B106" s="19" t="inlineStr">
        <is>
          <t>Gaddapaka</t>
        </is>
      </c>
      <c r="C106" s="20" t="n">
        <v>180</v>
      </c>
      <c r="D106" s="20" t="n">
        <v>19</v>
      </c>
      <c r="E106" s="20" t="n">
        <v>0</v>
      </c>
      <c r="F106" s="20" t="n">
        <v>10</v>
      </c>
      <c r="G106" s="20" t="n">
        <v>202</v>
      </c>
      <c r="H106" s="20" t="n">
        <v>1</v>
      </c>
      <c r="I106" s="20" t="n">
        <v>2</v>
      </c>
      <c r="J106" s="20" t="n">
        <v>3</v>
      </c>
      <c r="K106" s="20" t="n">
        <v>65</v>
      </c>
      <c r="L106" s="20" t="n">
        <v>1</v>
      </c>
      <c r="M106" s="20" t="n">
        <v>2</v>
      </c>
      <c r="N106" s="20" t="n">
        <v>6</v>
      </c>
      <c r="O106" s="20" t="n">
        <v>4</v>
      </c>
      <c r="P106" s="20" t="n">
        <v>495</v>
      </c>
      <c r="Q106" s="20" t="n">
        <v>0</v>
      </c>
      <c r="R106" s="20" t="n">
        <v>10</v>
      </c>
      <c r="S106" s="20" t="n">
        <v>505</v>
      </c>
      <c r="T106" s="20" t="n">
        <v>0</v>
      </c>
      <c r="U106" s="20">
        <f>SUM(C106:O106)-P106</f>
        <v/>
      </c>
    </row>
    <row r="107">
      <c r="A107" s="18" t="n">
        <v>102</v>
      </c>
      <c r="B107" s="19" t="inlineStr">
        <is>
          <t>Gaddapaka</t>
        </is>
      </c>
      <c r="C107" s="20" t="n">
        <v>108</v>
      </c>
      <c r="D107" s="20" t="n">
        <v>4</v>
      </c>
      <c r="E107" s="20" t="n">
        <v>2</v>
      </c>
      <c r="F107" s="20" t="n">
        <v>0</v>
      </c>
      <c r="G107" s="20" t="n">
        <v>189</v>
      </c>
      <c r="H107" s="20" t="n">
        <v>1</v>
      </c>
      <c r="I107" s="20" t="n">
        <v>3</v>
      </c>
      <c r="J107" s="20" t="n">
        <v>7</v>
      </c>
      <c r="K107" s="20" t="n">
        <v>44</v>
      </c>
      <c r="L107" s="20" t="n">
        <v>2</v>
      </c>
      <c r="M107" s="20" t="n">
        <v>1</v>
      </c>
      <c r="N107" s="20" t="n">
        <v>12</v>
      </c>
      <c r="O107" s="20" t="n">
        <v>0</v>
      </c>
      <c r="P107" s="20" t="n">
        <v>373</v>
      </c>
      <c r="Q107" s="20" t="n">
        <v>0</v>
      </c>
      <c r="R107" s="20" t="n">
        <v>10</v>
      </c>
      <c r="S107" s="20" t="n">
        <v>383</v>
      </c>
      <c r="T107" s="20" t="n">
        <v>0</v>
      </c>
      <c r="U107" s="20">
        <f>SUM(C107:O107)-P107</f>
        <v/>
      </c>
    </row>
    <row r="108">
      <c r="A108" s="18" t="n">
        <v>103</v>
      </c>
      <c r="B108" s="19" t="inlineStr">
        <is>
          <t>Kalvala</t>
        </is>
      </c>
      <c r="C108" s="20" t="n">
        <v>266</v>
      </c>
      <c r="D108" s="20" t="n">
        <v>5</v>
      </c>
      <c r="E108" s="20" t="n">
        <v>2</v>
      </c>
      <c r="F108" s="20" t="n">
        <v>5</v>
      </c>
      <c r="G108" s="20" t="n">
        <v>384</v>
      </c>
      <c r="H108" s="20" t="n">
        <v>1</v>
      </c>
      <c r="I108" s="20" t="n">
        <v>0</v>
      </c>
      <c r="J108" s="20" t="n">
        <v>0</v>
      </c>
      <c r="K108" s="20" t="n">
        <v>43</v>
      </c>
      <c r="L108" s="20" t="n">
        <v>2</v>
      </c>
      <c r="M108" s="20" t="n">
        <v>0</v>
      </c>
      <c r="N108" s="20" t="n">
        <v>1</v>
      </c>
      <c r="O108" s="20" t="n">
        <v>4</v>
      </c>
      <c r="P108" s="20" t="n">
        <v>713</v>
      </c>
      <c r="Q108" s="20" t="n">
        <v>0</v>
      </c>
      <c r="R108" s="20" t="n">
        <v>8</v>
      </c>
      <c r="S108" s="20" t="n">
        <v>721</v>
      </c>
      <c r="T108" s="20" t="n">
        <v>0</v>
      </c>
      <c r="U108" s="20">
        <f>SUM(C108:O108)-P108</f>
        <v/>
      </c>
    </row>
    <row r="109">
      <c r="A109" s="18" t="n">
        <v>104</v>
      </c>
      <c r="B109" s="19" t="inlineStr">
        <is>
          <t>Kachapur</t>
        </is>
      </c>
      <c r="C109" s="20" t="n">
        <v>134</v>
      </c>
      <c r="D109" s="20" t="n">
        <v>0</v>
      </c>
      <c r="E109" s="20" t="n">
        <v>0</v>
      </c>
      <c r="F109" s="20" t="n">
        <v>6</v>
      </c>
      <c r="G109" s="20" t="n">
        <v>409</v>
      </c>
      <c r="H109" s="20" t="n">
        <v>4</v>
      </c>
      <c r="I109" s="20" t="n">
        <v>0</v>
      </c>
      <c r="J109" s="20" t="n">
        <v>1</v>
      </c>
      <c r="K109" s="20" t="n">
        <v>47</v>
      </c>
      <c r="L109" s="20" t="n">
        <v>8</v>
      </c>
      <c r="M109" s="20" t="n">
        <v>1</v>
      </c>
      <c r="N109" s="20" t="n">
        <v>0</v>
      </c>
      <c r="O109" s="20" t="n">
        <v>0</v>
      </c>
      <c r="P109" s="20" t="n">
        <v>610</v>
      </c>
      <c r="Q109" s="20" t="n">
        <v>0</v>
      </c>
      <c r="R109" s="20" t="n">
        <v>0</v>
      </c>
      <c r="S109" s="20" t="n">
        <v>610</v>
      </c>
      <c r="T109" s="20" t="n">
        <v>0</v>
      </c>
      <c r="U109" s="20">
        <f>SUM(C109:O109)-P109</f>
        <v/>
      </c>
    </row>
    <row r="110">
      <c r="A110" s="18" t="n">
        <v>105</v>
      </c>
      <c r="B110" s="19" t="inlineStr">
        <is>
          <t>Kachapur</t>
        </is>
      </c>
      <c r="C110" s="20" t="n">
        <v>219</v>
      </c>
      <c r="D110" s="20" t="n">
        <v>58</v>
      </c>
      <c r="E110" s="20" t="n">
        <v>2</v>
      </c>
      <c r="F110" s="20" t="n">
        <v>3</v>
      </c>
      <c r="G110" s="20" t="n">
        <v>413</v>
      </c>
      <c r="H110" s="20" t="n">
        <v>5</v>
      </c>
      <c r="I110" s="20" t="n">
        <v>0</v>
      </c>
      <c r="J110" s="20" t="n">
        <v>1</v>
      </c>
      <c r="K110" s="20" t="n">
        <v>83</v>
      </c>
      <c r="L110" s="20" t="n">
        <v>1</v>
      </c>
      <c r="M110" s="20" t="n">
        <v>0</v>
      </c>
      <c r="N110" s="20" t="n">
        <v>0</v>
      </c>
      <c r="O110" s="20" t="n">
        <v>4</v>
      </c>
      <c r="P110" s="20" t="n">
        <v>789</v>
      </c>
      <c r="Q110" s="20" t="n">
        <v>0</v>
      </c>
      <c r="R110" s="20" t="n">
        <v>9</v>
      </c>
      <c r="S110" s="20" t="n">
        <v>798</v>
      </c>
      <c r="T110" s="20" t="n">
        <v>0</v>
      </c>
      <c r="U110" s="20">
        <f>SUM(C110:O110)-P110</f>
        <v/>
      </c>
    </row>
    <row r="111">
      <c r="A111" s="18" t="n">
        <v>106</v>
      </c>
      <c r="B111" s="19" t="inlineStr">
        <is>
          <t>Alugunur</t>
        </is>
      </c>
      <c r="C111" s="20" t="n">
        <v>233</v>
      </c>
      <c r="D111" s="20" t="n">
        <v>21</v>
      </c>
      <c r="E111" s="20" t="n">
        <v>0</v>
      </c>
      <c r="F111" s="20" t="n">
        <v>5</v>
      </c>
      <c r="G111" s="20" t="n">
        <v>322</v>
      </c>
      <c r="H111" s="20" t="n">
        <v>3</v>
      </c>
      <c r="I111" s="20" t="n">
        <v>2</v>
      </c>
      <c r="J111" s="20" t="n">
        <v>2</v>
      </c>
      <c r="K111" s="20" t="n">
        <v>43</v>
      </c>
      <c r="L111" s="20" t="n">
        <v>7</v>
      </c>
      <c r="M111" s="20" t="n">
        <v>0</v>
      </c>
      <c r="N111" s="20" t="n">
        <v>2</v>
      </c>
      <c r="O111" s="20" t="n">
        <v>2</v>
      </c>
      <c r="P111" s="20" t="n">
        <v>642</v>
      </c>
      <c r="Q111" s="20" t="n">
        <v>0</v>
      </c>
      <c r="R111" s="20" t="n">
        <v>9</v>
      </c>
      <c r="S111" s="20" t="n">
        <v>651</v>
      </c>
      <c r="T111" s="20" t="n">
        <v>0</v>
      </c>
      <c r="U111" s="20">
        <f>SUM(C111:O111)-P111</f>
        <v/>
      </c>
    </row>
    <row r="112">
      <c r="A112" s="18" t="n">
        <v>107</v>
      </c>
      <c r="B112" s="19" t="inlineStr">
        <is>
          <t>Kakathiya Colony H/o.Alugunur</t>
        </is>
      </c>
      <c r="C112" s="20" t="n">
        <v>118</v>
      </c>
      <c r="D112" s="20" t="n">
        <v>3</v>
      </c>
      <c r="E112" s="20" t="n">
        <v>0</v>
      </c>
      <c r="F112" s="20" t="n">
        <v>0</v>
      </c>
      <c r="G112" s="20" t="n">
        <v>124</v>
      </c>
      <c r="H112" s="20" t="n">
        <v>0</v>
      </c>
      <c r="I112" s="20" t="n">
        <v>0</v>
      </c>
      <c r="J112" s="20" t="n">
        <v>0</v>
      </c>
      <c r="K112" s="20" t="n">
        <v>7</v>
      </c>
      <c r="L112" s="20" t="n">
        <v>1</v>
      </c>
      <c r="M112" s="20" t="n">
        <v>0</v>
      </c>
      <c r="N112" s="20" t="n">
        <v>0</v>
      </c>
      <c r="O112" s="20" t="n">
        <v>0</v>
      </c>
      <c r="P112" s="20" t="n">
        <v>253</v>
      </c>
      <c r="Q112" s="20" t="n">
        <v>0</v>
      </c>
      <c r="R112" s="20" t="n">
        <v>0</v>
      </c>
      <c r="S112" s="20" t="n">
        <v>253</v>
      </c>
      <c r="T112" s="20" t="n">
        <v>0</v>
      </c>
      <c r="U112" s="20">
        <f>SUM(C112:O112)-P112</f>
        <v/>
      </c>
    </row>
    <row r="113">
      <c r="A113" s="18" t="n">
        <v>108</v>
      </c>
      <c r="B113" s="19" t="inlineStr">
        <is>
          <t>Alugunur</t>
        </is>
      </c>
      <c r="C113" s="20" t="n">
        <v>157</v>
      </c>
      <c r="D113" s="20" t="n">
        <v>12</v>
      </c>
      <c r="E113" s="20" t="n">
        <v>0</v>
      </c>
      <c r="F113" s="20" t="n">
        <v>2</v>
      </c>
      <c r="G113" s="20" t="n">
        <v>241</v>
      </c>
      <c r="H113" s="20" t="n">
        <v>2</v>
      </c>
      <c r="I113" s="20" t="n">
        <v>2</v>
      </c>
      <c r="J113" s="20" t="n">
        <v>3</v>
      </c>
      <c r="K113" s="20" t="n">
        <v>44</v>
      </c>
      <c r="L113" s="20" t="n">
        <v>3</v>
      </c>
      <c r="M113" s="20" t="n">
        <v>1</v>
      </c>
      <c r="N113" s="20" t="n">
        <v>1</v>
      </c>
      <c r="O113" s="20" t="n">
        <v>6</v>
      </c>
      <c r="P113" s="20" t="n">
        <v>474</v>
      </c>
      <c r="Q113" s="20" t="n">
        <v>0</v>
      </c>
      <c r="R113" s="20" t="n">
        <v>10</v>
      </c>
      <c r="S113" s="20" t="n">
        <v>484</v>
      </c>
      <c r="T113" s="20" t="n">
        <v>0</v>
      </c>
      <c r="U113" s="20">
        <f>SUM(C113:O113)-P113</f>
        <v/>
      </c>
    </row>
    <row r="114">
      <c r="A114" s="18" t="n">
        <v>109</v>
      </c>
      <c r="B114" s="19" t="inlineStr">
        <is>
          <t>Alugunur</t>
        </is>
      </c>
      <c r="C114" s="20" t="n">
        <v>232</v>
      </c>
      <c r="D114" s="20" t="n">
        <v>12</v>
      </c>
      <c r="E114" s="20" t="n">
        <v>2</v>
      </c>
      <c r="F114" s="20" t="n">
        <v>4</v>
      </c>
      <c r="G114" s="20" t="n">
        <v>298</v>
      </c>
      <c r="H114" s="20" t="n">
        <v>3</v>
      </c>
      <c r="I114" s="20" t="n">
        <v>2</v>
      </c>
      <c r="J114" s="20" t="n">
        <v>3</v>
      </c>
      <c r="K114" s="20" t="n">
        <v>46</v>
      </c>
      <c r="L114" s="20" t="n">
        <v>2</v>
      </c>
      <c r="M114" s="20" t="n">
        <v>3</v>
      </c>
      <c r="N114" s="20" t="n">
        <v>2</v>
      </c>
      <c r="O114" s="20" t="n">
        <v>0</v>
      </c>
      <c r="P114" s="20" t="n">
        <v>609</v>
      </c>
      <c r="Q114" s="20" t="n">
        <v>0</v>
      </c>
      <c r="R114" s="20" t="n">
        <v>11</v>
      </c>
      <c r="S114" s="20" t="n">
        <v>620</v>
      </c>
      <c r="T114" s="20" t="n">
        <v>0</v>
      </c>
      <c r="U114" s="20">
        <f>SUM(C114:O114)-P114</f>
        <v/>
      </c>
    </row>
    <row r="115">
      <c r="A115" s="18" t="n">
        <v>110</v>
      </c>
      <c r="B115" s="19" t="inlineStr">
        <is>
          <t>Thimmapur</t>
        </is>
      </c>
      <c r="C115" s="20" t="n">
        <v>177</v>
      </c>
      <c r="D115" s="20" t="n">
        <v>18</v>
      </c>
      <c r="E115" s="20" t="n">
        <v>0</v>
      </c>
      <c r="F115" s="20" t="n">
        <v>2</v>
      </c>
      <c r="G115" s="20" t="n">
        <v>306</v>
      </c>
      <c r="H115" s="20" t="n">
        <v>2</v>
      </c>
      <c r="I115" s="20" t="n">
        <v>1</v>
      </c>
      <c r="J115" s="20" t="n">
        <v>2</v>
      </c>
      <c r="K115" s="20" t="n">
        <v>35</v>
      </c>
      <c r="L115" s="20" t="n">
        <v>5</v>
      </c>
      <c r="M115" s="20" t="n">
        <v>3</v>
      </c>
      <c r="N115" s="20" t="n">
        <v>3</v>
      </c>
      <c r="O115" s="20" t="n">
        <v>3</v>
      </c>
      <c r="P115" s="20" t="n">
        <v>557</v>
      </c>
      <c r="Q115" s="20" t="n">
        <v>0</v>
      </c>
      <c r="R115" s="20" t="n">
        <v>10</v>
      </c>
      <c r="S115" s="20" t="n">
        <v>567</v>
      </c>
      <c r="T115" s="20" t="n">
        <v>0</v>
      </c>
      <c r="U115" s="20">
        <f>SUM(C115:O115)-P115</f>
        <v/>
      </c>
    </row>
    <row r="116">
      <c r="A116" s="18" t="n">
        <v>111</v>
      </c>
      <c r="B116" s="19" t="inlineStr">
        <is>
          <t>Thimmapur</t>
        </is>
      </c>
      <c r="C116" s="20" t="n">
        <v>180</v>
      </c>
      <c r="D116" s="20" t="n">
        <v>1</v>
      </c>
      <c r="E116" s="20" t="n">
        <v>3</v>
      </c>
      <c r="F116" s="20" t="n">
        <v>3</v>
      </c>
      <c r="G116" s="20" t="n">
        <v>285</v>
      </c>
      <c r="H116" s="20" t="n">
        <v>5</v>
      </c>
      <c r="I116" s="20" t="n">
        <v>2</v>
      </c>
      <c r="J116" s="20" t="n">
        <v>3</v>
      </c>
      <c r="K116" s="20" t="n">
        <v>39</v>
      </c>
      <c r="L116" s="20" t="n">
        <v>1</v>
      </c>
      <c r="M116" s="20" t="n">
        <v>0</v>
      </c>
      <c r="N116" s="20" t="n">
        <v>0</v>
      </c>
      <c r="O116" s="20" t="n">
        <v>2</v>
      </c>
      <c r="P116" s="20" t="n">
        <v>524</v>
      </c>
      <c r="Q116" s="20" t="n">
        <v>0</v>
      </c>
      <c r="R116" s="20" t="n">
        <v>7</v>
      </c>
      <c r="S116" s="20" t="n">
        <v>531</v>
      </c>
      <c r="T116" s="20" t="n">
        <v>0</v>
      </c>
      <c r="U116" s="20">
        <f>SUM(C116:O116)-P116</f>
        <v/>
      </c>
    </row>
    <row r="117">
      <c r="A117" s="18" t="n">
        <v>112</v>
      </c>
      <c r="B117" s="19" t="inlineStr">
        <is>
          <t>Jogaiahpalli H/o.Thimmapur</t>
        </is>
      </c>
      <c r="C117" s="20" t="n">
        <v>469</v>
      </c>
      <c r="D117" s="20" t="n">
        <v>12</v>
      </c>
      <c r="E117" s="20" t="n">
        <v>0</v>
      </c>
      <c r="F117" s="20" t="n">
        <v>3</v>
      </c>
      <c r="G117" s="20" t="n">
        <v>367</v>
      </c>
      <c r="H117" s="20" t="n">
        <v>3</v>
      </c>
      <c r="I117" s="20" t="n">
        <v>1</v>
      </c>
      <c r="J117" s="20" t="n">
        <v>1</v>
      </c>
      <c r="K117" s="20" t="n">
        <v>32</v>
      </c>
      <c r="L117" s="20" t="n">
        <v>8</v>
      </c>
      <c r="M117" s="20" t="n">
        <v>1</v>
      </c>
      <c r="N117" s="20" t="n">
        <v>2</v>
      </c>
      <c r="O117" s="20" t="n">
        <v>4</v>
      </c>
      <c r="P117" s="20" t="n">
        <v>903</v>
      </c>
      <c r="Q117" s="20" t="n">
        <v>0</v>
      </c>
      <c r="R117" s="20" t="n">
        <v>14</v>
      </c>
      <c r="S117" s="20" t="n">
        <v>917</v>
      </c>
      <c r="T117" s="20" t="n">
        <v>0</v>
      </c>
      <c r="U117" s="20">
        <f>SUM(C117:O117)-P117</f>
        <v/>
      </c>
    </row>
    <row r="118">
      <c r="A118" s="18" t="n">
        <v>113</v>
      </c>
      <c r="B118" s="19" t="inlineStr">
        <is>
          <t>Mahatmanagar
H/o.Thimmapur</t>
        </is>
      </c>
      <c r="C118" s="20" t="n">
        <v>408</v>
      </c>
      <c r="D118" s="20" t="n">
        <v>13</v>
      </c>
      <c r="E118" s="20" t="n">
        <v>1</v>
      </c>
      <c r="F118" s="20" t="n">
        <v>4</v>
      </c>
      <c r="G118" s="20" t="n">
        <v>421</v>
      </c>
      <c r="H118" s="20" t="n">
        <v>2</v>
      </c>
      <c r="I118" s="20" t="n">
        <v>2</v>
      </c>
      <c r="J118" s="20" t="n">
        <v>0</v>
      </c>
      <c r="K118" s="20" t="n">
        <v>55</v>
      </c>
      <c r="L118" s="20" t="n">
        <v>2</v>
      </c>
      <c r="M118" s="20" t="n">
        <v>2</v>
      </c>
      <c r="N118" s="20" t="n">
        <v>2</v>
      </c>
      <c r="O118" s="20" t="n">
        <v>3</v>
      </c>
      <c r="P118" s="20" t="n">
        <v>915</v>
      </c>
      <c r="Q118" s="20" t="n">
        <v>0</v>
      </c>
      <c r="R118" s="20" t="n">
        <v>16</v>
      </c>
      <c r="S118" s="20" t="n">
        <v>931</v>
      </c>
      <c r="T118" s="20" t="n">
        <v>0</v>
      </c>
      <c r="U118" s="20">
        <f>SUM(C118:O118)-P118</f>
        <v/>
      </c>
    </row>
    <row r="119">
      <c r="A119" s="18" t="n">
        <v>114</v>
      </c>
      <c r="B119" s="19" t="inlineStr">
        <is>
          <t>L.M.D.Colony</t>
        </is>
      </c>
      <c r="C119" s="20" t="n">
        <v>366</v>
      </c>
      <c r="D119" s="20" t="n">
        <v>18</v>
      </c>
      <c r="E119" s="20" t="n">
        <v>1</v>
      </c>
      <c r="F119" s="20" t="n">
        <v>9</v>
      </c>
      <c r="G119" s="20" t="n">
        <v>510</v>
      </c>
      <c r="H119" s="20" t="n">
        <v>1</v>
      </c>
      <c r="I119" s="20" t="n">
        <v>3</v>
      </c>
      <c r="J119" s="20" t="n">
        <v>0</v>
      </c>
      <c r="K119" s="20" t="n">
        <v>53</v>
      </c>
      <c r="L119" s="20" t="n">
        <v>5</v>
      </c>
      <c r="M119" s="20" t="n">
        <v>0</v>
      </c>
      <c r="N119" s="20" t="n">
        <v>1</v>
      </c>
      <c r="O119" s="20" t="n">
        <v>3</v>
      </c>
      <c r="P119" s="20" t="n">
        <v>970</v>
      </c>
      <c r="Q119" s="20" t="n">
        <v>0</v>
      </c>
      <c r="R119" s="20" t="n">
        <v>12</v>
      </c>
      <c r="S119" s="20" t="n">
        <v>982</v>
      </c>
      <c r="T119" s="20" t="n">
        <v>0</v>
      </c>
      <c r="U119" s="20">
        <f>SUM(C119:O119)-P119</f>
        <v/>
      </c>
    </row>
    <row r="120">
      <c r="A120" s="18" t="n">
        <v>115</v>
      </c>
      <c r="B120" s="19" t="inlineStr">
        <is>
          <t>L.M.D.Colony</t>
        </is>
      </c>
      <c r="C120" s="20" t="n">
        <v>230</v>
      </c>
      <c r="D120" s="20" t="n">
        <v>21</v>
      </c>
      <c r="E120" s="20" t="n">
        <v>0</v>
      </c>
      <c r="F120" s="20" t="n">
        <v>6</v>
      </c>
      <c r="G120" s="20" t="n">
        <v>189</v>
      </c>
      <c r="H120" s="20" t="n">
        <v>1</v>
      </c>
      <c r="I120" s="20" t="n">
        <v>1</v>
      </c>
      <c r="J120" s="20" t="n">
        <v>0</v>
      </c>
      <c r="K120" s="20" t="n">
        <v>28</v>
      </c>
      <c r="L120" s="20" t="n">
        <v>2</v>
      </c>
      <c r="M120" s="20" t="n">
        <v>1</v>
      </c>
      <c r="N120" s="20" t="n">
        <v>2</v>
      </c>
      <c r="O120" s="20" t="n">
        <v>1</v>
      </c>
      <c r="P120" s="20" t="n">
        <v>482</v>
      </c>
      <c r="Q120" s="20" t="n">
        <v>0</v>
      </c>
      <c r="R120" s="20" t="n">
        <v>6</v>
      </c>
      <c r="S120" s="20" t="n">
        <v>488</v>
      </c>
      <c r="T120" s="20" t="n">
        <v>0</v>
      </c>
      <c r="U120" s="20">
        <f>SUM(C120:O120)-P120</f>
        <v/>
      </c>
    </row>
    <row r="121">
      <c r="A121" s="18" t="n">
        <v>116</v>
      </c>
      <c r="B121" s="19" t="inlineStr">
        <is>
          <t>Porandla</t>
        </is>
      </c>
      <c r="C121" s="20" t="n">
        <v>332</v>
      </c>
      <c r="D121" s="20" t="n">
        <v>20</v>
      </c>
      <c r="E121" s="20" t="n">
        <v>2</v>
      </c>
      <c r="F121" s="20" t="n">
        <v>7</v>
      </c>
      <c r="G121" s="20" t="n">
        <v>186</v>
      </c>
      <c r="H121" s="20" t="n">
        <v>1</v>
      </c>
      <c r="I121" s="20" t="n">
        <v>0</v>
      </c>
      <c r="J121" s="20" t="n">
        <v>3</v>
      </c>
      <c r="K121" s="20" t="n">
        <v>22</v>
      </c>
      <c r="L121" s="20" t="n">
        <v>0</v>
      </c>
      <c r="M121" s="20" t="n">
        <v>0</v>
      </c>
      <c r="N121" s="20" t="n">
        <v>1</v>
      </c>
      <c r="O121" s="20" t="n">
        <v>0</v>
      </c>
      <c r="P121" s="20" t="n">
        <v>574</v>
      </c>
      <c r="Q121" s="20" t="n">
        <v>0</v>
      </c>
      <c r="R121" s="20" t="n">
        <v>8</v>
      </c>
      <c r="S121" s="20" t="n">
        <v>582</v>
      </c>
      <c r="T121" s="20" t="n">
        <v>0</v>
      </c>
      <c r="U121" s="20">
        <f>SUM(C121:O121)-P121</f>
        <v/>
      </c>
    </row>
    <row r="122">
      <c r="A122" s="18" t="n">
        <v>117</v>
      </c>
      <c r="B122" s="19" t="inlineStr">
        <is>
          <t>Porandla</t>
        </is>
      </c>
      <c r="C122" s="20" t="n">
        <v>230</v>
      </c>
      <c r="D122" s="20" t="n">
        <v>23</v>
      </c>
      <c r="E122" s="20" t="n">
        <v>1</v>
      </c>
      <c r="F122" s="20" t="n">
        <v>5</v>
      </c>
      <c r="G122" s="20" t="n">
        <v>226</v>
      </c>
      <c r="H122" s="20" t="n">
        <v>1</v>
      </c>
      <c r="I122" s="20" t="n">
        <v>0</v>
      </c>
      <c r="J122" s="20" t="n">
        <v>0</v>
      </c>
      <c r="K122" s="20" t="n">
        <v>35</v>
      </c>
      <c r="L122" s="20" t="n">
        <v>0</v>
      </c>
      <c r="M122" s="20" t="n">
        <v>0</v>
      </c>
      <c r="N122" s="20" t="n">
        <v>1</v>
      </c>
      <c r="O122" s="20" t="n">
        <v>2</v>
      </c>
      <c r="P122" s="20" t="n">
        <v>524</v>
      </c>
      <c r="Q122" s="20" t="n">
        <v>0</v>
      </c>
      <c r="R122" s="20" t="n">
        <v>12</v>
      </c>
      <c r="S122" s="20" t="n">
        <v>536</v>
      </c>
      <c r="T122" s="20" t="n">
        <v>0</v>
      </c>
      <c r="U122" s="20">
        <f>SUM(C122:O122)-P122</f>
        <v/>
      </c>
    </row>
    <row r="123">
      <c r="A123" s="18" t="n">
        <v>118</v>
      </c>
      <c r="B123" s="19" t="inlineStr">
        <is>
          <t>Mannempalli</t>
        </is>
      </c>
      <c r="C123" s="20" t="n">
        <v>177</v>
      </c>
      <c r="D123" s="20" t="n">
        <v>33</v>
      </c>
      <c r="E123" s="20" t="n">
        <v>2</v>
      </c>
      <c r="F123" s="20" t="n">
        <v>6</v>
      </c>
      <c r="G123" s="20" t="n">
        <v>233</v>
      </c>
      <c r="H123" s="20" t="n">
        <v>0</v>
      </c>
      <c r="I123" s="20" t="n">
        <v>1</v>
      </c>
      <c r="J123" s="20" t="n">
        <v>3</v>
      </c>
      <c r="K123" s="20" t="n">
        <v>35</v>
      </c>
      <c r="L123" s="20" t="n">
        <v>3</v>
      </c>
      <c r="M123" s="20" t="n">
        <v>1</v>
      </c>
      <c r="N123" s="20" t="n">
        <v>2</v>
      </c>
      <c r="O123" s="20" t="n">
        <v>5</v>
      </c>
      <c r="P123" s="20" t="n">
        <v>501</v>
      </c>
      <c r="Q123" s="20" t="n">
        <v>0</v>
      </c>
      <c r="R123" s="20" t="n">
        <v>15</v>
      </c>
      <c r="S123" s="20" t="n">
        <v>516</v>
      </c>
      <c r="T123" s="20" t="n">
        <v>0</v>
      </c>
      <c r="U123" s="20">
        <f>SUM(C123:O123)-P123</f>
        <v/>
      </c>
    </row>
    <row r="124">
      <c r="A124" s="18" t="n">
        <v>119</v>
      </c>
      <c r="B124" s="19" t="inlineStr">
        <is>
          <t>Mannempalli</t>
        </is>
      </c>
      <c r="C124" s="20" t="n">
        <v>188</v>
      </c>
      <c r="D124" s="20" t="n">
        <v>25</v>
      </c>
      <c r="E124" s="20" t="n">
        <v>0</v>
      </c>
      <c r="F124" s="20" t="n">
        <v>1</v>
      </c>
      <c r="G124" s="20" t="n">
        <v>192</v>
      </c>
      <c r="H124" s="20" t="n">
        <v>2</v>
      </c>
      <c r="I124" s="20" t="n">
        <v>0</v>
      </c>
      <c r="J124" s="20" t="n">
        <v>1</v>
      </c>
      <c r="K124" s="20" t="n">
        <v>28</v>
      </c>
      <c r="L124" s="20" t="n">
        <v>0</v>
      </c>
      <c r="M124" s="20" t="n">
        <v>3</v>
      </c>
      <c r="N124" s="20" t="n">
        <v>2</v>
      </c>
      <c r="O124" s="20" t="n">
        <v>0</v>
      </c>
      <c r="P124" s="20" t="n">
        <v>442</v>
      </c>
      <c r="Q124" s="20" t="n">
        <v>0</v>
      </c>
      <c r="R124" s="20" t="n">
        <v>10</v>
      </c>
      <c r="S124" s="20" t="n">
        <v>452</v>
      </c>
      <c r="T124" s="20" t="n">
        <v>0</v>
      </c>
      <c r="U124" s="20">
        <f>SUM(C124:O124)-P124</f>
        <v/>
      </c>
    </row>
    <row r="125">
      <c r="A125" s="18" t="n">
        <v>120</v>
      </c>
      <c r="B125" s="19" t="inlineStr">
        <is>
          <t>Indiranagar</t>
        </is>
      </c>
      <c r="C125" s="20" t="n">
        <v>235</v>
      </c>
      <c r="D125" s="20" t="n">
        <v>33</v>
      </c>
      <c r="E125" s="20" t="n">
        <v>0</v>
      </c>
      <c r="F125" s="20" t="n">
        <v>1</v>
      </c>
      <c r="G125" s="20" t="n">
        <v>237</v>
      </c>
      <c r="H125" s="20" t="n">
        <v>1</v>
      </c>
      <c r="I125" s="20" t="n">
        <v>0</v>
      </c>
      <c r="J125" s="20" t="n">
        <v>2</v>
      </c>
      <c r="K125" s="20" t="n">
        <v>20</v>
      </c>
      <c r="L125" s="20" t="n">
        <v>2</v>
      </c>
      <c r="M125" s="20" t="n">
        <v>0</v>
      </c>
      <c r="N125" s="20" t="n">
        <v>0</v>
      </c>
      <c r="O125" s="20" t="n">
        <v>0</v>
      </c>
      <c r="P125" s="20" t="n">
        <v>531</v>
      </c>
      <c r="Q125" s="20" t="n">
        <v>0</v>
      </c>
      <c r="R125" s="20" t="n">
        <v>9</v>
      </c>
      <c r="S125" s="20" t="n">
        <v>540</v>
      </c>
      <c r="T125" s="20" t="n">
        <v>0</v>
      </c>
      <c r="U125" s="20">
        <f>SUM(C125:O125)-P125</f>
        <v/>
      </c>
    </row>
    <row r="126">
      <c r="A126" s="18" t="n">
        <v>121</v>
      </c>
      <c r="B126" s="19" t="inlineStr">
        <is>
          <t>Nusthulapur</t>
        </is>
      </c>
      <c r="C126" s="20" t="n">
        <v>272</v>
      </c>
      <c r="D126" s="20" t="n">
        <v>27</v>
      </c>
      <c r="E126" s="20" t="n">
        <v>0</v>
      </c>
      <c r="F126" s="20" t="n">
        <v>4</v>
      </c>
      <c r="G126" s="20" t="n">
        <v>329</v>
      </c>
      <c r="H126" s="20" t="n">
        <v>1</v>
      </c>
      <c r="I126" s="20" t="n">
        <v>1</v>
      </c>
      <c r="J126" s="20" t="n">
        <v>0</v>
      </c>
      <c r="K126" s="20" t="n">
        <v>26</v>
      </c>
      <c r="L126" s="20" t="n">
        <v>2</v>
      </c>
      <c r="M126" s="20" t="n">
        <v>0</v>
      </c>
      <c r="N126" s="20" t="n">
        <v>0</v>
      </c>
      <c r="O126" s="20" t="n">
        <v>0</v>
      </c>
      <c r="P126" s="20" t="n">
        <v>662</v>
      </c>
      <c r="Q126" s="20" t="n">
        <v>0</v>
      </c>
      <c r="R126" s="20" t="n">
        <v>4</v>
      </c>
      <c r="S126" s="20" t="n">
        <v>666</v>
      </c>
      <c r="T126" s="20" t="n">
        <v>0</v>
      </c>
      <c r="U126" s="20">
        <f>SUM(C126:O126)-P126</f>
        <v/>
      </c>
    </row>
    <row r="127">
      <c r="A127" s="18" t="n">
        <v>122</v>
      </c>
      <c r="B127" s="19" t="inlineStr">
        <is>
          <t>Nusthulapur</t>
        </is>
      </c>
      <c r="C127" s="20" t="n">
        <v>167</v>
      </c>
      <c r="D127" s="20" t="n">
        <v>17</v>
      </c>
      <c r="E127" s="20" t="n">
        <v>0</v>
      </c>
      <c r="F127" s="20" t="n">
        <v>0</v>
      </c>
      <c r="G127" s="20" t="n">
        <v>87</v>
      </c>
      <c r="H127" s="20" t="n">
        <v>1</v>
      </c>
      <c r="I127" s="20" t="n">
        <v>0</v>
      </c>
      <c r="J127" s="20" t="n">
        <v>0</v>
      </c>
      <c r="K127" s="20" t="n">
        <v>4</v>
      </c>
      <c r="L127" s="20" t="n">
        <v>0</v>
      </c>
      <c r="M127" s="20" t="n">
        <v>0</v>
      </c>
      <c r="N127" s="20" t="n">
        <v>0</v>
      </c>
      <c r="O127" s="20" t="n">
        <v>0</v>
      </c>
      <c r="P127" s="20" t="n">
        <v>276</v>
      </c>
      <c r="Q127" s="20" t="n">
        <v>0</v>
      </c>
      <c r="R127" s="20" t="n">
        <v>3</v>
      </c>
      <c r="S127" s="20" t="n">
        <v>279</v>
      </c>
      <c r="T127" s="20" t="n">
        <v>0</v>
      </c>
      <c r="U127" s="20">
        <f>SUM(C127:O127)-P127</f>
        <v/>
      </c>
    </row>
    <row r="128">
      <c r="A128" s="18" t="n">
        <v>123</v>
      </c>
      <c r="B128" s="19" t="inlineStr">
        <is>
          <t>Ramakrishna Colony</t>
        </is>
      </c>
      <c r="C128" s="20" t="n">
        <v>327</v>
      </c>
      <c r="D128" s="20" t="n">
        <v>25</v>
      </c>
      <c r="E128" s="20" t="n">
        <v>1</v>
      </c>
      <c r="F128" s="20" t="n">
        <v>6</v>
      </c>
      <c r="G128" s="20" t="n">
        <v>436</v>
      </c>
      <c r="H128" s="20" t="n">
        <v>2</v>
      </c>
      <c r="I128" s="20" t="n">
        <v>3</v>
      </c>
      <c r="J128" s="20" t="n">
        <v>4</v>
      </c>
      <c r="K128" s="20" t="n">
        <v>99</v>
      </c>
      <c r="L128" s="20" t="n">
        <v>9</v>
      </c>
      <c r="M128" s="20" t="n">
        <v>0</v>
      </c>
      <c r="N128" s="20" t="n">
        <v>4</v>
      </c>
      <c r="O128" s="20" t="n">
        <v>7</v>
      </c>
      <c r="P128" s="20" t="n">
        <v>923</v>
      </c>
      <c r="Q128" s="20" t="n">
        <v>0</v>
      </c>
      <c r="R128" s="20" t="n">
        <v>22</v>
      </c>
      <c r="S128" s="20" t="n">
        <v>945</v>
      </c>
      <c r="T128" s="20" t="n">
        <v>0</v>
      </c>
      <c r="U128" s="20">
        <f>SUM(C128:O128)-P128</f>
        <v/>
      </c>
    </row>
    <row r="129">
      <c r="A129" s="18" t="n">
        <v>124</v>
      </c>
      <c r="B129" s="19" t="inlineStr">
        <is>
          <t>Ramakrishna Colony</t>
        </is>
      </c>
      <c r="C129" s="20" t="n">
        <v>365</v>
      </c>
      <c r="D129" s="20" t="n">
        <v>42</v>
      </c>
      <c r="E129" s="20" t="n">
        <v>1</v>
      </c>
      <c r="F129" s="20" t="n">
        <v>1</v>
      </c>
      <c r="G129" s="20" t="n">
        <v>359</v>
      </c>
      <c r="H129" s="20" t="n">
        <v>1</v>
      </c>
      <c r="I129" s="20" t="n">
        <v>0</v>
      </c>
      <c r="J129" s="20" t="n">
        <v>2</v>
      </c>
      <c r="K129" s="20" t="n">
        <v>59</v>
      </c>
      <c r="L129" s="20" t="n">
        <v>3</v>
      </c>
      <c r="M129" s="20" t="n">
        <v>0</v>
      </c>
      <c r="N129" s="20" t="n">
        <v>2</v>
      </c>
      <c r="O129" s="20" t="n">
        <v>4</v>
      </c>
      <c r="P129" s="20" t="n">
        <v>839</v>
      </c>
      <c r="Q129" s="20" t="n">
        <v>0</v>
      </c>
      <c r="R129" s="20" t="n">
        <v>14</v>
      </c>
      <c r="S129" s="20" t="n">
        <v>853</v>
      </c>
      <c r="T129" s="20" t="n">
        <v>0</v>
      </c>
      <c r="U129" s="20">
        <f>SUM(C129:O129)-P129</f>
        <v/>
      </c>
    </row>
    <row r="130">
      <c r="A130" s="18" t="n">
        <v>125</v>
      </c>
      <c r="B130" s="19" t="inlineStr">
        <is>
          <t>Gundla Cheruvupalli
H/o.Nusthulapur</t>
        </is>
      </c>
      <c r="C130" s="20" t="n">
        <v>361</v>
      </c>
      <c r="D130" s="20" t="n">
        <v>52</v>
      </c>
      <c r="E130" s="20" t="n">
        <v>2</v>
      </c>
      <c r="F130" s="20" t="n">
        <v>2</v>
      </c>
      <c r="G130" s="20" t="n">
        <v>460</v>
      </c>
      <c r="H130" s="20" t="n">
        <v>4</v>
      </c>
      <c r="I130" s="20" t="n">
        <v>2</v>
      </c>
      <c r="J130" s="20" t="n">
        <v>5</v>
      </c>
      <c r="K130" s="20" t="n">
        <v>40</v>
      </c>
      <c r="L130" s="20" t="n">
        <v>3</v>
      </c>
      <c r="M130" s="20" t="n">
        <v>2</v>
      </c>
      <c r="N130" s="20" t="n">
        <v>1</v>
      </c>
      <c r="O130" s="20" t="n">
        <v>2</v>
      </c>
      <c r="P130" s="20" t="n">
        <v>936</v>
      </c>
      <c r="Q130" s="20" t="n">
        <v>0</v>
      </c>
      <c r="R130" s="20" t="n">
        <v>13</v>
      </c>
      <c r="S130" s="20" t="n">
        <v>949</v>
      </c>
      <c r="T130" s="20" t="n">
        <v>0</v>
      </c>
      <c r="U130" s="20">
        <f>SUM(C130:O130)-P130</f>
        <v/>
      </c>
    </row>
    <row r="131">
      <c r="A131" s="18" t="n">
        <v>126</v>
      </c>
      <c r="B131" s="19" t="inlineStr">
        <is>
          <t>Vachunoor</t>
        </is>
      </c>
      <c r="C131" s="20" t="n">
        <v>229</v>
      </c>
      <c r="D131" s="20" t="n">
        <v>39</v>
      </c>
      <c r="E131" s="20" t="n">
        <v>0</v>
      </c>
      <c r="F131" s="20" t="n">
        <v>0</v>
      </c>
      <c r="G131" s="20" t="n">
        <v>281</v>
      </c>
      <c r="H131" s="20" t="n">
        <v>2</v>
      </c>
      <c r="I131" s="20" t="n">
        <v>4</v>
      </c>
      <c r="J131" s="20" t="n">
        <v>0</v>
      </c>
      <c r="K131" s="20" t="n">
        <v>37</v>
      </c>
      <c r="L131" s="20" t="n">
        <v>0</v>
      </c>
      <c r="M131" s="20" t="n">
        <v>0</v>
      </c>
      <c r="N131" s="20" t="n">
        <v>0</v>
      </c>
      <c r="O131" s="20" t="n">
        <v>4</v>
      </c>
      <c r="P131" s="20" t="n">
        <v>596</v>
      </c>
      <c r="Q131" s="20" t="n">
        <v>0</v>
      </c>
      <c r="R131" s="20" t="n">
        <v>8</v>
      </c>
      <c r="S131" s="20" t="n">
        <v>604</v>
      </c>
      <c r="T131" s="20" t="n">
        <v>0</v>
      </c>
      <c r="U131" s="20">
        <f>SUM(C131:O131)-P131</f>
        <v/>
      </c>
    </row>
    <row r="132">
      <c r="A132" s="18" t="n">
        <v>127</v>
      </c>
      <c r="B132" s="19" t="inlineStr">
        <is>
          <t>Ramhanuman nagar
H/o.Vachunoor</t>
        </is>
      </c>
      <c r="C132" s="20" t="n">
        <v>308</v>
      </c>
      <c r="D132" s="20" t="n">
        <v>13</v>
      </c>
      <c r="E132" s="20" t="n">
        <v>0</v>
      </c>
      <c r="F132" s="20" t="n">
        <v>7</v>
      </c>
      <c r="G132" s="20" t="n">
        <v>403</v>
      </c>
      <c r="H132" s="20" t="n">
        <v>1</v>
      </c>
      <c r="I132" s="20" t="n">
        <v>3</v>
      </c>
      <c r="J132" s="20" t="n">
        <v>0</v>
      </c>
      <c r="K132" s="20" t="n">
        <v>52</v>
      </c>
      <c r="L132" s="20" t="n">
        <v>6</v>
      </c>
      <c r="M132" s="20" t="n">
        <v>0</v>
      </c>
      <c r="N132" s="20" t="n">
        <v>0</v>
      </c>
      <c r="O132" s="20" t="n">
        <v>2</v>
      </c>
      <c r="P132" s="20" t="n">
        <v>795</v>
      </c>
      <c r="Q132" s="20" t="n">
        <v>0</v>
      </c>
      <c r="R132" s="20" t="n">
        <v>12</v>
      </c>
      <c r="S132" s="20" t="n">
        <v>807</v>
      </c>
      <c r="T132" s="20" t="n">
        <v>1</v>
      </c>
      <c r="U132" s="20">
        <f>SUM(C132:O132)-P132</f>
        <v/>
      </c>
    </row>
    <row r="133">
      <c r="A133" s="18" t="n">
        <v>128</v>
      </c>
      <c r="B133" s="19" t="inlineStr">
        <is>
          <t>Jugundla H/o Vachunur</t>
        </is>
      </c>
      <c r="C133" s="20" t="n">
        <v>344</v>
      </c>
      <c r="D133" s="20" t="n">
        <v>19</v>
      </c>
      <c r="E133" s="20" t="n">
        <v>1</v>
      </c>
      <c r="F133" s="20" t="n">
        <v>0</v>
      </c>
      <c r="G133" s="20" t="n">
        <v>26</v>
      </c>
      <c r="H133" s="20" t="n">
        <v>2</v>
      </c>
      <c r="I133" s="20" t="n">
        <v>1</v>
      </c>
      <c r="J133" s="20" t="n">
        <v>3</v>
      </c>
      <c r="K133" s="20" t="n">
        <v>28</v>
      </c>
      <c r="L133" s="20" t="n">
        <v>3</v>
      </c>
      <c r="M133" s="20" t="n">
        <v>2</v>
      </c>
      <c r="N133" s="20" t="n">
        <v>0</v>
      </c>
      <c r="O133" s="20" t="n">
        <v>5</v>
      </c>
      <c r="P133" s="20" t="n">
        <v>434</v>
      </c>
      <c r="Q133" s="20" t="n">
        <v>0</v>
      </c>
      <c r="R133" s="20" t="n">
        <v>13</v>
      </c>
      <c r="S133" s="20" t="n">
        <v>447</v>
      </c>
      <c r="T133" s="20" t="n">
        <v>0</v>
      </c>
      <c r="U133" s="20">
        <f>SUM(C133:O133)-P133</f>
        <v/>
      </c>
    </row>
    <row r="134">
      <c r="A134" s="18" t="n">
        <v>129</v>
      </c>
      <c r="B134" s="19" t="inlineStr">
        <is>
          <t>Nedunoor</t>
        </is>
      </c>
      <c r="C134" s="20" t="n">
        <v>368</v>
      </c>
      <c r="D134" s="20" t="n">
        <v>14</v>
      </c>
      <c r="E134" s="20" t="n">
        <v>1</v>
      </c>
      <c r="F134" s="20" t="n">
        <v>3</v>
      </c>
      <c r="G134" s="20" t="n">
        <v>296</v>
      </c>
      <c r="H134" s="20" t="n">
        <v>2</v>
      </c>
      <c r="I134" s="20" t="n">
        <v>0</v>
      </c>
      <c r="J134" s="20" t="n">
        <v>0</v>
      </c>
      <c r="K134" s="20" t="n">
        <v>27</v>
      </c>
      <c r="L134" s="20" t="n">
        <v>2</v>
      </c>
      <c r="M134" s="20" t="n">
        <v>3</v>
      </c>
      <c r="N134" s="20" t="n">
        <v>2</v>
      </c>
      <c r="O134" s="20" t="n">
        <v>0</v>
      </c>
      <c r="P134" s="20" t="n">
        <v>718</v>
      </c>
      <c r="Q134" s="20" t="n">
        <v>0</v>
      </c>
      <c r="R134" s="20" t="n">
        <v>8</v>
      </c>
      <c r="S134" s="20" t="n">
        <v>726</v>
      </c>
      <c r="T134" s="20" t="n">
        <v>0</v>
      </c>
      <c r="U134" s="20">
        <f>SUM(C134:O134)-P134</f>
        <v/>
      </c>
    </row>
    <row r="135">
      <c r="A135" s="18" t="n">
        <v>130</v>
      </c>
      <c r="B135" s="19" t="inlineStr">
        <is>
          <t>Gollapalli H/o.Nedunoor</t>
        </is>
      </c>
      <c r="C135" s="20" t="n">
        <v>169</v>
      </c>
      <c r="D135" s="20" t="n">
        <v>22</v>
      </c>
      <c r="E135" s="20" t="n">
        <v>0</v>
      </c>
      <c r="F135" s="20" t="n">
        <v>0</v>
      </c>
      <c r="G135" s="20" t="n">
        <v>345</v>
      </c>
      <c r="H135" s="20" t="n">
        <v>2</v>
      </c>
      <c r="I135" s="20" t="n">
        <v>0</v>
      </c>
      <c r="J135" s="20" t="n">
        <v>4</v>
      </c>
      <c r="K135" s="20" t="n">
        <v>26</v>
      </c>
      <c r="L135" s="20" t="n">
        <v>5</v>
      </c>
      <c r="M135" s="20" t="n">
        <v>2</v>
      </c>
      <c r="N135" s="20" t="n">
        <v>3</v>
      </c>
      <c r="O135" s="20" t="n">
        <v>5</v>
      </c>
      <c r="P135" s="20" t="n">
        <v>583</v>
      </c>
      <c r="Q135" s="20" t="n">
        <v>0</v>
      </c>
      <c r="R135" s="20" t="n">
        <v>10</v>
      </c>
      <c r="S135" s="20" t="n">
        <v>593</v>
      </c>
      <c r="T135" s="20" t="n">
        <v>0</v>
      </c>
      <c r="U135" s="20">
        <f>SUM(C135:O135)-P135</f>
        <v/>
      </c>
    </row>
    <row r="136">
      <c r="A136" s="18" t="n">
        <v>131</v>
      </c>
      <c r="B136" s="19" t="inlineStr">
        <is>
          <t>Renikunta</t>
        </is>
      </c>
      <c r="C136" s="20" t="n">
        <v>222</v>
      </c>
      <c r="D136" s="20" t="n">
        <v>23</v>
      </c>
      <c r="E136" s="20" t="n">
        <v>0</v>
      </c>
      <c r="F136" s="20" t="n">
        <v>9</v>
      </c>
      <c r="G136" s="20" t="n">
        <v>350</v>
      </c>
      <c r="H136" s="20" t="n">
        <v>0</v>
      </c>
      <c r="I136" s="20" t="n">
        <v>2</v>
      </c>
      <c r="J136" s="20" t="n">
        <v>1</v>
      </c>
      <c r="K136" s="20" t="n">
        <v>64</v>
      </c>
      <c r="L136" s="20" t="n">
        <v>3</v>
      </c>
      <c r="M136" s="20" t="n">
        <v>3</v>
      </c>
      <c r="N136" s="20" t="n">
        <v>2</v>
      </c>
      <c r="O136" s="20" t="n">
        <v>2</v>
      </c>
      <c r="P136" s="20" t="n">
        <v>681</v>
      </c>
      <c r="Q136" s="20" t="n">
        <v>0</v>
      </c>
      <c r="R136" s="20" t="n">
        <v>18</v>
      </c>
      <c r="S136" s="20" t="n">
        <v>699</v>
      </c>
      <c r="T136" s="20" t="n">
        <v>0</v>
      </c>
      <c r="U136" s="20">
        <f>SUM(C136:O136)-P136</f>
        <v/>
      </c>
    </row>
    <row r="137">
      <c r="A137" s="18" t="n">
        <v>132</v>
      </c>
      <c r="B137" s="19" t="inlineStr">
        <is>
          <t>Renikunta</t>
        </is>
      </c>
      <c r="C137" s="20" t="n">
        <v>89</v>
      </c>
      <c r="D137" s="20" t="n">
        <v>1</v>
      </c>
      <c r="E137" s="20" t="n">
        <v>0</v>
      </c>
      <c r="F137" s="20" t="n">
        <v>0</v>
      </c>
      <c r="G137" s="20" t="n">
        <v>340</v>
      </c>
      <c r="H137" s="20" t="n">
        <v>4</v>
      </c>
      <c r="I137" s="20" t="n">
        <v>0</v>
      </c>
      <c r="J137" s="20" t="n">
        <v>1</v>
      </c>
      <c r="K137" s="20" t="n">
        <v>0</v>
      </c>
      <c r="L137" s="20" t="n">
        <v>7</v>
      </c>
      <c r="M137" s="20" t="n">
        <v>2</v>
      </c>
      <c r="N137" s="20" t="n">
        <v>1</v>
      </c>
      <c r="O137" s="20" t="n">
        <v>3</v>
      </c>
      <c r="P137" s="20" t="n">
        <v>448</v>
      </c>
      <c r="Q137" s="20" t="n">
        <v>0</v>
      </c>
      <c r="R137" s="20" t="n">
        <v>7</v>
      </c>
      <c r="S137" s="20" t="n">
        <v>455</v>
      </c>
      <c r="T137" s="20" t="n">
        <v>0</v>
      </c>
      <c r="U137" s="20">
        <f>SUM(C137:O137)-P137</f>
        <v/>
      </c>
    </row>
    <row r="138">
      <c r="A138" s="18" t="n">
        <v>133</v>
      </c>
      <c r="B138" s="19" t="inlineStr">
        <is>
          <t>Kothapalli (PN)</t>
        </is>
      </c>
      <c r="C138" s="20" t="n">
        <v>201</v>
      </c>
      <c r="D138" s="20" t="n">
        <v>11</v>
      </c>
      <c r="E138" s="20" t="n">
        <v>1</v>
      </c>
      <c r="F138" s="20" t="n">
        <v>0</v>
      </c>
      <c r="G138" s="20" t="n">
        <v>177</v>
      </c>
      <c r="H138" s="20" t="n">
        <v>0</v>
      </c>
      <c r="I138" s="20" t="n">
        <v>0</v>
      </c>
      <c r="J138" s="20" t="n">
        <v>0</v>
      </c>
      <c r="K138" s="20" t="n">
        <v>29</v>
      </c>
      <c r="L138" s="20" t="n">
        <v>7</v>
      </c>
      <c r="M138" s="20" t="n">
        <v>1</v>
      </c>
      <c r="N138" s="20" t="n">
        <v>1</v>
      </c>
      <c r="O138" s="20" t="n">
        <v>2</v>
      </c>
      <c r="P138" s="20" t="n">
        <v>430</v>
      </c>
      <c r="Q138" s="20" t="n">
        <v>0</v>
      </c>
      <c r="R138" s="20" t="n">
        <v>8</v>
      </c>
      <c r="S138" s="20" t="n">
        <v>438</v>
      </c>
      <c r="T138" s="20" t="n">
        <v>0</v>
      </c>
      <c r="U138" s="20">
        <f>SUM(C138:O138)-P138</f>
        <v/>
      </c>
    </row>
    <row r="139">
      <c r="A139" s="18" t="n">
        <v>134</v>
      </c>
      <c r="B139" s="19" t="inlineStr">
        <is>
          <t>Kothapalli (PN)</t>
        </is>
      </c>
      <c r="C139" s="20" t="n">
        <v>271</v>
      </c>
      <c r="D139" s="20" t="n">
        <v>19</v>
      </c>
      <c r="E139" s="20" t="n">
        <v>1</v>
      </c>
      <c r="F139" s="20" t="n">
        <v>17</v>
      </c>
      <c r="G139" s="20" t="n">
        <v>373</v>
      </c>
      <c r="H139" s="20" t="n">
        <v>1</v>
      </c>
      <c r="I139" s="20" t="n">
        <v>2</v>
      </c>
      <c r="J139" s="20" t="n">
        <v>2</v>
      </c>
      <c r="K139" s="20" t="n">
        <v>63</v>
      </c>
      <c r="L139" s="20" t="n">
        <v>9</v>
      </c>
      <c r="M139" s="20" t="n">
        <v>1</v>
      </c>
      <c r="N139" s="20" t="n">
        <v>6</v>
      </c>
      <c r="O139" s="20" t="n">
        <v>3</v>
      </c>
      <c r="P139" s="20" t="n">
        <v>768</v>
      </c>
      <c r="Q139" s="20" t="n">
        <v>0</v>
      </c>
      <c r="R139" s="20" t="n">
        <v>20</v>
      </c>
      <c r="S139" s="20" t="n">
        <v>788</v>
      </c>
      <c r="T139" s="20" t="n">
        <v>0</v>
      </c>
      <c r="U139" s="20">
        <f>SUM(C139:O139)-P139</f>
        <v/>
      </c>
    </row>
    <row r="140">
      <c r="A140" s="18" t="n">
        <v>135</v>
      </c>
      <c r="B140" s="19" t="inlineStr">
        <is>
          <t>Nallagonda</t>
        </is>
      </c>
      <c r="C140" s="20" t="n">
        <v>108</v>
      </c>
      <c r="D140" s="20" t="n">
        <v>10</v>
      </c>
      <c r="E140" s="20" t="n">
        <v>1</v>
      </c>
      <c r="F140" s="20" t="n">
        <v>1</v>
      </c>
      <c r="G140" s="20" t="n">
        <v>91</v>
      </c>
      <c r="H140" s="20" t="n">
        <v>4</v>
      </c>
      <c r="I140" s="20" t="n">
        <v>1</v>
      </c>
      <c r="J140" s="20" t="n">
        <v>1</v>
      </c>
      <c r="K140" s="20" t="n">
        <v>14</v>
      </c>
      <c r="L140" s="20" t="n">
        <v>2</v>
      </c>
      <c r="M140" s="20" t="n">
        <v>14</v>
      </c>
      <c r="N140" s="20" t="n">
        <v>0</v>
      </c>
      <c r="O140" s="20" t="n">
        <v>2</v>
      </c>
      <c r="P140" s="20" t="n">
        <v>249</v>
      </c>
      <c r="Q140" s="20" t="n">
        <v>0</v>
      </c>
      <c r="R140" s="20" t="n">
        <v>1</v>
      </c>
      <c r="S140" s="20" t="n">
        <v>250</v>
      </c>
      <c r="T140" s="20" t="n">
        <v>0</v>
      </c>
      <c r="U140" s="20">
        <f>SUM(C140:O140)-P140</f>
        <v/>
      </c>
    </row>
    <row r="141">
      <c r="A141" s="18" t="n">
        <v>136</v>
      </c>
      <c r="B141" s="19" t="inlineStr">
        <is>
          <t>Makthapalli H/o.Nallagonda</t>
        </is>
      </c>
      <c r="C141" s="20" t="n">
        <v>99</v>
      </c>
      <c r="D141" s="20" t="n">
        <v>0</v>
      </c>
      <c r="E141" s="20" t="n">
        <v>0</v>
      </c>
      <c r="F141" s="20" t="n">
        <v>3</v>
      </c>
      <c r="G141" s="20" t="n">
        <v>253</v>
      </c>
      <c r="H141" s="20" t="n">
        <v>1</v>
      </c>
      <c r="I141" s="20" t="n">
        <v>1</v>
      </c>
      <c r="J141" s="20" t="n">
        <v>2</v>
      </c>
      <c r="K141" s="20" t="n">
        <v>40</v>
      </c>
      <c r="L141" s="20" t="n">
        <v>2</v>
      </c>
      <c r="M141" s="20" t="n">
        <v>1</v>
      </c>
      <c r="N141" s="20" t="n">
        <v>2</v>
      </c>
      <c r="O141" s="20" t="n">
        <v>0</v>
      </c>
      <c r="P141" s="20" t="n">
        <v>404</v>
      </c>
      <c r="Q141" s="20" t="n">
        <v>0</v>
      </c>
      <c r="R141" s="20" t="n">
        <v>4</v>
      </c>
      <c r="S141" s="20" t="n">
        <v>408</v>
      </c>
      <c r="T141" s="20" t="n">
        <v>0</v>
      </c>
      <c r="U141" s="20">
        <f>SUM(C141:O141)-P141</f>
        <v/>
      </c>
    </row>
    <row r="142">
      <c r="A142" s="18" t="n">
        <v>137</v>
      </c>
      <c r="B142" s="19" t="inlineStr">
        <is>
          <t>Sayabpalli H/o.Nallagonda</t>
        </is>
      </c>
      <c r="C142" s="20" t="n">
        <v>327</v>
      </c>
      <c r="D142" s="20" t="n">
        <v>40</v>
      </c>
      <c r="E142" s="20" t="n">
        <v>0</v>
      </c>
      <c r="F142" s="20" t="n">
        <v>4</v>
      </c>
      <c r="G142" s="20" t="n">
        <v>300</v>
      </c>
      <c r="H142" s="20" t="n">
        <v>1</v>
      </c>
      <c r="I142" s="20" t="n">
        <v>0</v>
      </c>
      <c r="J142" s="20" t="n">
        <v>3</v>
      </c>
      <c r="K142" s="20" t="n">
        <v>27</v>
      </c>
      <c r="L142" s="20" t="n">
        <v>0</v>
      </c>
      <c r="M142" s="20" t="n">
        <v>0</v>
      </c>
      <c r="N142" s="20" t="n">
        <v>0</v>
      </c>
      <c r="O142" s="20" t="n">
        <v>4</v>
      </c>
      <c r="P142" s="20" t="n">
        <v>706</v>
      </c>
      <c r="Q142" s="20" t="n">
        <v>0</v>
      </c>
      <c r="R142" s="20" t="n">
        <v>12</v>
      </c>
      <c r="S142" s="20" t="n">
        <v>718</v>
      </c>
      <c r="T142" s="20" t="n">
        <v>0</v>
      </c>
      <c r="U142" s="20">
        <f>SUM(C142:O142)-P142</f>
        <v/>
      </c>
    </row>
    <row r="143">
      <c r="A143" s="18" t="n">
        <v>138</v>
      </c>
      <c r="B143" s="19" t="inlineStr">
        <is>
          <t>Mallapur</t>
        </is>
      </c>
      <c r="C143" s="20" t="n">
        <v>223</v>
      </c>
      <c r="D143" s="20" t="n">
        <v>53</v>
      </c>
      <c r="E143" s="20" t="n">
        <v>3</v>
      </c>
      <c r="F143" s="20" t="n">
        <v>5</v>
      </c>
      <c r="G143" s="20" t="n">
        <v>273</v>
      </c>
      <c r="H143" s="20" t="n">
        <v>5</v>
      </c>
      <c r="I143" s="20" t="n">
        <v>1</v>
      </c>
      <c r="J143" s="20" t="n">
        <v>2</v>
      </c>
      <c r="K143" s="20" t="n">
        <v>46</v>
      </c>
      <c r="L143" s="20" t="n">
        <v>8</v>
      </c>
      <c r="M143" s="20" t="n">
        <v>4</v>
      </c>
      <c r="N143" s="20" t="n">
        <v>0</v>
      </c>
      <c r="O143" s="20" t="n">
        <v>4</v>
      </c>
      <c r="P143" s="20" t="n">
        <v>627</v>
      </c>
      <c r="Q143" s="20" t="n">
        <v>0</v>
      </c>
      <c r="R143" s="20" t="n">
        <v>6</v>
      </c>
      <c r="S143" s="20" t="n">
        <v>633</v>
      </c>
      <c r="T143" s="20" t="n">
        <v>0</v>
      </c>
      <c r="U143" s="20">
        <f>SUM(C143:O143)-P143</f>
        <v/>
      </c>
    </row>
    <row r="144">
      <c r="A144" s="18" t="n">
        <v>139</v>
      </c>
      <c r="B144" s="19" t="inlineStr">
        <is>
          <t>Mallapur</t>
        </is>
      </c>
      <c r="C144" s="20" t="n">
        <v>224</v>
      </c>
      <c r="D144" s="20" t="n">
        <v>7</v>
      </c>
      <c r="E144" s="20" t="n">
        <v>1</v>
      </c>
      <c r="F144" s="20" t="n">
        <v>3</v>
      </c>
      <c r="G144" s="20" t="n">
        <v>368</v>
      </c>
      <c r="H144" s="20" t="n">
        <v>1</v>
      </c>
      <c r="I144" s="20" t="n">
        <v>0</v>
      </c>
      <c r="J144" s="20" t="n">
        <v>0</v>
      </c>
      <c r="K144" s="20" t="n">
        <v>41</v>
      </c>
      <c r="L144" s="20" t="n">
        <v>6</v>
      </c>
      <c r="M144" s="20" t="n">
        <v>0</v>
      </c>
      <c r="N144" s="20" t="n">
        <v>0</v>
      </c>
      <c r="O144" s="20" t="n">
        <v>3</v>
      </c>
      <c r="P144" s="20" t="n">
        <v>654</v>
      </c>
      <c r="Q144" s="20" t="n">
        <v>0</v>
      </c>
      <c r="R144" s="20" t="n">
        <v>10</v>
      </c>
      <c r="S144" s="20" t="n">
        <v>664</v>
      </c>
      <c r="T144" s="20" t="n">
        <v>0</v>
      </c>
      <c r="U144" s="20">
        <f>SUM(C144:O144)-P144</f>
        <v/>
      </c>
    </row>
    <row r="145">
      <c r="A145" s="18" t="n">
        <v>140</v>
      </c>
      <c r="B145" s="19" t="inlineStr">
        <is>
          <t>Polampalli</t>
        </is>
      </c>
      <c r="C145" s="20" t="n">
        <v>261</v>
      </c>
      <c r="D145" s="20" t="n">
        <v>9</v>
      </c>
      <c r="E145" s="20" t="n">
        <v>2</v>
      </c>
      <c r="F145" s="20" t="n">
        <v>7</v>
      </c>
      <c r="G145" s="20" t="n">
        <v>267</v>
      </c>
      <c r="H145" s="20" t="n">
        <v>5</v>
      </c>
      <c r="I145" s="20" t="n">
        <v>0</v>
      </c>
      <c r="J145" s="20" t="n">
        <v>3</v>
      </c>
      <c r="K145" s="20" t="n">
        <v>32</v>
      </c>
      <c r="L145" s="20" t="n">
        <v>5</v>
      </c>
      <c r="M145" s="20" t="n">
        <v>1</v>
      </c>
      <c r="N145" s="20" t="n">
        <v>3</v>
      </c>
      <c r="O145" s="20" t="n">
        <v>0</v>
      </c>
      <c r="P145" s="20" t="n">
        <v>595</v>
      </c>
      <c r="Q145" s="20" t="n">
        <v>0</v>
      </c>
      <c r="R145" s="20" t="n">
        <v>0</v>
      </c>
      <c r="S145" s="20" t="n">
        <v>595</v>
      </c>
      <c r="T145" s="20" t="n">
        <v>0</v>
      </c>
      <c r="U145" s="20">
        <f>SUM(C145:O145)-P145</f>
        <v/>
      </c>
    </row>
    <row r="146">
      <c r="A146" s="18" t="n">
        <v>141</v>
      </c>
      <c r="B146" s="19" t="inlineStr">
        <is>
          <t>Polampalli</t>
        </is>
      </c>
      <c r="C146" s="20" t="n">
        <v>180</v>
      </c>
      <c r="D146" s="20" t="n">
        <v>19</v>
      </c>
      <c r="E146" s="20" t="n">
        <v>0</v>
      </c>
      <c r="F146" s="20" t="n">
        <v>8</v>
      </c>
      <c r="G146" s="20" t="n">
        <v>419</v>
      </c>
      <c r="H146" s="20" t="n">
        <v>5</v>
      </c>
      <c r="I146" s="20" t="n">
        <v>3</v>
      </c>
      <c r="J146" s="20" t="n">
        <v>3</v>
      </c>
      <c r="K146" s="20" t="n">
        <v>41</v>
      </c>
      <c r="L146" s="20" t="n">
        <v>5</v>
      </c>
      <c r="M146" s="20" t="n">
        <v>3</v>
      </c>
      <c r="N146" s="20" t="n">
        <v>6</v>
      </c>
      <c r="O146" s="20" t="n">
        <v>2</v>
      </c>
      <c r="P146" s="20" t="n">
        <v>694</v>
      </c>
      <c r="Q146" s="20" t="n">
        <v>0</v>
      </c>
      <c r="R146" s="20" t="n">
        <v>10</v>
      </c>
      <c r="S146" s="20" t="n">
        <v>704</v>
      </c>
      <c r="T146" s="20" t="n">
        <v>0</v>
      </c>
      <c r="U146" s="20">
        <f>SUM(C146:O146)-P146</f>
        <v/>
      </c>
    </row>
    <row r="147">
      <c r="A147" s="18" t="n">
        <v>142</v>
      </c>
      <c r="B147" s="19" t="inlineStr">
        <is>
          <t>Parlapalli</t>
        </is>
      </c>
      <c r="C147" s="20" t="n">
        <v>165</v>
      </c>
      <c r="D147" s="20" t="n">
        <v>6</v>
      </c>
      <c r="E147" s="20" t="n">
        <v>0</v>
      </c>
      <c r="F147" s="20" t="n">
        <v>1</v>
      </c>
      <c r="G147" s="20" t="n">
        <v>264</v>
      </c>
      <c r="H147" s="20" t="n">
        <v>0</v>
      </c>
      <c r="I147" s="20" t="n">
        <v>0</v>
      </c>
      <c r="J147" s="20" t="n">
        <v>0</v>
      </c>
      <c r="K147" s="20" t="n">
        <v>32</v>
      </c>
      <c r="L147" s="20" t="n">
        <v>0</v>
      </c>
      <c r="M147" s="20" t="n">
        <v>0</v>
      </c>
      <c r="N147" s="20" t="n">
        <v>0</v>
      </c>
      <c r="O147" s="20" t="n">
        <v>0</v>
      </c>
      <c r="P147" s="20" t="n">
        <v>468</v>
      </c>
      <c r="Q147" s="20" t="n">
        <v>0</v>
      </c>
      <c r="R147" s="20" t="n">
        <v>2</v>
      </c>
      <c r="S147" s="20" t="n">
        <v>470</v>
      </c>
      <c r="T147" s="20" t="n">
        <v>0</v>
      </c>
      <c r="U147" s="20">
        <f>SUM(C147:O147)-P147</f>
        <v/>
      </c>
    </row>
    <row r="148">
      <c r="A148" s="18" t="n">
        <v>143</v>
      </c>
      <c r="B148" s="19" t="inlineStr">
        <is>
          <t>Parlapalli</t>
        </is>
      </c>
      <c r="C148" s="20" t="n">
        <v>241</v>
      </c>
      <c r="D148" s="20" t="n">
        <v>9</v>
      </c>
      <c r="E148" s="20" t="n">
        <v>0</v>
      </c>
      <c r="F148" s="20" t="n">
        <v>5</v>
      </c>
      <c r="G148" s="20" t="n">
        <v>342</v>
      </c>
      <c r="H148" s="20" t="n">
        <v>3</v>
      </c>
      <c r="I148" s="20" t="n">
        <v>0</v>
      </c>
      <c r="J148" s="20" t="n">
        <v>0</v>
      </c>
      <c r="K148" s="20" t="n">
        <v>40</v>
      </c>
      <c r="L148" s="20" t="n">
        <v>0</v>
      </c>
      <c r="M148" s="20" t="n">
        <v>0</v>
      </c>
      <c r="N148" s="20" t="n">
        <v>4</v>
      </c>
      <c r="O148" s="20" t="n">
        <v>2</v>
      </c>
      <c r="P148" s="20" t="n">
        <v>646</v>
      </c>
      <c r="Q148" s="20" t="n">
        <v>0</v>
      </c>
      <c r="R148" s="20" t="n">
        <v>7</v>
      </c>
      <c r="S148" s="20" t="n">
        <v>653</v>
      </c>
      <c r="T148" s="20" t="n">
        <v>0</v>
      </c>
      <c r="U148" s="20">
        <f>SUM(C148:O148)-P148</f>
        <v/>
      </c>
    </row>
    <row r="149">
      <c r="A149" s="18" t="n">
        <v>144</v>
      </c>
      <c r="B149" s="19" t="inlineStr">
        <is>
          <t>Parlapalli</t>
        </is>
      </c>
      <c r="C149" s="20" t="n">
        <v>465</v>
      </c>
      <c r="D149" s="20" t="n">
        <v>37</v>
      </c>
      <c r="E149" s="20" t="n">
        <v>3</v>
      </c>
      <c r="F149" s="20" t="n">
        <v>5</v>
      </c>
      <c r="G149" s="20" t="n">
        <v>306</v>
      </c>
      <c r="H149" s="20" t="n">
        <v>0</v>
      </c>
      <c r="I149" s="20" t="n">
        <v>0</v>
      </c>
      <c r="J149" s="20" t="n">
        <v>2</v>
      </c>
      <c r="K149" s="20" t="n">
        <v>40</v>
      </c>
      <c r="L149" s="20" t="n">
        <v>2</v>
      </c>
      <c r="M149" s="20" t="n">
        <v>0</v>
      </c>
      <c r="N149" s="20" t="n">
        <v>0</v>
      </c>
      <c r="O149" s="20" t="n">
        <v>3</v>
      </c>
      <c r="P149" s="20" t="n">
        <v>863</v>
      </c>
      <c r="Q149" s="20" t="n">
        <v>0</v>
      </c>
      <c r="R149" s="20" t="n">
        <v>7</v>
      </c>
      <c r="S149" s="20" t="n">
        <v>870</v>
      </c>
      <c r="T149" s="20" t="n">
        <v>0</v>
      </c>
      <c r="U149" s="20">
        <f>SUM(C149:O149)-P149</f>
        <v/>
      </c>
    </row>
    <row r="150">
      <c r="A150" s="18" t="n">
        <v>145</v>
      </c>
      <c r="B150" s="19" t="inlineStr">
        <is>
          <t>Mogilipalem</t>
        </is>
      </c>
      <c r="C150" s="20" t="n">
        <v>154</v>
      </c>
      <c r="D150" s="20" t="n">
        <v>28</v>
      </c>
      <c r="E150" s="20" t="n">
        <v>0</v>
      </c>
      <c r="F150" s="20" t="n">
        <v>1</v>
      </c>
      <c r="G150" s="20" t="n">
        <v>234</v>
      </c>
      <c r="H150" s="20" t="n">
        <v>7</v>
      </c>
      <c r="I150" s="20" t="n">
        <v>0</v>
      </c>
      <c r="J150" s="20" t="n">
        <v>2</v>
      </c>
      <c r="K150" s="20" t="n">
        <v>65</v>
      </c>
      <c r="L150" s="20" t="n">
        <v>8</v>
      </c>
      <c r="M150" s="20" t="n">
        <v>0</v>
      </c>
      <c r="N150" s="20" t="n">
        <v>2</v>
      </c>
      <c r="O150" s="20" t="n">
        <v>0</v>
      </c>
      <c r="P150" s="20" t="n">
        <v>501</v>
      </c>
      <c r="Q150" s="20" t="n">
        <v>0</v>
      </c>
      <c r="R150" s="20" t="n">
        <v>9</v>
      </c>
      <c r="S150" s="20" t="n">
        <v>510</v>
      </c>
      <c r="T150" s="20" t="n">
        <v>0</v>
      </c>
      <c r="U150" s="20">
        <f>SUM(C150:O150)-P150</f>
        <v/>
      </c>
    </row>
    <row r="151">
      <c r="A151" s="18" t="n">
        <v>146</v>
      </c>
      <c r="B151" s="19" t="inlineStr">
        <is>
          <t>Mogilipalem</t>
        </is>
      </c>
      <c r="C151" s="20" t="n">
        <v>166</v>
      </c>
      <c r="D151" s="20" t="n">
        <v>4</v>
      </c>
      <c r="E151" s="20" t="n">
        <v>0</v>
      </c>
      <c r="F151" s="20" t="n">
        <v>4</v>
      </c>
      <c r="G151" s="20" t="n">
        <v>213</v>
      </c>
      <c r="H151" s="20" t="n">
        <v>0</v>
      </c>
      <c r="I151" s="20" t="n">
        <v>0</v>
      </c>
      <c r="J151" s="20" t="n">
        <v>0</v>
      </c>
      <c r="K151" s="20" t="n">
        <v>38</v>
      </c>
      <c r="L151" s="20" t="n">
        <v>0</v>
      </c>
      <c r="M151" s="20" t="n">
        <v>0</v>
      </c>
      <c r="N151" s="20" t="n">
        <v>0</v>
      </c>
      <c r="O151" s="20" t="n">
        <v>1</v>
      </c>
      <c r="P151" s="20" t="n">
        <v>426</v>
      </c>
      <c r="Q151" s="20" t="n">
        <v>0</v>
      </c>
      <c r="R151" s="20" t="n">
        <v>6</v>
      </c>
      <c r="S151" s="20" t="n">
        <v>432</v>
      </c>
      <c r="T151" s="20" t="n">
        <v>0</v>
      </c>
      <c r="U151" s="20">
        <f>SUM(C151:O151)-P151</f>
        <v/>
      </c>
    </row>
    <row r="152">
      <c r="A152" s="18" t="n">
        <v>147</v>
      </c>
      <c r="B152" s="19" t="inlineStr">
        <is>
          <t>Mogilipalem</t>
        </is>
      </c>
      <c r="C152" s="20" t="n">
        <v>270</v>
      </c>
      <c r="D152" s="20" t="n">
        <v>31</v>
      </c>
      <c r="E152" s="20" t="n">
        <v>3</v>
      </c>
      <c r="F152" s="20" t="n">
        <v>6</v>
      </c>
      <c r="G152" s="20" t="n">
        <v>501</v>
      </c>
      <c r="H152" s="20" t="n">
        <v>5</v>
      </c>
      <c r="I152" s="20" t="n">
        <v>3</v>
      </c>
      <c r="J152" s="20" t="n">
        <v>6</v>
      </c>
      <c r="K152" s="20" t="n">
        <v>98</v>
      </c>
      <c r="L152" s="20" t="n">
        <v>6</v>
      </c>
      <c r="M152" s="20" t="n">
        <v>3</v>
      </c>
      <c r="N152" s="20" t="n">
        <v>4</v>
      </c>
      <c r="O152" s="20" t="n">
        <v>1</v>
      </c>
      <c r="P152" s="20" t="n">
        <v>937</v>
      </c>
      <c r="Q152" s="20" t="n">
        <v>0</v>
      </c>
      <c r="R152" s="20" t="n">
        <v>22</v>
      </c>
      <c r="S152" s="20" t="n">
        <v>959</v>
      </c>
      <c r="T152" s="20" t="n">
        <v>0</v>
      </c>
      <c r="U152" s="20">
        <f>SUM(C152:O152)-P152</f>
        <v/>
      </c>
    </row>
    <row r="153">
      <c r="A153" s="18" t="n">
        <v>148</v>
      </c>
      <c r="B153" s="19" t="inlineStr">
        <is>
          <t>Ganneruvaram</t>
        </is>
      </c>
      <c r="C153" s="20" t="n">
        <v>199</v>
      </c>
      <c r="D153" s="20" t="n">
        <v>23</v>
      </c>
      <c r="E153" s="20" t="n">
        <v>0</v>
      </c>
      <c r="F153" s="20" t="n">
        <v>4</v>
      </c>
      <c r="G153" s="20" t="n">
        <v>300</v>
      </c>
      <c r="H153" s="20" t="n">
        <v>3</v>
      </c>
      <c r="I153" s="20" t="n">
        <v>1</v>
      </c>
      <c r="J153" s="20" t="n">
        <v>3</v>
      </c>
      <c r="K153" s="20" t="n">
        <v>71</v>
      </c>
      <c r="L153" s="20" t="n">
        <v>4</v>
      </c>
      <c r="M153" s="20" t="n">
        <v>3</v>
      </c>
      <c r="N153" s="20" t="n">
        <v>1</v>
      </c>
      <c r="O153" s="20" t="n">
        <v>0</v>
      </c>
      <c r="P153" s="20" t="n">
        <v>612</v>
      </c>
      <c r="Q153" s="20" t="n">
        <v>0</v>
      </c>
      <c r="R153" s="20" t="n">
        <v>8</v>
      </c>
      <c r="S153" s="20" t="n">
        <v>620</v>
      </c>
      <c r="T153" s="20" t="n">
        <v>0</v>
      </c>
      <c r="U153" s="20">
        <f>SUM(C153:O153)-P153</f>
        <v/>
      </c>
    </row>
    <row r="154">
      <c r="A154" s="18" t="n">
        <v>149</v>
      </c>
      <c r="B154" s="19" t="inlineStr">
        <is>
          <t>Ganneruvaram</t>
        </is>
      </c>
      <c r="C154" s="20" t="n">
        <v>206</v>
      </c>
      <c r="D154" s="20" t="n">
        <v>6</v>
      </c>
      <c r="E154" s="20" t="n">
        <v>2</v>
      </c>
      <c r="F154" s="20" t="n">
        <v>6</v>
      </c>
      <c r="G154" s="20" t="n">
        <v>531</v>
      </c>
      <c r="H154" s="20" t="n">
        <v>3</v>
      </c>
      <c r="I154" s="20" t="n">
        <v>1</v>
      </c>
      <c r="J154" s="20" t="n">
        <v>1</v>
      </c>
      <c r="K154" s="20" t="n">
        <v>99</v>
      </c>
      <c r="L154" s="20" t="n">
        <v>4</v>
      </c>
      <c r="M154" s="20" t="n">
        <v>0</v>
      </c>
      <c r="N154" s="20" t="n">
        <v>7</v>
      </c>
      <c r="O154" s="20" t="n">
        <v>2</v>
      </c>
      <c r="P154" s="20" t="n">
        <v>868</v>
      </c>
      <c r="Q154" s="20" t="n">
        <v>0</v>
      </c>
      <c r="R154" s="20" t="n">
        <v>10</v>
      </c>
      <c r="S154" s="20" t="n">
        <v>878</v>
      </c>
      <c r="T154" s="20" t="n">
        <v>0</v>
      </c>
      <c r="U154" s="20">
        <f>SUM(C154:O154)-P154</f>
        <v/>
      </c>
    </row>
    <row r="155">
      <c r="A155" s="18" t="n">
        <v>150</v>
      </c>
      <c r="B155" s="19" t="inlineStr">
        <is>
          <t>Ganneruvaram</t>
        </is>
      </c>
      <c r="C155" s="20" t="n">
        <v>153</v>
      </c>
      <c r="D155" s="20" t="n">
        <v>13</v>
      </c>
      <c r="E155" s="20" t="n">
        <v>1</v>
      </c>
      <c r="F155" s="20" t="n">
        <v>11</v>
      </c>
      <c r="G155" s="20" t="n">
        <v>470</v>
      </c>
      <c r="H155" s="20" t="n">
        <v>8</v>
      </c>
      <c r="I155" s="20" t="n">
        <v>2</v>
      </c>
      <c r="J155" s="20" t="n">
        <v>3</v>
      </c>
      <c r="K155" s="20" t="n">
        <v>81</v>
      </c>
      <c r="L155" s="20" t="n">
        <v>8</v>
      </c>
      <c r="M155" s="20" t="n">
        <v>3</v>
      </c>
      <c r="N155" s="20" t="n">
        <v>1</v>
      </c>
      <c r="O155" s="20" t="n">
        <v>5</v>
      </c>
      <c r="P155" s="20" t="n">
        <v>759</v>
      </c>
      <c r="Q155" s="20" t="n">
        <v>0</v>
      </c>
      <c r="R155" s="20" t="n">
        <v>8</v>
      </c>
      <c r="S155" s="20" t="n">
        <v>767</v>
      </c>
      <c r="T155" s="20" t="n">
        <v>0</v>
      </c>
      <c r="U155" s="20">
        <f>SUM(C155:O155)-P155</f>
        <v/>
      </c>
    </row>
    <row r="156">
      <c r="A156" s="18" t="n">
        <v>151</v>
      </c>
      <c r="B156" s="19" t="inlineStr">
        <is>
          <t>Ganneruvaram</t>
        </is>
      </c>
      <c r="C156" s="20" t="n">
        <v>116</v>
      </c>
      <c r="D156" s="20" t="n">
        <v>7</v>
      </c>
      <c r="E156" s="20" t="n">
        <v>2</v>
      </c>
      <c r="F156" s="20" t="n">
        <v>5</v>
      </c>
      <c r="G156" s="20" t="n">
        <v>168</v>
      </c>
      <c r="H156" s="20" t="n">
        <v>5</v>
      </c>
      <c r="I156" s="20" t="n">
        <v>0</v>
      </c>
      <c r="J156" s="20" t="n">
        <v>1</v>
      </c>
      <c r="K156" s="20" t="n">
        <v>26</v>
      </c>
      <c r="L156" s="20" t="n">
        <v>8</v>
      </c>
      <c r="M156" s="20" t="n">
        <v>1</v>
      </c>
      <c r="N156" s="20" t="n">
        <v>2</v>
      </c>
      <c r="O156" s="20" t="n">
        <v>0</v>
      </c>
      <c r="P156" s="20" t="n">
        <v>341</v>
      </c>
      <c r="Q156" s="20" t="n">
        <v>0</v>
      </c>
      <c r="R156" s="20" t="n">
        <v>7</v>
      </c>
      <c r="S156" s="20" t="n">
        <v>348</v>
      </c>
      <c r="T156" s="20" t="n">
        <v>0</v>
      </c>
      <c r="U156" s="20">
        <f>SUM(C156:O156)-P156</f>
        <v/>
      </c>
    </row>
    <row r="157">
      <c r="A157" s="18" t="n">
        <v>152</v>
      </c>
      <c r="B157" s="19" t="inlineStr">
        <is>
          <t>Chokkaraopalli
H/o Ganneruvaram</t>
        </is>
      </c>
      <c r="C157" s="20" t="n">
        <v>264</v>
      </c>
      <c r="D157" s="20" t="n">
        <v>17</v>
      </c>
      <c r="E157" s="20" t="n">
        <v>1</v>
      </c>
      <c r="F157" s="20" t="n">
        <v>4</v>
      </c>
      <c r="G157" s="20" t="n">
        <v>418</v>
      </c>
      <c r="H157" s="20" t="n">
        <v>1</v>
      </c>
      <c r="I157" s="20" t="n">
        <v>1</v>
      </c>
      <c r="J157" s="20" t="n">
        <v>1</v>
      </c>
      <c r="K157" s="20" t="n">
        <v>78</v>
      </c>
      <c r="L157" s="20" t="n">
        <v>7</v>
      </c>
      <c r="M157" s="20" t="n">
        <v>3</v>
      </c>
      <c r="N157" s="20" t="n">
        <v>2</v>
      </c>
      <c r="O157" s="20" t="n">
        <v>1</v>
      </c>
      <c r="P157" s="20" t="n">
        <v>798</v>
      </c>
      <c r="Q157" s="20" t="n">
        <v>0</v>
      </c>
      <c r="R157" s="20" t="n">
        <v>18</v>
      </c>
      <c r="S157" s="20" t="n">
        <v>816</v>
      </c>
      <c r="T157" s="20" t="n">
        <v>0</v>
      </c>
      <c r="U157" s="20">
        <f>SUM(C157:O157)-P157</f>
        <v/>
      </c>
    </row>
    <row r="158">
      <c r="A158" s="18" t="n">
        <v>153</v>
      </c>
      <c r="B158" s="19" t="inlineStr">
        <is>
          <t>Ganneruvaram</t>
        </is>
      </c>
      <c r="C158" s="20" t="n">
        <v>214</v>
      </c>
      <c r="D158" s="20" t="n">
        <v>19</v>
      </c>
      <c r="E158" s="20" t="n">
        <v>1</v>
      </c>
      <c r="F158" s="20" t="n">
        <v>3</v>
      </c>
      <c r="G158" s="20" t="n">
        <v>467</v>
      </c>
      <c r="H158" s="20" t="n">
        <v>5</v>
      </c>
      <c r="I158" s="20" t="n">
        <v>4</v>
      </c>
      <c r="J158" s="20" t="n">
        <v>2</v>
      </c>
      <c r="K158" s="20" t="n">
        <v>95</v>
      </c>
      <c r="L158" s="20" t="n">
        <v>7</v>
      </c>
      <c r="M158" s="20" t="n">
        <v>2</v>
      </c>
      <c r="N158" s="20" t="n">
        <v>6</v>
      </c>
      <c r="O158" s="20" t="n">
        <v>2</v>
      </c>
      <c r="P158" s="20" t="n">
        <v>827</v>
      </c>
      <c r="Q158" s="20" t="n">
        <v>0</v>
      </c>
      <c r="R158" s="20" t="n">
        <v>22</v>
      </c>
      <c r="S158" s="20" t="n">
        <v>849</v>
      </c>
      <c r="T158" s="20" t="n">
        <v>0</v>
      </c>
      <c r="U158" s="20">
        <f>SUM(C158:O158)-P158</f>
        <v/>
      </c>
    </row>
    <row r="159">
      <c r="A159" s="18" t="n">
        <v>154</v>
      </c>
      <c r="B159" s="19" t="inlineStr">
        <is>
          <t>Mailaram</t>
        </is>
      </c>
      <c r="C159" s="20" t="n">
        <v>147</v>
      </c>
      <c r="D159" s="20" t="n">
        <v>5</v>
      </c>
      <c r="E159" s="20" t="n">
        <v>1</v>
      </c>
      <c r="F159" s="20" t="n">
        <v>4</v>
      </c>
      <c r="G159" s="20" t="n">
        <v>492</v>
      </c>
      <c r="H159" s="20" t="n">
        <v>9</v>
      </c>
      <c r="I159" s="20" t="n">
        <v>2</v>
      </c>
      <c r="J159" s="20" t="n">
        <v>2</v>
      </c>
      <c r="K159" s="20" t="n">
        <v>106</v>
      </c>
      <c r="L159" s="20" t="n">
        <v>10</v>
      </c>
      <c r="M159" s="20" t="n">
        <v>0</v>
      </c>
      <c r="N159" s="20" t="n">
        <v>3</v>
      </c>
      <c r="O159" s="20" t="n">
        <v>8</v>
      </c>
      <c r="P159" s="20" t="n">
        <v>789</v>
      </c>
      <c r="Q159" s="20" t="n">
        <v>0</v>
      </c>
      <c r="R159" s="20" t="n">
        <v>18</v>
      </c>
      <c r="S159" s="20" t="n">
        <v>807</v>
      </c>
      <c r="T159" s="20" t="n">
        <v>0</v>
      </c>
      <c r="U159" s="20">
        <f>SUM(C159:O159)-P159</f>
        <v/>
      </c>
    </row>
    <row r="160">
      <c r="A160" s="18" t="n">
        <v>155</v>
      </c>
      <c r="B160" s="19" t="inlineStr">
        <is>
          <t>Mailaram</t>
        </is>
      </c>
      <c r="C160" s="20" t="n">
        <v>360</v>
      </c>
      <c r="D160" s="20" t="n">
        <v>123</v>
      </c>
      <c r="E160" s="20" t="n">
        <v>1</v>
      </c>
      <c r="F160" s="20" t="n">
        <v>1</v>
      </c>
      <c r="G160" s="20" t="n">
        <v>319</v>
      </c>
      <c r="H160" s="20" t="n">
        <v>2</v>
      </c>
      <c r="I160" s="20" t="n">
        <v>0</v>
      </c>
      <c r="J160" s="20" t="n">
        <v>3</v>
      </c>
      <c r="K160" s="20" t="n">
        <v>41</v>
      </c>
      <c r="L160" s="20" t="n">
        <v>0</v>
      </c>
      <c r="M160" s="20" t="n">
        <v>0</v>
      </c>
      <c r="N160" s="20" t="n">
        <v>0</v>
      </c>
      <c r="O160" s="20" t="n">
        <v>3</v>
      </c>
      <c r="P160" s="20" t="n">
        <v>853</v>
      </c>
      <c r="Q160" s="20" t="n">
        <v>0</v>
      </c>
      <c r="R160" s="20" t="n">
        <v>8</v>
      </c>
      <c r="S160" s="20" t="n">
        <v>861</v>
      </c>
      <c r="T160" s="20" t="n">
        <v>0</v>
      </c>
      <c r="U160" s="20">
        <f>SUM(C160:O160)-P160</f>
        <v/>
      </c>
    </row>
    <row r="161">
      <c r="A161" s="18" t="n">
        <v>156</v>
      </c>
      <c r="B161" s="19" t="inlineStr">
        <is>
          <t>Hanumajipalli</t>
        </is>
      </c>
      <c r="C161" s="20" t="n">
        <v>344</v>
      </c>
      <c r="D161" s="20" t="n">
        <v>1</v>
      </c>
      <c r="E161" s="20" t="n">
        <v>2</v>
      </c>
      <c r="F161" s="20" t="n">
        <v>5</v>
      </c>
      <c r="G161" s="20" t="n">
        <v>217</v>
      </c>
      <c r="H161" s="20" t="n">
        <v>2</v>
      </c>
      <c r="I161" s="20" t="n">
        <v>2</v>
      </c>
      <c r="J161" s="20" t="n">
        <v>2</v>
      </c>
      <c r="K161" s="20" t="n">
        <v>27</v>
      </c>
      <c r="L161" s="20" t="n">
        <v>2</v>
      </c>
      <c r="M161" s="20" t="n">
        <v>0</v>
      </c>
      <c r="N161" s="20" t="n">
        <v>3</v>
      </c>
      <c r="O161" s="20" t="n">
        <v>0</v>
      </c>
      <c r="P161" s="20" t="n">
        <v>607</v>
      </c>
      <c r="Q161" s="20" t="n">
        <v>0</v>
      </c>
      <c r="R161" s="20" t="n">
        <v>7</v>
      </c>
      <c r="S161" s="20" t="n">
        <v>614</v>
      </c>
      <c r="T161" s="20" t="n">
        <v>0</v>
      </c>
      <c r="U161" s="20">
        <f>SUM(C161:O161)-P161</f>
        <v/>
      </c>
    </row>
    <row r="162">
      <c r="A162" s="18" t="n">
        <v>157</v>
      </c>
      <c r="B162" s="19" t="inlineStr">
        <is>
          <t>Hanumajipalli</t>
        </is>
      </c>
      <c r="C162" s="20" t="n">
        <v>263</v>
      </c>
      <c r="D162" s="20" t="n">
        <v>13</v>
      </c>
      <c r="E162" s="20" t="n">
        <v>2</v>
      </c>
      <c r="F162" s="20" t="n">
        <v>6</v>
      </c>
      <c r="G162" s="20" t="n">
        <v>382</v>
      </c>
      <c r="H162" s="20" t="n">
        <v>3</v>
      </c>
      <c r="I162" s="20" t="n">
        <v>2</v>
      </c>
      <c r="J162" s="20" t="n">
        <v>1</v>
      </c>
      <c r="K162" s="20" t="n">
        <v>60</v>
      </c>
      <c r="L162" s="20" t="n">
        <v>5</v>
      </c>
      <c r="M162" s="20" t="n">
        <v>4</v>
      </c>
      <c r="N162" s="20" t="n">
        <v>1</v>
      </c>
      <c r="O162" s="20" t="n">
        <v>3</v>
      </c>
      <c r="P162" s="20" t="n">
        <v>745</v>
      </c>
      <c r="Q162" s="20" t="n">
        <v>0</v>
      </c>
      <c r="R162" s="20" t="n">
        <v>13</v>
      </c>
      <c r="S162" s="20" t="n">
        <v>758</v>
      </c>
      <c r="T162" s="20" t="n">
        <v>0</v>
      </c>
      <c r="U162" s="20">
        <f>SUM(C162:O162)-P162</f>
        <v/>
      </c>
    </row>
    <row r="163">
      <c r="A163" s="18" t="n">
        <v>158</v>
      </c>
      <c r="B163" s="19" t="inlineStr">
        <is>
          <t>Gopalpur</t>
        </is>
      </c>
      <c r="C163" s="20" t="n">
        <v>194</v>
      </c>
      <c r="D163" s="20" t="n">
        <v>19</v>
      </c>
      <c r="E163" s="20" t="n">
        <v>1</v>
      </c>
      <c r="F163" s="20" t="n">
        <v>6</v>
      </c>
      <c r="G163" s="20" t="n">
        <v>231</v>
      </c>
      <c r="H163" s="20" t="n">
        <v>1</v>
      </c>
      <c r="I163" s="20" t="n">
        <v>4</v>
      </c>
      <c r="J163" s="20" t="n">
        <v>1</v>
      </c>
      <c r="K163" s="20" t="n">
        <v>22</v>
      </c>
      <c r="L163" s="20" t="n">
        <v>4</v>
      </c>
      <c r="M163" s="20" t="n">
        <v>1</v>
      </c>
      <c r="N163" s="20" t="n">
        <v>1</v>
      </c>
      <c r="O163" s="20" t="n">
        <v>4</v>
      </c>
      <c r="P163" s="20" t="n">
        <v>489</v>
      </c>
      <c r="Q163" s="20" t="n">
        <v>0</v>
      </c>
      <c r="R163" s="20" t="n">
        <v>0</v>
      </c>
      <c r="S163" s="20" t="n">
        <v>489</v>
      </c>
      <c r="T163" s="20" t="n">
        <v>0</v>
      </c>
      <c r="U163" s="20">
        <f>SUM(C163:O163)-P163</f>
        <v/>
      </c>
    </row>
    <row r="164">
      <c r="A164" s="18" t="n">
        <v>159</v>
      </c>
      <c r="B164" s="19" t="inlineStr">
        <is>
          <t>Jangapalli</t>
        </is>
      </c>
      <c r="C164" s="20" t="n">
        <v>243</v>
      </c>
      <c r="D164" s="20" t="n">
        <v>13</v>
      </c>
      <c r="E164" s="20" t="n">
        <v>2</v>
      </c>
      <c r="F164" s="20" t="n">
        <v>7</v>
      </c>
      <c r="G164" s="20" t="n">
        <v>278</v>
      </c>
      <c r="H164" s="20" t="n">
        <v>2</v>
      </c>
      <c r="I164" s="20" t="n">
        <v>1</v>
      </c>
      <c r="J164" s="20" t="n">
        <v>0</v>
      </c>
      <c r="K164" s="20" t="n">
        <v>67</v>
      </c>
      <c r="L164" s="20" t="n">
        <v>6</v>
      </c>
      <c r="M164" s="20" t="n">
        <v>5</v>
      </c>
      <c r="N164" s="20" t="n">
        <v>1</v>
      </c>
      <c r="O164" s="20" t="n">
        <v>3</v>
      </c>
      <c r="P164" s="20" t="n">
        <v>628</v>
      </c>
      <c r="Q164" s="20" t="n">
        <v>0</v>
      </c>
      <c r="R164" s="20" t="n">
        <v>22</v>
      </c>
      <c r="S164" s="20" t="n">
        <v>650</v>
      </c>
      <c r="T164" s="20" t="n">
        <v>1</v>
      </c>
      <c r="U164" s="20">
        <f>SUM(C164:O164)-P164</f>
        <v/>
      </c>
    </row>
    <row r="165">
      <c r="A165" s="18" t="n">
        <v>160</v>
      </c>
      <c r="B165" s="19" t="inlineStr">
        <is>
          <t>Jangapalli</t>
        </is>
      </c>
      <c r="C165" s="20" t="n">
        <v>250</v>
      </c>
      <c r="D165" s="20" t="n">
        <v>41</v>
      </c>
      <c r="E165" s="20" t="n">
        <v>1</v>
      </c>
      <c r="F165" s="20" t="n">
        <v>10</v>
      </c>
      <c r="G165" s="20" t="n">
        <v>512</v>
      </c>
      <c r="H165" s="20" t="n">
        <v>3</v>
      </c>
      <c r="I165" s="20" t="n">
        <v>3</v>
      </c>
      <c r="J165" s="20" t="n">
        <v>0</v>
      </c>
      <c r="K165" s="20" t="n">
        <v>79</v>
      </c>
      <c r="L165" s="20" t="n">
        <v>3</v>
      </c>
      <c r="M165" s="20" t="n">
        <v>3</v>
      </c>
      <c r="N165" s="20" t="n">
        <v>4</v>
      </c>
      <c r="O165" s="20" t="n">
        <v>0</v>
      </c>
      <c r="P165" s="20" t="n">
        <v>909</v>
      </c>
      <c r="Q165" s="20" t="n">
        <v>0</v>
      </c>
      <c r="R165" s="20" t="n">
        <v>12</v>
      </c>
      <c r="S165" s="20" t="n">
        <v>921</v>
      </c>
      <c r="T165" s="20" t="n">
        <v>0</v>
      </c>
      <c r="U165" s="20">
        <f>SUM(C165:O165)-P165</f>
        <v/>
      </c>
    </row>
    <row r="166">
      <c r="A166" s="18" t="n">
        <v>161</v>
      </c>
      <c r="B166" s="19" t="inlineStr">
        <is>
          <t>Jangapalli</t>
        </is>
      </c>
      <c r="C166" s="20" t="n">
        <v>263</v>
      </c>
      <c r="D166" s="20" t="n">
        <v>41</v>
      </c>
      <c r="E166" s="20" t="n">
        <v>1</v>
      </c>
      <c r="F166" s="20" t="n">
        <v>6</v>
      </c>
      <c r="G166" s="20" t="n">
        <v>358</v>
      </c>
      <c r="H166" s="20" t="n">
        <v>5</v>
      </c>
      <c r="I166" s="20" t="n">
        <v>2</v>
      </c>
      <c r="J166" s="20" t="n">
        <v>3</v>
      </c>
      <c r="K166" s="20" t="n">
        <v>76</v>
      </c>
      <c r="L166" s="20" t="n">
        <v>5</v>
      </c>
      <c r="M166" s="20" t="n">
        <v>0</v>
      </c>
      <c r="N166" s="20" t="n">
        <v>1</v>
      </c>
      <c r="O166" s="20" t="n">
        <v>4</v>
      </c>
      <c r="P166" s="20" t="n">
        <v>765</v>
      </c>
      <c r="Q166" s="20" t="n">
        <v>0</v>
      </c>
      <c r="R166" s="20" t="n">
        <v>9</v>
      </c>
      <c r="S166" s="20" t="n">
        <v>774</v>
      </c>
      <c r="T166" s="20" t="n">
        <v>0</v>
      </c>
      <c r="U166" s="20">
        <f>SUM(C166:O166)-P166</f>
        <v/>
      </c>
    </row>
    <row r="167">
      <c r="A167" s="18" t="n">
        <v>162</v>
      </c>
      <c r="B167" s="19" t="inlineStr">
        <is>
          <t>Madhapur</t>
        </is>
      </c>
      <c r="C167" s="20" t="n">
        <v>146</v>
      </c>
      <c r="D167" s="20" t="n">
        <v>8</v>
      </c>
      <c r="E167" s="20" t="n">
        <v>2</v>
      </c>
      <c r="F167" s="20" t="n">
        <v>0</v>
      </c>
      <c r="G167" s="20" t="n">
        <v>157</v>
      </c>
      <c r="H167" s="20" t="n">
        <v>1</v>
      </c>
      <c r="I167" s="20" t="n">
        <v>1</v>
      </c>
      <c r="J167" s="20" t="n">
        <v>2</v>
      </c>
      <c r="K167" s="20" t="n">
        <v>37</v>
      </c>
      <c r="L167" s="20" t="n">
        <v>6</v>
      </c>
      <c r="M167" s="20" t="n">
        <v>1</v>
      </c>
      <c r="N167" s="20" t="n">
        <v>0</v>
      </c>
      <c r="O167" s="20" t="n">
        <v>5</v>
      </c>
      <c r="P167" s="20" t="n">
        <v>366</v>
      </c>
      <c r="Q167" s="20" t="n">
        <v>0</v>
      </c>
      <c r="R167" s="20" t="n">
        <v>10</v>
      </c>
      <c r="S167" s="20" t="n">
        <v>376</v>
      </c>
      <c r="T167" s="20" t="n">
        <v>0</v>
      </c>
      <c r="U167" s="20">
        <f>SUM(C167:O167)-P167</f>
        <v/>
      </c>
    </row>
    <row r="168">
      <c r="A168" s="18" t="n">
        <v>163</v>
      </c>
      <c r="B168" s="19" t="inlineStr">
        <is>
          <t>Khasimpeta</t>
        </is>
      </c>
      <c r="C168" s="20" t="n">
        <v>162</v>
      </c>
      <c r="D168" s="20" t="n">
        <v>19</v>
      </c>
      <c r="E168" s="20" t="n">
        <v>3</v>
      </c>
      <c r="F168" s="20" t="n">
        <v>4</v>
      </c>
      <c r="G168" s="20" t="n">
        <v>442</v>
      </c>
      <c r="H168" s="20" t="n">
        <v>2</v>
      </c>
      <c r="I168" s="20" t="n">
        <v>0</v>
      </c>
      <c r="J168" s="20" t="n">
        <v>0</v>
      </c>
      <c r="K168" s="20" t="n">
        <v>40</v>
      </c>
      <c r="L168" s="20" t="n">
        <v>0</v>
      </c>
      <c r="M168" s="20" t="n">
        <v>0</v>
      </c>
      <c r="N168" s="20" t="n">
        <v>1</v>
      </c>
      <c r="O168" s="20" t="n">
        <v>0</v>
      </c>
      <c r="P168" s="20" t="n">
        <v>673</v>
      </c>
      <c r="Q168" s="20" t="n">
        <v>0</v>
      </c>
      <c r="R168" s="20" t="n">
        <v>3</v>
      </c>
      <c r="S168" s="20" t="n">
        <v>676</v>
      </c>
      <c r="T168" s="20" t="n">
        <v>0</v>
      </c>
      <c r="U168" s="20">
        <f>SUM(C168:O168)-P168</f>
        <v/>
      </c>
    </row>
    <row r="169">
      <c r="A169" s="18" t="n">
        <v>164</v>
      </c>
      <c r="B169" s="19" t="inlineStr">
        <is>
          <t>Paruvella</t>
        </is>
      </c>
      <c r="C169" s="20" t="n">
        <v>246</v>
      </c>
      <c r="D169" s="20" t="n">
        <v>11</v>
      </c>
      <c r="E169" s="20" t="n">
        <v>0</v>
      </c>
      <c r="F169" s="20" t="n">
        <v>0</v>
      </c>
      <c r="G169" s="20" t="n">
        <v>372</v>
      </c>
      <c r="H169" s="20" t="n">
        <v>5</v>
      </c>
      <c r="I169" s="20" t="n">
        <v>5</v>
      </c>
      <c r="J169" s="20" t="n">
        <v>1</v>
      </c>
      <c r="K169" s="20" t="n">
        <v>57</v>
      </c>
      <c r="L169" s="20" t="n">
        <v>7</v>
      </c>
      <c r="M169" s="20" t="n">
        <v>6</v>
      </c>
      <c r="N169" s="20" t="n">
        <v>4</v>
      </c>
      <c r="O169" s="20" t="n">
        <v>5</v>
      </c>
      <c r="P169" s="20" t="n">
        <v>719</v>
      </c>
      <c r="Q169" s="20" t="n">
        <v>0</v>
      </c>
      <c r="R169" s="20" t="n">
        <v>15</v>
      </c>
      <c r="S169" s="20" t="n">
        <v>734</v>
      </c>
      <c r="T169" s="20" t="n">
        <v>0</v>
      </c>
      <c r="U169" s="20">
        <f>SUM(C169:O169)-P169</f>
        <v/>
      </c>
    </row>
    <row r="170">
      <c r="A170" s="18" t="n">
        <v>165</v>
      </c>
      <c r="B170" s="19" t="inlineStr">
        <is>
          <t>Vadlur</t>
        </is>
      </c>
      <c r="C170" s="20" t="n">
        <v>144</v>
      </c>
      <c r="D170" s="20" t="n">
        <v>27</v>
      </c>
      <c r="E170" s="20" t="n">
        <v>0</v>
      </c>
      <c r="F170" s="20" t="n">
        <v>0</v>
      </c>
      <c r="G170" s="20" t="n">
        <v>196</v>
      </c>
      <c r="H170" s="20" t="n">
        <v>2</v>
      </c>
      <c r="I170" s="20" t="n">
        <v>7</v>
      </c>
      <c r="J170" s="20" t="n">
        <v>2</v>
      </c>
      <c r="K170" s="20" t="n">
        <v>25</v>
      </c>
      <c r="L170" s="20" t="n">
        <v>6</v>
      </c>
      <c r="M170" s="20" t="n">
        <v>0</v>
      </c>
      <c r="N170" s="20" t="n">
        <v>1</v>
      </c>
      <c r="O170" s="20" t="n">
        <v>0</v>
      </c>
      <c r="P170" s="20" t="n">
        <v>410</v>
      </c>
      <c r="Q170" s="20" t="n">
        <v>0</v>
      </c>
      <c r="R170" s="20" t="n">
        <v>5</v>
      </c>
      <c r="S170" s="20" t="n">
        <v>415</v>
      </c>
      <c r="T170" s="20" t="n">
        <v>0</v>
      </c>
      <c r="U170" s="20">
        <f>SUM(C170:O170)-P170</f>
        <v/>
      </c>
    </row>
    <row r="171">
      <c r="A171" s="18" t="n">
        <v>166</v>
      </c>
      <c r="B171" s="19" t="inlineStr">
        <is>
          <t>Vadlur</t>
        </is>
      </c>
      <c r="C171" s="20" t="n">
        <v>290</v>
      </c>
      <c r="D171" s="20" t="n">
        <v>12</v>
      </c>
      <c r="E171" s="20" t="n">
        <v>0</v>
      </c>
      <c r="F171" s="20" t="n">
        <v>7</v>
      </c>
      <c r="G171" s="20" t="n">
        <v>223</v>
      </c>
      <c r="H171" s="20" t="n">
        <v>0</v>
      </c>
      <c r="I171" s="20" t="n">
        <v>0</v>
      </c>
      <c r="J171" s="20" t="n">
        <v>0</v>
      </c>
      <c r="K171" s="20" t="n">
        <v>38</v>
      </c>
      <c r="L171" s="20" t="n">
        <v>0</v>
      </c>
      <c r="M171" s="20" t="n">
        <v>0</v>
      </c>
      <c r="N171" s="20" t="n">
        <v>1</v>
      </c>
      <c r="O171" s="20" t="n">
        <v>0</v>
      </c>
      <c r="P171" s="20" t="n">
        <v>571</v>
      </c>
      <c r="Q171" s="20" t="n">
        <v>0</v>
      </c>
      <c r="R171" s="20" t="n">
        <v>7</v>
      </c>
      <c r="S171" s="20" t="n">
        <v>578</v>
      </c>
      <c r="T171" s="20" t="n">
        <v>0</v>
      </c>
      <c r="U171" s="20">
        <f>SUM(C171:O171)-P171</f>
        <v/>
      </c>
    </row>
    <row r="172">
      <c r="A172" s="18" t="n">
        <v>167</v>
      </c>
      <c r="B172" s="19" t="inlineStr">
        <is>
          <t>Begampeta</t>
        </is>
      </c>
      <c r="C172" s="20" t="n">
        <v>352</v>
      </c>
      <c r="D172" s="20" t="n">
        <v>23</v>
      </c>
      <c r="E172" s="20" t="n">
        <v>2</v>
      </c>
      <c r="F172" s="20" t="n">
        <v>9</v>
      </c>
      <c r="G172" s="20" t="n">
        <v>244</v>
      </c>
      <c r="H172" s="20" t="n">
        <v>2</v>
      </c>
      <c r="I172" s="20" t="n">
        <v>2</v>
      </c>
      <c r="J172" s="20" t="n">
        <v>4</v>
      </c>
      <c r="K172" s="20" t="n">
        <v>35</v>
      </c>
      <c r="L172" s="20" t="n">
        <v>2</v>
      </c>
      <c r="M172" s="20" t="n">
        <v>2</v>
      </c>
      <c r="N172" s="20" t="n">
        <v>1</v>
      </c>
      <c r="O172" s="20" t="n">
        <v>3</v>
      </c>
      <c r="P172" s="20" t="n">
        <v>681</v>
      </c>
      <c r="Q172" s="20" t="n">
        <v>0</v>
      </c>
      <c r="R172" s="20" t="n">
        <v>15</v>
      </c>
      <c r="S172" s="20" t="n">
        <v>696</v>
      </c>
      <c r="T172" s="20" t="n">
        <v>0</v>
      </c>
      <c r="U172" s="20">
        <f>SUM(C172:O172)-P172</f>
        <v/>
      </c>
    </row>
    <row r="173">
      <c r="A173" s="18" t="n">
        <v>168</v>
      </c>
      <c r="B173" s="19" t="inlineStr">
        <is>
          <t>Begampeta</t>
        </is>
      </c>
      <c r="C173" s="20" t="n">
        <v>134</v>
      </c>
      <c r="D173" s="20" t="n">
        <v>5</v>
      </c>
      <c r="E173" s="20" t="n">
        <v>4</v>
      </c>
      <c r="F173" s="20" t="n">
        <v>3</v>
      </c>
      <c r="G173" s="20" t="n">
        <v>150</v>
      </c>
      <c r="H173" s="20" t="n">
        <v>1</v>
      </c>
      <c r="I173" s="20" t="n">
        <v>0</v>
      </c>
      <c r="J173" s="20" t="n">
        <v>0</v>
      </c>
      <c r="K173" s="20" t="n">
        <v>18</v>
      </c>
      <c r="L173" s="20" t="n">
        <v>0</v>
      </c>
      <c r="M173" s="20" t="n">
        <v>1</v>
      </c>
      <c r="N173" s="20" t="n">
        <v>0</v>
      </c>
      <c r="O173" s="20" t="n">
        <v>0</v>
      </c>
      <c r="P173" s="20" t="n">
        <v>316</v>
      </c>
      <c r="Q173" s="20" t="n">
        <v>0</v>
      </c>
      <c r="R173" s="20" t="n">
        <v>3</v>
      </c>
      <c r="S173" s="20" t="n">
        <v>319</v>
      </c>
      <c r="T173" s="20" t="n">
        <v>0</v>
      </c>
      <c r="U173" s="20">
        <f>SUM(C173:O173)-P173</f>
        <v/>
      </c>
    </row>
    <row r="174">
      <c r="A174" s="18" t="n">
        <v>169</v>
      </c>
      <c r="B174" s="19" t="inlineStr">
        <is>
          <t>Kallepally</t>
        </is>
      </c>
      <c r="C174" s="20" t="n">
        <v>110</v>
      </c>
      <c r="D174" s="20" t="n">
        <v>1</v>
      </c>
      <c r="E174" s="20" t="n">
        <v>0</v>
      </c>
      <c r="F174" s="20" t="n">
        <v>5</v>
      </c>
      <c r="G174" s="20" t="n">
        <v>377</v>
      </c>
      <c r="H174" s="20" t="n">
        <v>2</v>
      </c>
      <c r="I174" s="20" t="n">
        <v>2</v>
      </c>
      <c r="J174" s="20" t="n">
        <v>3</v>
      </c>
      <c r="K174" s="20" t="n">
        <v>7</v>
      </c>
      <c r="L174" s="20" t="n">
        <v>8</v>
      </c>
      <c r="M174" s="20" t="n">
        <v>4</v>
      </c>
      <c r="N174" s="20" t="n">
        <v>1</v>
      </c>
      <c r="O174" s="20" t="n">
        <v>2</v>
      </c>
      <c r="P174" s="20" t="n">
        <v>522</v>
      </c>
      <c r="Q174" s="20" t="n">
        <v>0</v>
      </c>
      <c r="R174" s="20" t="n">
        <v>8</v>
      </c>
      <c r="S174" s="20" t="n">
        <v>530</v>
      </c>
      <c r="T174" s="20" t="n">
        <v>0</v>
      </c>
      <c r="U174" s="20">
        <f>SUM(C174:O174)-P174</f>
        <v/>
      </c>
    </row>
    <row r="175">
      <c r="A175" s="18" t="n">
        <v>170</v>
      </c>
      <c r="B175" s="19" t="inlineStr">
        <is>
          <t>Kallepally</t>
        </is>
      </c>
      <c r="C175" s="20" t="n">
        <v>84</v>
      </c>
      <c r="D175" s="20" t="n">
        <v>6</v>
      </c>
      <c r="E175" s="20" t="n">
        <v>0</v>
      </c>
      <c r="F175" s="20" t="n">
        <v>2</v>
      </c>
      <c r="G175" s="20" t="n">
        <v>194</v>
      </c>
      <c r="H175" s="20" t="n">
        <v>0</v>
      </c>
      <c r="I175" s="20" t="n">
        <v>2</v>
      </c>
      <c r="J175" s="20" t="n">
        <v>0</v>
      </c>
      <c r="K175" s="20" t="n">
        <v>32</v>
      </c>
      <c r="L175" s="20" t="n">
        <v>2</v>
      </c>
      <c r="M175" s="20" t="n">
        <v>0</v>
      </c>
      <c r="N175" s="20" t="n">
        <v>1</v>
      </c>
      <c r="O175" s="20" t="n">
        <v>0</v>
      </c>
      <c r="P175" s="20" t="n">
        <v>323</v>
      </c>
      <c r="Q175" s="20" t="n">
        <v>0</v>
      </c>
      <c r="R175" s="20" t="n">
        <v>0</v>
      </c>
      <c r="S175" s="20" t="n">
        <v>323</v>
      </c>
      <c r="T175" s="20" t="n">
        <v>0</v>
      </c>
      <c r="U175" s="20">
        <f>SUM(C175:O175)-P175</f>
        <v/>
      </c>
    </row>
    <row r="176">
      <c r="A176" s="18" t="n">
        <v>171</v>
      </c>
      <c r="B176" s="19" t="inlineStr">
        <is>
          <t>Gudem H/o Kallepalli</t>
        </is>
      </c>
      <c r="C176" s="20" t="n">
        <v>196</v>
      </c>
      <c r="D176" s="20" t="n">
        <v>21</v>
      </c>
      <c r="E176" s="20" t="n">
        <v>0</v>
      </c>
      <c r="F176" s="20" t="n">
        <v>8</v>
      </c>
      <c r="G176" s="20" t="n">
        <v>452</v>
      </c>
      <c r="H176" s="20" t="n">
        <v>8</v>
      </c>
      <c r="I176" s="20" t="n">
        <v>1</v>
      </c>
      <c r="J176" s="20" t="n">
        <v>2</v>
      </c>
      <c r="K176" s="20" t="n">
        <v>7</v>
      </c>
      <c r="L176" s="20" t="n">
        <v>9</v>
      </c>
      <c r="M176" s="20" t="n">
        <v>1</v>
      </c>
      <c r="N176" s="20" t="n">
        <v>3</v>
      </c>
      <c r="O176" s="20" t="n">
        <v>5</v>
      </c>
      <c r="P176" s="20" t="n">
        <v>713</v>
      </c>
      <c r="Q176" s="20" t="n">
        <v>0</v>
      </c>
      <c r="R176" s="20" t="n">
        <v>123</v>
      </c>
      <c r="S176" s="20" t="n">
        <v>836</v>
      </c>
      <c r="T176" s="20" t="n">
        <v>0</v>
      </c>
      <c r="U176" s="20">
        <f>SUM(C176:O176)-P176</f>
        <v/>
      </c>
    </row>
    <row r="177">
      <c r="A177" s="18" t="n">
        <v>172</v>
      </c>
      <c r="B177" s="19" t="inlineStr">
        <is>
          <t>Bejjanki</t>
        </is>
      </c>
      <c r="C177" s="20" t="n">
        <v>201</v>
      </c>
      <c r="D177" s="20" t="n">
        <v>22</v>
      </c>
      <c r="E177" s="20" t="n">
        <v>1</v>
      </c>
      <c r="F177" s="20" t="n">
        <v>8</v>
      </c>
      <c r="G177" s="20" t="n">
        <v>535</v>
      </c>
      <c r="H177" s="20" t="n">
        <v>3</v>
      </c>
      <c r="I177" s="20" t="n">
        <v>1</v>
      </c>
      <c r="J177" s="20" t="n">
        <v>1</v>
      </c>
      <c r="K177" s="20" t="n">
        <v>71</v>
      </c>
      <c r="L177" s="20" t="n">
        <v>7</v>
      </c>
      <c r="M177" s="20" t="n">
        <v>0</v>
      </c>
      <c r="N177" s="20" t="n">
        <v>20</v>
      </c>
      <c r="O177" s="20" t="n">
        <v>5</v>
      </c>
      <c r="P177" s="20" t="n">
        <v>875</v>
      </c>
      <c r="Q177" s="20" t="n">
        <v>0</v>
      </c>
      <c r="R177" s="20" t="n">
        <v>5</v>
      </c>
      <c r="S177" s="20" t="n">
        <v>880</v>
      </c>
      <c r="T177" s="20" t="n">
        <v>0</v>
      </c>
      <c r="U177" s="20">
        <f>SUM(C177:O177)-P177</f>
        <v/>
      </c>
    </row>
    <row r="178">
      <c r="A178" s="18" t="n">
        <v>173</v>
      </c>
      <c r="B178" s="19" t="inlineStr">
        <is>
          <t>Bejjanki</t>
        </is>
      </c>
      <c r="C178" s="20" t="n">
        <v>374</v>
      </c>
      <c r="D178" s="20" t="n">
        <v>28</v>
      </c>
      <c r="E178" s="20" t="n">
        <v>0</v>
      </c>
      <c r="F178" s="20" t="n">
        <v>19</v>
      </c>
      <c r="G178" s="20" t="n">
        <v>462</v>
      </c>
      <c r="H178" s="20" t="n">
        <v>3</v>
      </c>
      <c r="I178" s="20" t="n">
        <v>1</v>
      </c>
      <c r="J178" s="20" t="n">
        <v>1</v>
      </c>
      <c r="K178" s="20" t="n">
        <v>67</v>
      </c>
      <c r="L178" s="20" t="n">
        <v>5</v>
      </c>
      <c r="M178" s="20" t="n">
        <v>3</v>
      </c>
      <c r="N178" s="20" t="n">
        <v>0</v>
      </c>
      <c r="O178" s="20" t="n">
        <v>3</v>
      </c>
      <c r="P178" s="20" t="n">
        <v>966</v>
      </c>
      <c r="Q178" s="20" t="n">
        <v>0</v>
      </c>
      <c r="R178" s="20" t="n">
        <v>44</v>
      </c>
      <c r="S178" s="20" t="n">
        <v>1010</v>
      </c>
      <c r="T178" s="20" t="n">
        <v>0</v>
      </c>
      <c r="U178" s="20">
        <f>SUM(C178:O178)-P178</f>
        <v/>
      </c>
    </row>
    <row r="179">
      <c r="A179" s="18" t="n">
        <v>174</v>
      </c>
      <c r="B179" s="19" t="inlineStr">
        <is>
          <t>Bejjanki</t>
        </is>
      </c>
      <c r="C179" s="20" t="n">
        <v>342</v>
      </c>
      <c r="D179" s="20" t="n">
        <v>9</v>
      </c>
      <c r="E179" s="20" t="n">
        <v>0</v>
      </c>
      <c r="F179" s="20" t="n">
        <v>4</v>
      </c>
      <c r="G179" s="20" t="n">
        <v>517</v>
      </c>
      <c r="H179" s="20" t="n">
        <v>6</v>
      </c>
      <c r="I179" s="20" t="n">
        <v>0</v>
      </c>
      <c r="J179" s="20" t="n">
        <v>1</v>
      </c>
      <c r="K179" s="20" t="n">
        <v>78</v>
      </c>
      <c r="L179" s="20" t="n">
        <v>5</v>
      </c>
      <c r="M179" s="20" t="n">
        <v>0</v>
      </c>
      <c r="N179" s="20" t="n">
        <v>0</v>
      </c>
      <c r="O179" s="20" t="n">
        <v>0</v>
      </c>
      <c r="P179" s="20" t="n">
        <v>962</v>
      </c>
      <c r="Q179" s="20" t="n">
        <v>0</v>
      </c>
      <c r="R179" s="20" t="n">
        <v>2</v>
      </c>
      <c r="S179" s="20" t="n">
        <v>964</v>
      </c>
      <c r="T179" s="20" t="n">
        <v>0</v>
      </c>
      <c r="U179" s="20">
        <f>SUM(C179:O179)-P179</f>
        <v/>
      </c>
    </row>
    <row r="180">
      <c r="A180" s="18" t="n">
        <v>175</v>
      </c>
      <c r="B180" s="19" t="inlineStr">
        <is>
          <t>Bejjanki</t>
        </is>
      </c>
      <c r="C180" s="20" t="n">
        <v>170</v>
      </c>
      <c r="D180" s="20" t="n">
        <v>1</v>
      </c>
      <c r="E180" s="20" t="n">
        <v>1</v>
      </c>
      <c r="F180" s="20" t="n">
        <v>15</v>
      </c>
      <c r="G180" s="20" t="n">
        <v>353</v>
      </c>
      <c r="H180" s="20" t="n">
        <v>1</v>
      </c>
      <c r="I180" s="20" t="n">
        <v>0</v>
      </c>
      <c r="J180" s="20" t="n">
        <v>0</v>
      </c>
      <c r="K180" s="20" t="n">
        <v>48</v>
      </c>
      <c r="L180" s="20" t="n">
        <v>0</v>
      </c>
      <c r="M180" s="20" t="n">
        <v>2</v>
      </c>
      <c r="N180" s="20" t="n">
        <v>2</v>
      </c>
      <c r="O180" s="20" t="n">
        <v>2</v>
      </c>
      <c r="P180" s="20" t="n">
        <v>595</v>
      </c>
      <c r="Q180" s="20" t="n">
        <v>0</v>
      </c>
      <c r="R180" s="20" t="n">
        <v>5</v>
      </c>
      <c r="S180" s="20" t="n">
        <v>600</v>
      </c>
      <c r="T180" s="20" t="n">
        <v>0</v>
      </c>
      <c r="U180" s="20">
        <f>SUM(C180:O180)-P180</f>
        <v/>
      </c>
    </row>
    <row r="181">
      <c r="A181" s="18" t="n">
        <v>176</v>
      </c>
      <c r="B181" s="19" t="inlineStr">
        <is>
          <t>Bejjanki</t>
        </is>
      </c>
      <c r="C181" s="20" t="n">
        <v>141</v>
      </c>
      <c r="D181" s="20" t="n">
        <v>8</v>
      </c>
      <c r="E181" s="20" t="n">
        <v>2</v>
      </c>
      <c r="F181" s="20" t="n">
        <v>3</v>
      </c>
      <c r="G181" s="20" t="n">
        <v>381</v>
      </c>
      <c r="H181" s="20" t="n">
        <v>2</v>
      </c>
      <c r="I181" s="20" t="n">
        <v>0</v>
      </c>
      <c r="J181" s="20" t="n">
        <v>0</v>
      </c>
      <c r="K181" s="20" t="n">
        <v>54</v>
      </c>
      <c r="L181" s="20" t="n">
        <v>4</v>
      </c>
      <c r="M181" s="20" t="n">
        <v>2</v>
      </c>
      <c r="N181" s="20" t="n">
        <v>0</v>
      </c>
      <c r="O181" s="20" t="n">
        <v>2</v>
      </c>
      <c r="P181" s="20" t="n">
        <v>599</v>
      </c>
      <c r="Q181" s="20" t="n">
        <v>0</v>
      </c>
      <c r="R181" s="20" t="n">
        <v>6</v>
      </c>
      <c r="S181" s="20" t="n">
        <v>605</v>
      </c>
      <c r="T181" s="20" t="n">
        <v>0</v>
      </c>
      <c r="U181" s="20">
        <f>SUM(C181:O181)-P181</f>
        <v/>
      </c>
    </row>
    <row r="182">
      <c r="A182" s="18" t="n">
        <v>177</v>
      </c>
      <c r="B182" s="19" t="inlineStr">
        <is>
          <t>Laxmipur H/o Bejjanki</t>
        </is>
      </c>
      <c r="C182" s="20" t="n">
        <v>447</v>
      </c>
      <c r="D182" s="20" t="n">
        <v>7</v>
      </c>
      <c r="E182" s="20" t="n">
        <v>3</v>
      </c>
      <c r="F182" s="20" t="n">
        <v>1</v>
      </c>
      <c r="G182" s="20" t="n">
        <v>380</v>
      </c>
      <c r="H182" s="20" t="n">
        <v>3</v>
      </c>
      <c r="I182" s="20" t="n">
        <v>0</v>
      </c>
      <c r="J182" s="20" t="n">
        <v>1</v>
      </c>
      <c r="K182" s="20" t="n">
        <v>45</v>
      </c>
      <c r="L182" s="20" t="n">
        <v>6</v>
      </c>
      <c r="M182" s="20" t="n">
        <v>2</v>
      </c>
      <c r="N182" s="20" t="n">
        <v>0</v>
      </c>
      <c r="O182" s="20" t="n">
        <v>1</v>
      </c>
      <c r="P182" s="20" t="n">
        <v>896</v>
      </c>
      <c r="Q182" s="20" t="n">
        <v>0</v>
      </c>
      <c r="R182" s="20" t="n">
        <v>15</v>
      </c>
      <c r="S182" s="20" t="n">
        <v>911</v>
      </c>
      <c r="T182" s="20" t="n">
        <v>0</v>
      </c>
      <c r="U182" s="20">
        <f>SUM(C182:O182)-P182</f>
        <v/>
      </c>
    </row>
    <row r="183">
      <c r="A183" s="18" t="n">
        <v>178</v>
      </c>
      <c r="B183" s="19" t="inlineStr">
        <is>
          <t>Cheelapur</t>
        </is>
      </c>
      <c r="C183" s="20" t="n">
        <v>483</v>
      </c>
      <c r="D183" s="20" t="n">
        <v>7</v>
      </c>
      <c r="E183" s="20" t="n">
        <v>3</v>
      </c>
      <c r="F183" s="20" t="n">
        <v>6</v>
      </c>
      <c r="G183" s="20" t="n">
        <v>325</v>
      </c>
      <c r="H183" s="20" t="n">
        <v>1</v>
      </c>
      <c r="I183" s="20" t="n">
        <v>0</v>
      </c>
      <c r="J183" s="20" t="n">
        <v>1</v>
      </c>
      <c r="K183" s="20" t="n">
        <v>0</v>
      </c>
      <c r="L183" s="20" t="n">
        <v>3</v>
      </c>
      <c r="M183" s="20" t="n">
        <v>1</v>
      </c>
      <c r="N183" s="20" t="n">
        <v>5</v>
      </c>
      <c r="O183" s="20" t="n">
        <v>0</v>
      </c>
      <c r="P183" s="20" t="n">
        <v>835</v>
      </c>
      <c r="Q183" s="20" t="n">
        <v>0</v>
      </c>
      <c r="R183" s="20" t="n">
        <v>44</v>
      </c>
      <c r="S183" s="20" t="n">
        <v>879</v>
      </c>
      <c r="T183" s="20" t="n">
        <v>0</v>
      </c>
      <c r="U183" s="20">
        <f>SUM(C183:O183)-P183</f>
        <v/>
      </c>
    </row>
    <row r="184">
      <c r="A184" s="18" t="n">
        <v>179</v>
      </c>
      <c r="B184" s="19" t="inlineStr">
        <is>
          <t>Cheelapur</t>
        </is>
      </c>
      <c r="C184" s="20" t="n">
        <v>2</v>
      </c>
      <c r="D184" s="20" t="n">
        <v>18</v>
      </c>
      <c r="E184" s="20" t="n">
        <v>0</v>
      </c>
      <c r="F184" s="20" t="n">
        <v>16</v>
      </c>
      <c r="G184" s="20" t="n">
        <v>433</v>
      </c>
      <c r="H184" s="20" t="n">
        <v>2</v>
      </c>
      <c r="I184" s="20" t="n">
        <v>2</v>
      </c>
      <c r="J184" s="20" t="n">
        <v>0</v>
      </c>
      <c r="K184" s="20" t="n">
        <v>44</v>
      </c>
      <c r="L184" s="20" t="n">
        <v>0</v>
      </c>
      <c r="M184" s="20" t="n">
        <v>2</v>
      </c>
      <c r="N184" s="20" t="n">
        <v>0</v>
      </c>
      <c r="O184" s="20" t="n">
        <v>0</v>
      </c>
      <c r="P184" s="20" t="n">
        <v>519</v>
      </c>
      <c r="Q184" s="20" t="n">
        <v>0</v>
      </c>
      <c r="R184" s="20" t="n">
        <v>12</v>
      </c>
      <c r="S184" s="20" t="n">
        <v>531</v>
      </c>
      <c r="T184" s="20" t="n">
        <v>0</v>
      </c>
      <c r="U184" s="20">
        <f>SUM(C184:O184)-P184</f>
        <v/>
      </c>
    </row>
    <row r="185">
      <c r="A185" s="18" t="n">
        <v>180</v>
      </c>
      <c r="B185" s="19" t="inlineStr">
        <is>
          <t>Regulapally</t>
        </is>
      </c>
      <c r="C185" s="20" t="n">
        <v>303</v>
      </c>
      <c r="D185" s="20" t="n">
        <v>7</v>
      </c>
      <c r="E185" s="20" t="n">
        <v>2</v>
      </c>
      <c r="F185" s="20" t="n">
        <v>4</v>
      </c>
      <c r="G185" s="20" t="n">
        <v>237</v>
      </c>
      <c r="H185" s="20" t="n">
        <v>2</v>
      </c>
      <c r="I185" s="20" t="n">
        <v>1</v>
      </c>
      <c r="J185" s="20" t="n">
        <v>3</v>
      </c>
      <c r="K185" s="20" t="n">
        <v>0</v>
      </c>
      <c r="L185" s="20" t="n">
        <v>0</v>
      </c>
      <c r="M185" s="20" t="n">
        <v>4</v>
      </c>
      <c r="N185" s="20" t="n">
        <v>0</v>
      </c>
      <c r="O185" s="20" t="n">
        <v>0</v>
      </c>
      <c r="P185" s="20" t="n">
        <v>563</v>
      </c>
      <c r="Q185" s="20" t="n">
        <v>0</v>
      </c>
      <c r="R185" s="20" t="n">
        <v>9</v>
      </c>
      <c r="S185" s="20" t="n">
        <v>572</v>
      </c>
      <c r="T185" s="20" t="n">
        <v>0</v>
      </c>
      <c r="U185" s="20">
        <f>SUM(C185:O185)-P185</f>
        <v/>
      </c>
    </row>
    <row r="186">
      <c r="A186" s="18" t="n">
        <v>181</v>
      </c>
      <c r="B186" s="19" t="inlineStr">
        <is>
          <t>Regulapally</t>
        </is>
      </c>
      <c r="C186" s="20" t="n">
        <v>289</v>
      </c>
      <c r="D186" s="20" t="n">
        <v>7</v>
      </c>
      <c r="E186" s="20" t="n">
        <v>0</v>
      </c>
      <c r="F186" s="20" t="n">
        <v>7</v>
      </c>
      <c r="G186" s="20" t="n">
        <v>385</v>
      </c>
      <c r="H186" s="20" t="n">
        <v>2</v>
      </c>
      <c r="I186" s="20" t="n">
        <v>1</v>
      </c>
      <c r="J186" s="20" t="n">
        <v>3</v>
      </c>
      <c r="K186" s="20" t="n">
        <v>60</v>
      </c>
      <c r="L186" s="20" t="n">
        <v>6</v>
      </c>
      <c r="M186" s="20" t="n">
        <v>0</v>
      </c>
      <c r="N186" s="20" t="n">
        <v>0</v>
      </c>
      <c r="O186" s="20" t="n">
        <v>0</v>
      </c>
      <c r="P186" s="20" t="n">
        <v>760</v>
      </c>
      <c r="Q186" s="20" t="n">
        <v>0</v>
      </c>
      <c r="R186" s="20" t="n">
        <v>12</v>
      </c>
      <c r="S186" s="20" t="n">
        <v>772</v>
      </c>
      <c r="T186" s="20" t="n">
        <v>0</v>
      </c>
      <c r="U186" s="20">
        <f>SUM(C186:O186)-P186</f>
        <v/>
      </c>
    </row>
    <row r="187">
      <c r="A187" s="18" t="n">
        <v>182</v>
      </c>
      <c r="B187" s="19" t="inlineStr">
        <is>
          <t>Potharam</t>
        </is>
      </c>
      <c r="C187" s="20" t="n">
        <v>292</v>
      </c>
      <c r="D187" s="20" t="n">
        <v>16</v>
      </c>
      <c r="E187" s="20" t="n">
        <v>0</v>
      </c>
      <c r="F187" s="20" t="n">
        <v>7</v>
      </c>
      <c r="G187" s="20" t="n">
        <v>368</v>
      </c>
      <c r="H187" s="20" t="n">
        <v>4</v>
      </c>
      <c r="I187" s="20" t="n">
        <v>0</v>
      </c>
      <c r="J187" s="20" t="n">
        <v>2</v>
      </c>
      <c r="K187" s="20" t="n">
        <v>56</v>
      </c>
      <c r="L187" s="20" t="n">
        <v>3</v>
      </c>
      <c r="M187" s="20" t="n">
        <v>1</v>
      </c>
      <c r="N187" s="20" t="n">
        <v>0</v>
      </c>
      <c r="O187" s="20" t="n">
        <v>1</v>
      </c>
      <c r="P187" s="20" t="n">
        <v>750</v>
      </c>
      <c r="Q187" s="20" t="n">
        <v>0</v>
      </c>
      <c r="R187" s="20" t="n">
        <v>10</v>
      </c>
      <c r="S187" s="20" t="n">
        <v>760</v>
      </c>
      <c r="T187" s="20" t="n">
        <v>0</v>
      </c>
      <c r="U187" s="20">
        <f>SUM(C187:O187)-P187</f>
        <v/>
      </c>
    </row>
    <row r="188">
      <c r="A188" s="18" t="n">
        <v>183</v>
      </c>
      <c r="B188" s="19" t="inlineStr">
        <is>
          <t>Muthannapeta</t>
        </is>
      </c>
      <c r="C188" s="20" t="n">
        <v>196</v>
      </c>
      <c r="D188" s="20" t="n">
        <v>20</v>
      </c>
      <c r="E188" s="20" t="n">
        <v>0</v>
      </c>
      <c r="F188" s="20" t="n">
        <v>4</v>
      </c>
      <c r="G188" s="20" t="n">
        <v>246</v>
      </c>
      <c r="H188" s="20" t="n">
        <v>1</v>
      </c>
      <c r="I188" s="20" t="n">
        <v>2</v>
      </c>
      <c r="J188" s="20" t="n">
        <v>1</v>
      </c>
      <c r="K188" s="20" t="n">
        <v>41</v>
      </c>
      <c r="L188" s="20" t="n">
        <v>4</v>
      </c>
      <c r="M188" s="20" t="n">
        <v>4</v>
      </c>
      <c r="N188" s="20" t="n">
        <v>3</v>
      </c>
      <c r="O188" s="20" t="n">
        <v>3</v>
      </c>
      <c r="P188" s="20" t="n">
        <v>525</v>
      </c>
      <c r="Q188" s="20" t="n">
        <v>0</v>
      </c>
      <c r="R188" s="20" t="n">
        <v>12</v>
      </c>
      <c r="S188" s="20" t="n">
        <v>537</v>
      </c>
      <c r="T188" s="20" t="n">
        <v>0</v>
      </c>
      <c r="U188" s="20">
        <f>SUM(C188:O188)-P188</f>
        <v/>
      </c>
    </row>
    <row r="189">
      <c r="A189" s="18" t="n">
        <v>184</v>
      </c>
      <c r="B189" s="19" t="inlineStr">
        <is>
          <t>Dacharam</t>
        </is>
      </c>
      <c r="C189" s="20" t="n">
        <v>409</v>
      </c>
      <c r="D189" s="20" t="n">
        <v>10</v>
      </c>
      <c r="E189" s="20" t="n">
        <v>1</v>
      </c>
      <c r="F189" s="20" t="n">
        <v>35</v>
      </c>
      <c r="G189" s="20" t="n">
        <v>348</v>
      </c>
      <c r="H189" s="20" t="n">
        <v>5</v>
      </c>
      <c r="I189" s="20" t="n">
        <v>3</v>
      </c>
      <c r="J189" s="20" t="n">
        <v>0</v>
      </c>
      <c r="K189" s="20" t="n">
        <v>37</v>
      </c>
      <c r="L189" s="20" t="n">
        <v>6</v>
      </c>
      <c r="M189" s="20" t="n">
        <v>2</v>
      </c>
      <c r="N189" s="20" t="n">
        <v>2</v>
      </c>
      <c r="O189" s="20" t="n">
        <v>3</v>
      </c>
      <c r="P189" s="20" t="n">
        <v>861</v>
      </c>
      <c r="Q189" s="20" t="n">
        <v>0</v>
      </c>
      <c r="R189" s="20" t="n">
        <v>13</v>
      </c>
      <c r="S189" s="20" t="n">
        <v>874</v>
      </c>
      <c r="T189" s="20" t="n">
        <v>0</v>
      </c>
      <c r="U189" s="20">
        <f>SUM(C189:O189)-P189</f>
        <v/>
      </c>
    </row>
    <row r="190">
      <c r="A190" s="18" t="n">
        <v>185</v>
      </c>
      <c r="B190" s="19" t="inlineStr">
        <is>
          <t>Dacharam</t>
        </is>
      </c>
      <c r="C190" s="20" t="n">
        <v>199</v>
      </c>
      <c r="D190" s="20" t="n">
        <v>10</v>
      </c>
      <c r="E190" s="20" t="n">
        <v>0</v>
      </c>
      <c r="F190" s="20" t="n">
        <v>1</v>
      </c>
      <c r="G190" s="20" t="n">
        <v>277</v>
      </c>
      <c r="H190" s="20" t="n">
        <v>2</v>
      </c>
      <c r="I190" s="20" t="n">
        <v>2</v>
      </c>
      <c r="J190" s="20" t="n">
        <v>0</v>
      </c>
      <c r="K190" s="20" t="n">
        <v>32</v>
      </c>
      <c r="L190" s="20" t="n">
        <v>0</v>
      </c>
      <c r="M190" s="20" t="n">
        <v>0</v>
      </c>
      <c r="N190" s="20" t="n">
        <v>3</v>
      </c>
      <c r="O190" s="20" t="n">
        <v>2</v>
      </c>
      <c r="P190" s="20" t="n">
        <v>528</v>
      </c>
      <c r="Q190" s="20" t="n">
        <v>0</v>
      </c>
      <c r="R190" s="20" t="n">
        <v>9</v>
      </c>
      <c r="S190" s="20" t="n">
        <v>537</v>
      </c>
      <c r="T190" s="20" t="n">
        <v>0</v>
      </c>
      <c r="U190" s="20">
        <f>SUM(C190:O190)-P190</f>
        <v/>
      </c>
    </row>
    <row r="191">
      <c r="A191" s="18" t="n">
        <v>186</v>
      </c>
      <c r="B191" s="19" t="inlineStr">
        <is>
          <t>Thotapalli</t>
        </is>
      </c>
      <c r="C191" s="20" t="n">
        <v>241</v>
      </c>
      <c r="D191" s="20" t="n">
        <v>5</v>
      </c>
      <c r="E191" s="20" t="n">
        <v>1</v>
      </c>
      <c r="F191" s="20" t="n">
        <v>4</v>
      </c>
      <c r="G191" s="20" t="n">
        <v>334</v>
      </c>
      <c r="H191" s="20" t="n">
        <v>4</v>
      </c>
      <c r="I191" s="20" t="n">
        <v>4</v>
      </c>
      <c r="J191" s="20" t="n">
        <v>2</v>
      </c>
      <c r="K191" s="20" t="n">
        <v>7</v>
      </c>
      <c r="L191" s="20" t="n">
        <v>10</v>
      </c>
      <c r="M191" s="20" t="n">
        <v>1</v>
      </c>
      <c r="N191" s="20" t="n">
        <v>7</v>
      </c>
      <c r="O191" s="20" t="n">
        <v>2</v>
      </c>
      <c r="P191" s="20" t="n">
        <v>622</v>
      </c>
      <c r="Q191" s="20" t="n">
        <v>0</v>
      </c>
      <c r="R191" s="20" t="n">
        <v>8</v>
      </c>
      <c r="S191" s="20" t="n">
        <v>630</v>
      </c>
      <c r="T191" s="20" t="n">
        <v>0</v>
      </c>
      <c r="U191" s="20">
        <f>SUM(C191:O191)-P191</f>
        <v/>
      </c>
    </row>
    <row r="192">
      <c r="A192" s="18" t="n">
        <v>187</v>
      </c>
      <c r="B192" s="19" t="inlineStr">
        <is>
          <t>Thotapalli</t>
        </is>
      </c>
      <c r="C192" s="20" t="n">
        <v>267</v>
      </c>
      <c r="D192" s="20" t="n">
        <v>4</v>
      </c>
      <c r="E192" s="20" t="n">
        <v>1</v>
      </c>
      <c r="F192" s="20" t="n">
        <v>2</v>
      </c>
      <c r="G192" s="20" t="n">
        <v>213</v>
      </c>
      <c r="H192" s="20" t="n">
        <v>2</v>
      </c>
      <c r="I192" s="20" t="n">
        <v>0</v>
      </c>
      <c r="J192" s="20" t="n">
        <v>2</v>
      </c>
      <c r="K192" s="20" t="n">
        <v>32</v>
      </c>
      <c r="L192" s="20" t="n">
        <v>3</v>
      </c>
      <c r="M192" s="20" t="n">
        <v>2</v>
      </c>
      <c r="N192" s="20" t="n">
        <v>1</v>
      </c>
      <c r="O192" s="20" t="n">
        <v>0</v>
      </c>
      <c r="P192" s="20" t="n">
        <v>529</v>
      </c>
      <c r="Q192" s="20" t="n">
        <v>0</v>
      </c>
      <c r="R192" s="20" t="n">
        <v>1</v>
      </c>
      <c r="S192" s="20" t="n">
        <v>530</v>
      </c>
      <c r="T192" s="20" t="n">
        <v>0</v>
      </c>
      <c r="U192" s="20">
        <f>SUM(C192:O192)-P192</f>
        <v/>
      </c>
    </row>
    <row r="193">
      <c r="A193" s="18" t="n">
        <v>188</v>
      </c>
      <c r="B193" s="19" t="inlineStr">
        <is>
          <t>Thotapalli</t>
        </is>
      </c>
      <c r="C193" s="20" t="n">
        <v>305</v>
      </c>
      <c r="D193" s="20" t="n">
        <v>4</v>
      </c>
      <c r="E193" s="20" t="n">
        <v>0</v>
      </c>
      <c r="F193" s="20" t="n">
        <v>7</v>
      </c>
      <c r="G193" s="20" t="n">
        <v>230</v>
      </c>
      <c r="H193" s="20" t="n">
        <v>2</v>
      </c>
      <c r="I193" s="20" t="n">
        <v>0</v>
      </c>
      <c r="J193" s="20" t="n">
        <v>1</v>
      </c>
      <c r="K193" s="20" t="n">
        <v>28</v>
      </c>
      <c r="L193" s="20" t="n">
        <v>2</v>
      </c>
      <c r="M193" s="20" t="n">
        <v>1</v>
      </c>
      <c r="N193" s="20" t="n">
        <v>0</v>
      </c>
      <c r="O193" s="20" t="n">
        <v>1</v>
      </c>
      <c r="P193" s="20" t="n">
        <v>581</v>
      </c>
      <c r="Q193" s="20" t="n">
        <v>0</v>
      </c>
      <c r="R193" s="20" t="n">
        <v>6</v>
      </c>
      <c r="S193" s="20" t="n">
        <v>587</v>
      </c>
      <c r="T193" s="20" t="n">
        <v>0</v>
      </c>
      <c r="U193" s="20">
        <f>SUM(C193:O193)-P193</f>
        <v/>
      </c>
    </row>
    <row r="194">
      <c r="A194" s="18" t="n">
        <v>189</v>
      </c>
      <c r="B194" s="19" t="inlineStr">
        <is>
          <t>Veerapaur</t>
        </is>
      </c>
      <c r="C194" s="20" t="n">
        <v>159</v>
      </c>
      <c r="D194" s="20" t="n">
        <v>4</v>
      </c>
      <c r="E194" s="20" t="n">
        <v>1</v>
      </c>
      <c r="F194" s="20" t="n">
        <v>55</v>
      </c>
      <c r="G194" s="20" t="n">
        <v>198</v>
      </c>
      <c r="H194" s="20" t="n">
        <v>2</v>
      </c>
      <c r="I194" s="20" t="n">
        <v>0</v>
      </c>
      <c r="J194" s="20" t="n">
        <v>0</v>
      </c>
      <c r="K194" s="20" t="n">
        <v>23</v>
      </c>
      <c r="L194" s="20" t="n">
        <v>1</v>
      </c>
      <c r="M194" s="20" t="n">
        <v>0</v>
      </c>
      <c r="N194" s="20" t="n">
        <v>1</v>
      </c>
      <c r="O194" s="20" t="n">
        <v>0</v>
      </c>
      <c r="P194" s="20" t="n">
        <v>444</v>
      </c>
      <c r="Q194" s="20" t="n">
        <v>0</v>
      </c>
      <c r="R194" s="20" t="n">
        <v>6</v>
      </c>
      <c r="S194" s="20" t="n">
        <v>450</v>
      </c>
      <c r="T194" s="20" t="n">
        <v>0</v>
      </c>
      <c r="U194" s="20">
        <f>SUM(C194:O194)-P194</f>
        <v/>
      </c>
    </row>
    <row r="195">
      <c r="A195" s="18" t="n">
        <v>190</v>
      </c>
      <c r="B195" s="19" t="inlineStr">
        <is>
          <t>Gunukula Kondapur</t>
        </is>
      </c>
      <c r="C195" s="20" t="n">
        <v>142</v>
      </c>
      <c r="D195" s="20" t="n">
        <v>4</v>
      </c>
      <c r="E195" s="20" t="n">
        <v>0</v>
      </c>
      <c r="F195" s="20" t="n">
        <v>2</v>
      </c>
      <c r="G195" s="20" t="n">
        <v>255</v>
      </c>
      <c r="H195" s="20" t="n">
        <v>0</v>
      </c>
      <c r="I195" s="20" t="n">
        <v>1</v>
      </c>
      <c r="J195" s="20" t="n">
        <v>1</v>
      </c>
      <c r="K195" s="20" t="n">
        <v>26</v>
      </c>
      <c r="L195" s="20" t="n">
        <v>0</v>
      </c>
      <c r="M195" s="20" t="n">
        <v>1</v>
      </c>
      <c r="N195" s="20" t="n">
        <v>0</v>
      </c>
      <c r="O195" s="20" t="n">
        <v>0</v>
      </c>
      <c r="P195" s="20" t="n">
        <v>432</v>
      </c>
      <c r="Q195" s="20" t="n">
        <v>0</v>
      </c>
      <c r="R195" s="20" t="n">
        <v>3</v>
      </c>
      <c r="S195" s="20" t="n">
        <v>435</v>
      </c>
      <c r="T195" s="20" t="n">
        <v>0</v>
      </c>
      <c r="U195" s="20">
        <f>SUM(C195:O195)-P195</f>
        <v/>
      </c>
    </row>
    <row r="196">
      <c r="A196" s="18" t="n">
        <v>191</v>
      </c>
      <c r="B196" s="19" t="inlineStr">
        <is>
          <t>Gunukula Kondapur</t>
        </is>
      </c>
      <c r="C196" s="20" t="n">
        <v>290</v>
      </c>
      <c r="D196" s="20" t="n">
        <v>0</v>
      </c>
      <c r="E196" s="20" t="n">
        <v>0</v>
      </c>
      <c r="F196" s="20" t="n">
        <v>8</v>
      </c>
      <c r="G196" s="20" t="n">
        <v>569</v>
      </c>
      <c r="H196" s="20" t="n">
        <v>2</v>
      </c>
      <c r="I196" s="20" t="n">
        <v>5</v>
      </c>
      <c r="J196" s="20" t="n">
        <v>2</v>
      </c>
      <c r="K196" s="20" t="n">
        <v>16</v>
      </c>
      <c r="L196" s="20" t="n">
        <v>0</v>
      </c>
      <c r="M196" s="20" t="n">
        <v>1</v>
      </c>
      <c r="N196" s="20" t="n">
        <v>0</v>
      </c>
      <c r="O196" s="20" t="n">
        <v>1</v>
      </c>
      <c r="P196" s="20" t="n">
        <v>894</v>
      </c>
      <c r="Q196" s="20" t="n">
        <v>0</v>
      </c>
      <c r="R196" s="20" t="n">
        <v>1</v>
      </c>
      <c r="S196" s="20" t="n">
        <v>895</v>
      </c>
      <c r="T196" s="20" t="n">
        <v>0</v>
      </c>
      <c r="U196" s="20">
        <f>SUM(C196:O196)-P196</f>
        <v/>
      </c>
    </row>
    <row r="197">
      <c r="A197" s="18" t="n">
        <v>192</v>
      </c>
      <c r="B197" s="19" t="inlineStr">
        <is>
          <t>Gundlapally</t>
        </is>
      </c>
      <c r="C197" s="20" t="n">
        <v>115</v>
      </c>
      <c r="D197" s="20" t="n">
        <v>2</v>
      </c>
      <c r="E197" s="20" t="n">
        <v>0</v>
      </c>
      <c r="F197" s="20" t="n">
        <v>4</v>
      </c>
      <c r="G197" s="20" t="n">
        <v>307</v>
      </c>
      <c r="H197" s="20" t="n">
        <v>1</v>
      </c>
      <c r="I197" s="20" t="n">
        <v>0</v>
      </c>
      <c r="J197" s="20" t="n">
        <v>2</v>
      </c>
      <c r="K197" s="20" t="n">
        <v>37</v>
      </c>
      <c r="L197" s="20" t="n">
        <v>5</v>
      </c>
      <c r="M197" s="20" t="n">
        <v>1</v>
      </c>
      <c r="N197" s="20" t="n">
        <v>2</v>
      </c>
      <c r="O197" s="20" t="n">
        <v>1</v>
      </c>
      <c r="P197" s="20" t="n">
        <v>477</v>
      </c>
      <c r="Q197" s="20" t="n">
        <v>0</v>
      </c>
      <c r="R197" s="20" t="n">
        <v>10</v>
      </c>
      <c r="S197" s="20" t="n">
        <v>487</v>
      </c>
      <c r="T197" s="20" t="n">
        <v>0</v>
      </c>
      <c r="U197" s="20">
        <f>SUM(C197:O197)-P197</f>
        <v/>
      </c>
    </row>
    <row r="198">
      <c r="A198" s="18" t="n">
        <v>193</v>
      </c>
      <c r="B198" s="19" t="inlineStr">
        <is>
          <t>Cheemalakuntapalli</t>
        </is>
      </c>
      <c r="C198" s="20" t="n">
        <v>171</v>
      </c>
      <c r="D198" s="20" t="n">
        <v>4</v>
      </c>
      <c r="E198" s="20" t="n">
        <v>0</v>
      </c>
      <c r="F198" s="20" t="n">
        <v>12</v>
      </c>
      <c r="G198" s="20" t="n">
        <v>147</v>
      </c>
      <c r="H198" s="20" t="n">
        <v>4</v>
      </c>
      <c r="I198" s="20" t="n">
        <v>0</v>
      </c>
      <c r="J198" s="20" t="n">
        <v>0</v>
      </c>
      <c r="K198" s="20" t="n">
        <v>7</v>
      </c>
      <c r="L198" s="20" t="n">
        <v>2</v>
      </c>
      <c r="M198" s="20" t="n">
        <v>1</v>
      </c>
      <c r="N198" s="20" t="n">
        <v>0</v>
      </c>
      <c r="O198" s="20" t="n">
        <v>1</v>
      </c>
      <c r="P198" s="20" t="n">
        <v>349</v>
      </c>
      <c r="Q198" s="20" t="n">
        <v>0</v>
      </c>
      <c r="R198" s="20" t="n">
        <v>6</v>
      </c>
      <c r="S198" s="20" t="n">
        <v>355</v>
      </c>
      <c r="T198" s="20" t="n">
        <v>0</v>
      </c>
      <c r="U198" s="20">
        <f>SUM(C198:O198)-P198</f>
        <v/>
      </c>
    </row>
    <row r="199">
      <c r="A199" s="18" t="n">
        <v>194</v>
      </c>
      <c r="B199" s="19" t="inlineStr">
        <is>
          <t>Devakkapalli</t>
        </is>
      </c>
      <c r="C199" s="20" t="n">
        <v>414</v>
      </c>
      <c r="D199" s="20" t="n">
        <v>16</v>
      </c>
      <c r="E199" s="20" t="n">
        <v>2</v>
      </c>
      <c r="F199" s="20" t="n">
        <v>4</v>
      </c>
      <c r="G199" s="20" t="n">
        <v>362</v>
      </c>
      <c r="H199" s="20" t="n">
        <v>0</v>
      </c>
      <c r="I199" s="20" t="n">
        <v>1</v>
      </c>
      <c r="J199" s="20" t="n">
        <v>3</v>
      </c>
      <c r="K199" s="20" t="n">
        <v>34</v>
      </c>
      <c r="L199" s="20" t="n">
        <v>1</v>
      </c>
      <c r="M199" s="20" t="n">
        <v>0</v>
      </c>
      <c r="N199" s="20" t="n">
        <v>1</v>
      </c>
      <c r="O199" s="20" t="n">
        <v>1</v>
      </c>
      <c r="P199" s="20" t="n">
        <v>839</v>
      </c>
      <c r="Q199" s="20" t="n">
        <v>0</v>
      </c>
      <c r="R199" s="20" t="n">
        <v>4</v>
      </c>
      <c r="S199" s="20" t="n">
        <v>843</v>
      </c>
      <c r="T199" s="20" t="n">
        <v>0</v>
      </c>
      <c r="U199" s="20">
        <f>SUM(C199:O199)-P199</f>
        <v/>
      </c>
    </row>
    <row r="200">
      <c r="A200" s="18" t="n">
        <v>195</v>
      </c>
      <c r="B200" s="19" t="inlineStr">
        <is>
          <t>Gagillapur</t>
        </is>
      </c>
      <c r="C200" s="20" t="n">
        <v>263</v>
      </c>
      <c r="D200" s="20" t="n">
        <v>22</v>
      </c>
      <c r="E200" s="20" t="n">
        <v>4</v>
      </c>
      <c r="F200" s="20" t="n">
        <v>16</v>
      </c>
      <c r="G200" s="20" t="n">
        <v>345</v>
      </c>
      <c r="H200" s="20" t="n">
        <v>0</v>
      </c>
      <c r="I200" s="20" t="n">
        <v>0</v>
      </c>
      <c r="J200" s="20" t="n">
        <v>4</v>
      </c>
      <c r="K200" s="20" t="n">
        <v>56</v>
      </c>
      <c r="L200" s="20" t="n">
        <v>0</v>
      </c>
      <c r="M200" s="20" t="n">
        <v>1</v>
      </c>
      <c r="N200" s="20" t="n">
        <v>4</v>
      </c>
      <c r="O200" s="20" t="n">
        <v>3</v>
      </c>
      <c r="P200" s="20" t="n">
        <v>718</v>
      </c>
      <c r="Q200" s="20" t="n">
        <v>0</v>
      </c>
      <c r="R200" s="20" t="n">
        <v>10</v>
      </c>
      <c r="S200" s="20" t="n">
        <v>728</v>
      </c>
      <c r="T200" s="20" t="n">
        <v>0</v>
      </c>
      <c r="U200" s="20">
        <f>SUM(C200:O200)-P200</f>
        <v/>
      </c>
    </row>
    <row r="201">
      <c r="A201" s="18" t="n">
        <v>196</v>
      </c>
      <c r="B201" s="19" t="inlineStr">
        <is>
          <t>Gagillapur</t>
        </is>
      </c>
      <c r="C201" s="20" t="n">
        <v>235</v>
      </c>
      <c r="D201" s="20" t="n">
        <v>28</v>
      </c>
      <c r="E201" s="20" t="n">
        <v>0</v>
      </c>
      <c r="F201" s="20" t="n">
        <v>4</v>
      </c>
      <c r="G201" s="20" t="n">
        <v>351</v>
      </c>
      <c r="H201" s="20" t="n">
        <v>3</v>
      </c>
      <c r="I201" s="20" t="n">
        <v>0</v>
      </c>
      <c r="J201" s="20" t="n">
        <v>0</v>
      </c>
      <c r="K201" s="20" t="n">
        <v>86</v>
      </c>
      <c r="L201" s="20" t="n">
        <v>0</v>
      </c>
      <c r="M201" s="20" t="n">
        <v>0</v>
      </c>
      <c r="N201" s="20" t="n">
        <v>2</v>
      </c>
      <c r="O201" s="20" t="n">
        <v>2</v>
      </c>
      <c r="P201" s="20" t="n">
        <v>711</v>
      </c>
      <c r="Q201" s="20" t="n">
        <v>0</v>
      </c>
      <c r="R201" s="20" t="n">
        <v>40</v>
      </c>
      <c r="S201" s="20" t="n">
        <v>751</v>
      </c>
      <c r="T201" s="20" t="n">
        <v>0</v>
      </c>
      <c r="U201" s="20">
        <f>SUM(C201:O201)-P201</f>
        <v/>
      </c>
    </row>
    <row r="202">
      <c r="A202" s="18" t="n">
        <v>197</v>
      </c>
      <c r="B202" s="19" t="inlineStr">
        <is>
          <t>Guggilla</t>
        </is>
      </c>
      <c r="C202" s="20" t="n">
        <v>74</v>
      </c>
      <c r="D202" s="20" t="n">
        <v>6</v>
      </c>
      <c r="E202" s="20" t="n">
        <v>0</v>
      </c>
      <c r="F202" s="20" t="n">
        <v>3</v>
      </c>
      <c r="G202" s="20" t="n">
        <v>318</v>
      </c>
      <c r="H202" s="20" t="n">
        <v>1</v>
      </c>
      <c r="I202" s="20" t="n">
        <v>0</v>
      </c>
      <c r="J202" s="20" t="n">
        <v>4</v>
      </c>
      <c r="K202" s="20" t="n">
        <v>41</v>
      </c>
      <c r="L202" s="20" t="n">
        <v>12</v>
      </c>
      <c r="M202" s="20" t="n">
        <v>0</v>
      </c>
      <c r="N202" s="20" t="n">
        <v>0</v>
      </c>
      <c r="O202" s="20" t="n">
        <v>5</v>
      </c>
      <c r="P202" s="20" t="n">
        <v>464</v>
      </c>
      <c r="Q202" s="20" t="n">
        <v>0</v>
      </c>
      <c r="R202" s="20" t="n">
        <v>9</v>
      </c>
      <c r="S202" s="20" t="n">
        <v>473</v>
      </c>
      <c r="T202" s="20" t="n">
        <v>0</v>
      </c>
      <c r="U202" s="20">
        <f>SUM(C202:O202)-P202</f>
        <v/>
      </c>
    </row>
    <row r="203">
      <c r="A203" s="18" t="n">
        <v>198</v>
      </c>
      <c r="B203" s="19" t="inlineStr">
        <is>
          <t>Guggilla</t>
        </is>
      </c>
      <c r="C203" s="20" t="n">
        <v>91</v>
      </c>
      <c r="D203" s="20" t="n">
        <v>15</v>
      </c>
      <c r="E203" s="20" t="n">
        <v>1</v>
      </c>
      <c r="F203" s="20" t="n">
        <v>8</v>
      </c>
      <c r="G203" s="20" t="n">
        <v>354</v>
      </c>
      <c r="H203" s="20" t="n">
        <v>0</v>
      </c>
      <c r="I203" s="20" t="n">
        <v>2</v>
      </c>
      <c r="J203" s="20" t="n">
        <v>0</v>
      </c>
      <c r="K203" s="20" t="n">
        <v>53</v>
      </c>
      <c r="L203" s="20" t="n">
        <v>6</v>
      </c>
      <c r="M203" s="20" t="n">
        <v>4</v>
      </c>
      <c r="N203" s="20" t="n">
        <v>0</v>
      </c>
      <c r="O203" s="20" t="n">
        <v>1</v>
      </c>
      <c r="P203" s="20" t="n">
        <v>535</v>
      </c>
      <c r="Q203" s="20" t="n">
        <v>0</v>
      </c>
      <c r="R203" s="20" t="n">
        <v>3</v>
      </c>
      <c r="S203" s="20" t="n">
        <v>538</v>
      </c>
      <c r="T203" s="20" t="n">
        <v>0</v>
      </c>
      <c r="U203" s="20">
        <f>SUM(C203:O203)-P203</f>
        <v/>
      </c>
    </row>
    <row r="204">
      <c r="A204" s="18" t="n">
        <v>199</v>
      </c>
      <c r="B204" s="19" t="inlineStr">
        <is>
          <t>Oblapur</t>
        </is>
      </c>
      <c r="C204" s="20" t="n">
        <v>128</v>
      </c>
      <c r="D204" s="20" t="n">
        <v>1</v>
      </c>
      <c r="E204" s="20" t="n">
        <v>0</v>
      </c>
      <c r="F204" s="20" t="n">
        <v>9</v>
      </c>
      <c r="G204" s="20" t="n">
        <v>275</v>
      </c>
      <c r="H204" s="20" t="n">
        <v>3</v>
      </c>
      <c r="I204" s="20" t="n">
        <v>0</v>
      </c>
      <c r="J204" s="20" t="n">
        <v>2</v>
      </c>
      <c r="K204" s="20" t="n">
        <v>27</v>
      </c>
      <c r="L204" s="20" t="n">
        <v>6</v>
      </c>
      <c r="M204" s="20" t="n">
        <v>0</v>
      </c>
      <c r="N204" s="20" t="n">
        <v>0</v>
      </c>
      <c r="O204" s="20" t="n">
        <v>1</v>
      </c>
      <c r="P204" s="20" t="n">
        <v>452</v>
      </c>
      <c r="Q204" s="20" t="n">
        <v>0</v>
      </c>
      <c r="R204" s="20" t="n">
        <v>7</v>
      </c>
      <c r="S204" s="20" t="n">
        <v>459</v>
      </c>
      <c r="T204" s="20" t="n">
        <v>0</v>
      </c>
      <c r="U204" s="20">
        <f>SUM(C204:O204)-P204</f>
        <v/>
      </c>
    </row>
    <row r="205">
      <c r="A205" s="18" t="n">
        <v>200</v>
      </c>
      <c r="B205" s="19" t="inlineStr">
        <is>
          <t>Oblapur</t>
        </is>
      </c>
      <c r="C205" s="20" t="n">
        <v>176</v>
      </c>
      <c r="D205" s="20" t="n">
        <v>5</v>
      </c>
      <c r="E205" s="20" t="n">
        <v>0</v>
      </c>
      <c r="F205" s="20" t="n">
        <v>8</v>
      </c>
      <c r="G205" s="20" t="n">
        <v>354</v>
      </c>
      <c r="H205" s="20" t="n">
        <v>3</v>
      </c>
      <c r="I205" s="20" t="n">
        <v>0</v>
      </c>
      <c r="J205" s="20" t="n">
        <v>2</v>
      </c>
      <c r="K205" s="20" t="n">
        <v>30</v>
      </c>
      <c r="L205" s="20" t="n">
        <v>2</v>
      </c>
      <c r="M205" s="20" t="n">
        <v>1</v>
      </c>
      <c r="N205" s="20" t="n">
        <v>1</v>
      </c>
      <c r="O205" s="20" t="n">
        <v>1</v>
      </c>
      <c r="P205" s="20" t="n">
        <v>583</v>
      </c>
      <c r="Q205" s="20" t="n">
        <v>0</v>
      </c>
      <c r="R205" s="20" t="n">
        <v>2</v>
      </c>
      <c r="S205" s="20" t="n">
        <v>585</v>
      </c>
      <c r="T205" s="20" t="n">
        <v>0</v>
      </c>
      <c r="U205" s="20">
        <f>SUM(C205:O205)-P205</f>
        <v/>
      </c>
    </row>
    <row r="206">
      <c r="A206" s="18" t="n">
        <v>201</v>
      </c>
      <c r="B206" s="19" t="inlineStr">
        <is>
          <t>Vallampatla</t>
        </is>
      </c>
      <c r="C206" s="20" t="n">
        <v>289</v>
      </c>
      <c r="D206" s="20" t="n">
        <v>42</v>
      </c>
      <c r="E206" s="20" t="n">
        <v>4</v>
      </c>
      <c r="F206" s="20" t="n">
        <v>2</v>
      </c>
      <c r="G206" s="20" t="n">
        <v>481</v>
      </c>
      <c r="H206" s="20" t="n">
        <v>2</v>
      </c>
      <c r="I206" s="20" t="n">
        <v>0</v>
      </c>
      <c r="J206" s="20" t="n">
        <v>0</v>
      </c>
      <c r="K206" s="20" t="n">
        <v>40</v>
      </c>
      <c r="L206" s="20" t="n">
        <v>4</v>
      </c>
      <c r="M206" s="20" t="n">
        <v>2</v>
      </c>
      <c r="N206" s="20" t="n">
        <v>1</v>
      </c>
      <c r="O206" s="20" t="n">
        <v>2</v>
      </c>
      <c r="P206" s="20" t="n">
        <v>869</v>
      </c>
      <c r="Q206" s="20" t="n">
        <v>0</v>
      </c>
      <c r="R206" s="20" t="n">
        <v>4</v>
      </c>
      <c r="S206" s="20" t="n">
        <v>873</v>
      </c>
      <c r="T206" s="20" t="n">
        <v>0</v>
      </c>
      <c r="U206" s="20">
        <f>SUM(C206:O206)-P206</f>
        <v/>
      </c>
    </row>
    <row r="207">
      <c r="A207" s="18" t="n">
        <v>202</v>
      </c>
      <c r="B207" s="19" t="inlineStr">
        <is>
          <t>Vallampatla</t>
        </is>
      </c>
      <c r="C207" s="20" t="n">
        <v>117</v>
      </c>
      <c r="D207" s="20" t="n">
        <v>25</v>
      </c>
      <c r="E207" s="20" t="n">
        <v>0</v>
      </c>
      <c r="F207" s="20" t="n">
        <v>3</v>
      </c>
      <c r="G207" s="20" t="n">
        <v>173</v>
      </c>
      <c r="H207" s="20" t="n">
        <v>0</v>
      </c>
      <c r="I207" s="20" t="n">
        <v>0</v>
      </c>
      <c r="J207" s="20" t="n">
        <v>2</v>
      </c>
      <c r="K207" s="20" t="n">
        <v>33</v>
      </c>
      <c r="L207" s="20" t="n">
        <v>0</v>
      </c>
      <c r="M207" s="20" t="n">
        <v>2</v>
      </c>
      <c r="N207" s="20" t="n">
        <v>1</v>
      </c>
      <c r="O207" s="20" t="n">
        <v>0</v>
      </c>
      <c r="P207" s="20" t="n">
        <v>356</v>
      </c>
      <c r="Q207" s="20" t="n">
        <v>0</v>
      </c>
      <c r="R207" s="20" t="n">
        <v>12</v>
      </c>
      <c r="S207" s="20" t="n">
        <v>368</v>
      </c>
      <c r="T207" s="20" t="n">
        <v>0</v>
      </c>
      <c r="U207" s="20">
        <f>SUM(C207:O207)-P207</f>
        <v/>
      </c>
    </row>
    <row r="208">
      <c r="A208" s="18" t="n">
        <v>203</v>
      </c>
      <c r="B208" s="19" t="inlineStr">
        <is>
          <t>Kandikatkur</t>
        </is>
      </c>
      <c r="C208" s="20" t="n">
        <v>170</v>
      </c>
      <c r="D208" s="20" t="n">
        <v>10</v>
      </c>
      <c r="E208" s="20" t="n">
        <v>0</v>
      </c>
      <c r="F208" s="20" t="n">
        <v>2</v>
      </c>
      <c r="G208" s="20" t="n">
        <v>337</v>
      </c>
      <c r="H208" s="20" t="n">
        <v>2</v>
      </c>
      <c r="I208" s="20" t="n">
        <v>2</v>
      </c>
      <c r="J208" s="20" t="n">
        <v>2</v>
      </c>
      <c r="K208" s="20" t="n">
        <v>36</v>
      </c>
      <c r="L208" s="20" t="n">
        <v>4</v>
      </c>
      <c r="M208" s="20" t="n">
        <v>0</v>
      </c>
      <c r="N208" s="20" t="n">
        <v>1</v>
      </c>
      <c r="O208" s="20" t="n">
        <v>0</v>
      </c>
      <c r="P208" s="20" t="n">
        <v>566</v>
      </c>
      <c r="Q208" s="20" t="n">
        <v>0</v>
      </c>
      <c r="R208" s="20" t="n">
        <v>0</v>
      </c>
      <c r="S208" s="20" t="n">
        <v>566</v>
      </c>
      <c r="T208" s="20" t="n">
        <v>0</v>
      </c>
      <c r="U208" s="20">
        <f>SUM(C208:O208)-P208</f>
        <v/>
      </c>
    </row>
    <row r="209">
      <c r="A209" s="18" t="n">
        <v>204</v>
      </c>
      <c r="B209" s="19" t="inlineStr">
        <is>
          <t>Kandikatkur</t>
        </is>
      </c>
      <c r="C209" s="20" t="n">
        <v>183</v>
      </c>
      <c r="D209" s="20" t="n">
        <v>4</v>
      </c>
      <c r="E209" s="20" t="n">
        <v>0</v>
      </c>
      <c r="F209" s="20" t="n">
        <v>2</v>
      </c>
      <c r="G209" s="20" t="n">
        <v>291</v>
      </c>
      <c r="H209" s="20" t="n">
        <v>1</v>
      </c>
      <c r="I209" s="20" t="n">
        <v>1</v>
      </c>
      <c r="J209" s="20" t="n">
        <v>0</v>
      </c>
      <c r="K209" s="20" t="n">
        <v>25</v>
      </c>
      <c r="L209" s="20" t="n">
        <v>1</v>
      </c>
      <c r="M209" s="20" t="n">
        <v>0</v>
      </c>
      <c r="N209" s="20" t="n">
        <v>0</v>
      </c>
      <c r="O209" s="20" t="n">
        <v>1</v>
      </c>
      <c r="P209" s="20" t="n">
        <v>509</v>
      </c>
      <c r="Q209" s="20" t="n">
        <v>0</v>
      </c>
      <c r="R209" s="20" t="n">
        <v>8</v>
      </c>
      <c r="S209" s="20" t="n">
        <v>517</v>
      </c>
      <c r="T209" s="20" t="n">
        <v>0</v>
      </c>
      <c r="U209" s="20">
        <f>SUM(C209:O209)-P209</f>
        <v/>
      </c>
    </row>
    <row r="210">
      <c r="A210" s="18" t="n">
        <v>205</v>
      </c>
      <c r="B210" s="19" t="inlineStr">
        <is>
          <t>Rangampet
H/o Kandikatkur</t>
        </is>
      </c>
      <c r="C210" s="20" t="n">
        <v>272</v>
      </c>
      <c r="D210" s="20" t="n">
        <v>46</v>
      </c>
      <c r="E210" s="20" t="n">
        <v>3</v>
      </c>
      <c r="F210" s="20" t="n">
        <v>9</v>
      </c>
      <c r="G210" s="20" t="n">
        <v>302</v>
      </c>
      <c r="H210" s="20" t="n">
        <v>0</v>
      </c>
      <c r="I210" s="20" t="n">
        <v>1</v>
      </c>
      <c r="J210" s="20" t="n">
        <v>0</v>
      </c>
      <c r="K210" s="20" t="n">
        <v>81</v>
      </c>
      <c r="L210" s="20" t="n">
        <v>3</v>
      </c>
      <c r="M210" s="20" t="n">
        <v>0</v>
      </c>
      <c r="N210" s="20" t="n">
        <v>5</v>
      </c>
      <c r="O210" s="20" t="n">
        <v>5</v>
      </c>
      <c r="P210" s="20" t="n">
        <v>727</v>
      </c>
      <c r="Q210" s="20" t="n">
        <v>0</v>
      </c>
      <c r="R210" s="20" t="n">
        <v>19</v>
      </c>
      <c r="S210" s="20" t="n">
        <v>746</v>
      </c>
      <c r="T210" s="20" t="n">
        <v>0</v>
      </c>
      <c r="U210" s="20">
        <f>SUM(C210:O210)-P210</f>
        <v/>
      </c>
    </row>
    <row r="211">
      <c r="A211" s="18" t="n">
        <v>206</v>
      </c>
      <c r="B211" s="19" t="inlineStr">
        <is>
          <t>Vanthadpula</t>
        </is>
      </c>
      <c r="C211" s="20" t="n">
        <v>236</v>
      </c>
      <c r="D211" s="20" t="n">
        <v>30</v>
      </c>
      <c r="E211" s="20" t="n">
        <v>1</v>
      </c>
      <c r="F211" s="20" t="n">
        <v>9</v>
      </c>
      <c r="G211" s="20" t="n">
        <v>364</v>
      </c>
      <c r="H211" s="20" t="n">
        <v>8</v>
      </c>
      <c r="I211" s="20" t="n">
        <v>2</v>
      </c>
      <c r="J211" s="20" t="n">
        <v>4</v>
      </c>
      <c r="K211" s="20" t="n">
        <v>56</v>
      </c>
      <c r="L211" s="20" t="n">
        <v>3</v>
      </c>
      <c r="M211" s="20" t="n">
        <v>0</v>
      </c>
      <c r="N211" s="20" t="n">
        <v>0</v>
      </c>
      <c r="O211" s="20" t="n">
        <v>0</v>
      </c>
      <c r="P211" s="20" t="n">
        <v>713</v>
      </c>
      <c r="Q211" s="20" t="n">
        <v>0</v>
      </c>
      <c r="R211" s="20" t="n">
        <v>4</v>
      </c>
      <c r="S211" s="20" t="n">
        <v>717</v>
      </c>
      <c r="T211" s="20" t="n">
        <v>0</v>
      </c>
      <c r="U211" s="20">
        <f>SUM(C211:O211)-P211</f>
        <v/>
      </c>
    </row>
    <row r="212">
      <c r="A212" s="18" t="n">
        <v>207</v>
      </c>
      <c r="B212" s="19" t="inlineStr">
        <is>
          <t>Vanthadpula</t>
        </is>
      </c>
      <c r="C212" s="20" t="n">
        <v>188</v>
      </c>
      <c r="D212" s="20" t="n">
        <v>5</v>
      </c>
      <c r="E212" s="20" t="n">
        <v>1</v>
      </c>
      <c r="F212" s="20" t="n">
        <v>22</v>
      </c>
      <c r="G212" s="20" t="n">
        <v>311</v>
      </c>
      <c r="H212" s="20" t="n">
        <v>3</v>
      </c>
      <c r="I212" s="20" t="n">
        <v>0</v>
      </c>
      <c r="J212" s="20" t="n">
        <v>5</v>
      </c>
      <c r="K212" s="20" t="n">
        <v>50</v>
      </c>
      <c r="L212" s="20" t="n">
        <v>3</v>
      </c>
      <c r="M212" s="20" t="n">
        <v>0</v>
      </c>
      <c r="N212" s="20" t="n">
        <v>1</v>
      </c>
      <c r="O212" s="20" t="n">
        <v>1</v>
      </c>
      <c r="P212" s="20" t="n">
        <v>590</v>
      </c>
      <c r="Q212" s="20" t="n">
        <v>0</v>
      </c>
      <c r="R212" s="20" t="n">
        <v>4</v>
      </c>
      <c r="S212" s="20" t="n">
        <v>594</v>
      </c>
      <c r="T212" s="20" t="n">
        <v>0</v>
      </c>
      <c r="U212" s="20">
        <f>SUM(C212:O212)-P212</f>
        <v/>
      </c>
    </row>
    <row r="213">
      <c r="A213" s="18" t="n">
        <v>208</v>
      </c>
      <c r="B213" s="19" t="inlineStr">
        <is>
          <t>Pothur</t>
        </is>
      </c>
      <c r="C213" s="20" t="n">
        <v>144</v>
      </c>
      <c r="D213" s="20" t="n">
        <v>15</v>
      </c>
      <c r="E213" s="20" t="n">
        <v>0</v>
      </c>
      <c r="F213" s="20" t="n">
        <v>3</v>
      </c>
      <c r="G213" s="20" t="n">
        <v>299</v>
      </c>
      <c r="H213" s="20" t="n">
        <v>2</v>
      </c>
      <c r="I213" s="20" t="n">
        <v>1</v>
      </c>
      <c r="J213" s="20" t="n">
        <v>2</v>
      </c>
      <c r="K213" s="20" t="n">
        <v>41</v>
      </c>
      <c r="L213" s="20" t="n">
        <v>5</v>
      </c>
      <c r="M213" s="20" t="n">
        <v>0</v>
      </c>
      <c r="N213" s="20" t="n">
        <v>0</v>
      </c>
      <c r="O213" s="20" t="n">
        <v>1</v>
      </c>
      <c r="P213" s="20" t="n">
        <v>513</v>
      </c>
      <c r="Q213" s="20" t="n">
        <v>0</v>
      </c>
      <c r="R213" s="20" t="n">
        <v>8</v>
      </c>
      <c r="S213" s="20" t="n">
        <v>521</v>
      </c>
      <c r="T213" s="20" t="n">
        <v>0</v>
      </c>
      <c r="U213" s="20">
        <f>SUM(C213:O213)-P213</f>
        <v/>
      </c>
    </row>
    <row r="214">
      <c r="A214" s="18" t="n">
        <v>209</v>
      </c>
      <c r="B214" s="19" t="inlineStr">
        <is>
          <t>Pothur</t>
        </is>
      </c>
      <c r="C214" s="20" t="n">
        <v>183</v>
      </c>
      <c r="D214" s="20" t="n">
        <v>9</v>
      </c>
      <c r="E214" s="20" t="n">
        <v>4</v>
      </c>
      <c r="F214" s="20" t="n">
        <v>58</v>
      </c>
      <c r="G214" s="20" t="n">
        <v>465</v>
      </c>
      <c r="H214" s="20" t="n">
        <v>7</v>
      </c>
      <c r="I214" s="20" t="n">
        <v>1</v>
      </c>
      <c r="J214" s="20" t="n">
        <v>0</v>
      </c>
      <c r="K214" s="20" t="n">
        <v>87</v>
      </c>
      <c r="L214" s="20" t="n">
        <v>2</v>
      </c>
      <c r="M214" s="20" t="n">
        <v>12</v>
      </c>
      <c r="N214" s="20" t="n">
        <v>0</v>
      </c>
      <c r="O214" s="20" t="n">
        <v>2</v>
      </c>
      <c r="P214" s="20" t="n">
        <v>830</v>
      </c>
      <c r="Q214" s="20" t="n">
        <v>0</v>
      </c>
      <c r="R214" s="20" t="n">
        <v>4</v>
      </c>
      <c r="S214" s="20" t="n">
        <v>834</v>
      </c>
      <c r="T214" s="20" t="n">
        <v>0</v>
      </c>
      <c r="U214" s="20">
        <f>SUM(C214:O214)-P214</f>
        <v/>
      </c>
    </row>
    <row r="215">
      <c r="A215" s="18" t="n">
        <v>210</v>
      </c>
      <c r="B215" s="19" t="inlineStr">
        <is>
          <t>Narsakkapet</t>
        </is>
      </c>
      <c r="C215" s="20" t="n">
        <v>177</v>
      </c>
      <c r="D215" s="20" t="n">
        <v>6</v>
      </c>
      <c r="E215" s="20" t="n">
        <v>4</v>
      </c>
      <c r="F215" s="20" t="n">
        <v>14</v>
      </c>
      <c r="G215" s="20" t="n">
        <v>510</v>
      </c>
      <c r="H215" s="20" t="n">
        <v>0</v>
      </c>
      <c r="I215" s="20" t="n">
        <v>2</v>
      </c>
      <c r="J215" s="20" t="n">
        <v>2</v>
      </c>
      <c r="K215" s="20" t="n">
        <v>85</v>
      </c>
      <c r="L215" s="20" t="n">
        <v>7</v>
      </c>
      <c r="M215" s="20" t="n">
        <v>0</v>
      </c>
      <c r="N215" s="20" t="n">
        <v>2</v>
      </c>
      <c r="O215" s="20" t="n">
        <v>4</v>
      </c>
      <c r="P215" s="20" t="n">
        <v>813</v>
      </c>
      <c r="Q215" s="20" t="n">
        <v>0</v>
      </c>
      <c r="R215" s="20" t="n">
        <v>6</v>
      </c>
      <c r="S215" s="20" t="n">
        <v>819</v>
      </c>
      <c r="T215" s="20" t="n">
        <v>0</v>
      </c>
      <c r="U215" s="20">
        <f>SUM(C215:O215)-P215</f>
        <v/>
      </c>
    </row>
    <row r="216">
      <c r="A216" s="18" t="n">
        <v>211</v>
      </c>
      <c r="B216" s="19" t="inlineStr">
        <is>
          <t>Jawaripet</t>
        </is>
      </c>
      <c r="C216" s="20" t="n">
        <v>1</v>
      </c>
      <c r="D216" s="20" t="n">
        <v>5</v>
      </c>
      <c r="E216" s="20" t="n">
        <v>0</v>
      </c>
      <c r="F216" s="20" t="n">
        <v>6</v>
      </c>
      <c r="G216" s="20" t="n">
        <v>306</v>
      </c>
      <c r="H216" s="20" t="n">
        <v>5</v>
      </c>
      <c r="I216" s="20" t="n">
        <v>1</v>
      </c>
      <c r="J216" s="20" t="n">
        <v>0</v>
      </c>
      <c r="K216" s="20" t="n">
        <v>53</v>
      </c>
      <c r="L216" s="20" t="n">
        <v>4</v>
      </c>
      <c r="M216" s="20" t="n">
        <v>1</v>
      </c>
      <c r="N216" s="20" t="n">
        <v>0</v>
      </c>
      <c r="O216" s="20" t="n">
        <v>1</v>
      </c>
      <c r="P216" s="20" t="n">
        <v>383</v>
      </c>
      <c r="Q216" s="20" t="n">
        <v>0</v>
      </c>
      <c r="R216" s="20" t="n">
        <v>6</v>
      </c>
      <c r="S216" s="20" t="n">
        <v>389</v>
      </c>
      <c r="T216" s="20" t="n">
        <v>0</v>
      </c>
      <c r="U216" s="20">
        <f>SUM(C216:O216)-P216</f>
        <v/>
      </c>
    </row>
    <row r="217">
      <c r="A217" s="18" t="n">
        <v>212</v>
      </c>
      <c r="B217" s="19" t="inlineStr">
        <is>
          <t>Galipelli</t>
        </is>
      </c>
      <c r="C217" s="20" t="n">
        <v>233</v>
      </c>
      <c r="D217" s="20" t="n">
        <v>8</v>
      </c>
      <c r="E217" s="20" t="n">
        <v>1</v>
      </c>
      <c r="F217" s="20" t="n">
        <v>7</v>
      </c>
      <c r="G217" s="20" t="n">
        <v>435</v>
      </c>
      <c r="H217" s="20" t="n">
        <v>2</v>
      </c>
      <c r="I217" s="20" t="n">
        <v>1</v>
      </c>
      <c r="J217" s="20" t="n">
        <v>0</v>
      </c>
      <c r="K217" s="20" t="n">
        <v>99</v>
      </c>
      <c r="L217" s="20" t="n">
        <v>8</v>
      </c>
      <c r="M217" s="20" t="n">
        <v>3</v>
      </c>
      <c r="N217" s="20" t="n">
        <v>6</v>
      </c>
      <c r="O217" s="20" t="n">
        <v>3</v>
      </c>
      <c r="P217" s="20" t="n">
        <v>806</v>
      </c>
      <c r="Q217" s="20" t="n">
        <v>0</v>
      </c>
      <c r="R217" s="20" t="n">
        <v>1</v>
      </c>
      <c r="S217" s="20" t="n">
        <v>807</v>
      </c>
      <c r="T217" s="20" t="n">
        <v>0</v>
      </c>
      <c r="U217" s="20">
        <f>SUM(C217:O217)-P217</f>
        <v/>
      </c>
    </row>
    <row r="218">
      <c r="A218" s="18" t="n">
        <v>213</v>
      </c>
      <c r="B218" s="19" t="inlineStr">
        <is>
          <t>Galipelli</t>
        </is>
      </c>
      <c r="C218" s="20" t="n">
        <v>261</v>
      </c>
      <c r="D218" s="20" t="n">
        <v>35</v>
      </c>
      <c r="E218" s="20" t="n">
        <v>2</v>
      </c>
      <c r="F218" s="20" t="n">
        <v>7</v>
      </c>
      <c r="G218" s="20" t="n">
        <v>460</v>
      </c>
      <c r="H218" s="20" t="n">
        <v>6</v>
      </c>
      <c r="I218" s="20" t="n">
        <v>2</v>
      </c>
      <c r="J218" s="20" t="n">
        <v>7</v>
      </c>
      <c r="K218" s="20" t="n">
        <v>100</v>
      </c>
      <c r="L218" s="20" t="n">
        <v>5</v>
      </c>
      <c r="M218" s="20" t="n">
        <v>3</v>
      </c>
      <c r="N218" s="20" t="n">
        <v>5</v>
      </c>
      <c r="O218" s="20" t="n">
        <v>2</v>
      </c>
      <c r="P218" s="20" t="n">
        <v>895</v>
      </c>
      <c r="Q218" s="20" t="n">
        <v>0</v>
      </c>
      <c r="R218" s="20" t="n">
        <v>20</v>
      </c>
      <c r="S218" s="20" t="n">
        <v>915</v>
      </c>
      <c r="T218" s="20" t="n">
        <v>0</v>
      </c>
      <c r="U218" s="20">
        <f>SUM(C218:O218)-P218</f>
        <v/>
      </c>
    </row>
    <row r="219">
      <c r="A219" s="18" t="n">
        <v>214</v>
      </c>
      <c r="B219" s="19" t="inlineStr">
        <is>
          <t>Galipelli</t>
        </is>
      </c>
      <c r="C219" s="20" t="n">
        <v>236</v>
      </c>
      <c r="D219" s="20" t="n">
        <v>16</v>
      </c>
      <c r="E219" s="20" t="n">
        <v>0</v>
      </c>
      <c r="F219" s="20" t="n">
        <v>8</v>
      </c>
      <c r="G219" s="20" t="n">
        <v>529</v>
      </c>
      <c r="H219" s="20" t="n">
        <v>7</v>
      </c>
      <c r="I219" s="20" t="n">
        <v>2</v>
      </c>
      <c r="J219" s="20" t="n">
        <v>2</v>
      </c>
      <c r="K219" s="20" t="n">
        <v>89</v>
      </c>
      <c r="L219" s="20" t="n">
        <v>4</v>
      </c>
      <c r="M219" s="20" t="n">
        <v>5</v>
      </c>
      <c r="N219" s="20" t="n">
        <v>2</v>
      </c>
      <c r="O219" s="20" t="n">
        <v>6</v>
      </c>
      <c r="P219" s="20" t="n">
        <v>906</v>
      </c>
      <c r="Q219" s="20" t="n">
        <v>0</v>
      </c>
      <c r="R219" s="20" t="n">
        <v>16</v>
      </c>
      <c r="S219" s="20" t="n">
        <v>922</v>
      </c>
      <c r="T219" s="20" t="n">
        <v>0</v>
      </c>
      <c r="U219" s="20">
        <f>SUM(C219:O219)-P219</f>
        <v/>
      </c>
    </row>
    <row r="220">
      <c r="A220" s="18" t="n">
        <v>215</v>
      </c>
      <c r="B220" s="19" t="inlineStr">
        <is>
          <t>Thallapalli</t>
        </is>
      </c>
      <c r="C220" s="20" t="n">
        <v>195</v>
      </c>
      <c r="D220" s="20" t="n">
        <v>19</v>
      </c>
      <c r="E220" s="20" t="n">
        <v>1</v>
      </c>
      <c r="F220" s="20" t="n">
        <v>0</v>
      </c>
      <c r="G220" s="20" t="n">
        <v>441</v>
      </c>
      <c r="H220" s="20" t="n">
        <v>5</v>
      </c>
      <c r="I220" s="20" t="n">
        <v>0</v>
      </c>
      <c r="J220" s="20" t="n">
        <v>4</v>
      </c>
      <c r="K220" s="20" t="n">
        <v>86</v>
      </c>
      <c r="L220" s="20" t="n">
        <v>4</v>
      </c>
      <c r="M220" s="20" t="n">
        <v>4</v>
      </c>
      <c r="N220" s="20" t="n">
        <v>2</v>
      </c>
      <c r="O220" s="20" t="n">
        <v>2</v>
      </c>
      <c r="P220" s="20" t="n">
        <v>763</v>
      </c>
      <c r="Q220" s="20" t="n">
        <v>0</v>
      </c>
      <c r="R220" s="20" t="n">
        <v>14</v>
      </c>
      <c r="S220" s="20" t="n">
        <v>777</v>
      </c>
      <c r="T220" s="20" t="n">
        <v>0</v>
      </c>
      <c r="U220" s="20">
        <f>SUM(C220:O220)-P220</f>
        <v/>
      </c>
    </row>
    <row r="221">
      <c r="A221" s="18" t="n">
        <v>216</v>
      </c>
      <c r="B221" s="19" t="inlineStr">
        <is>
          <t>Thallapalli</t>
        </is>
      </c>
      <c r="C221" s="20" t="n">
        <v>274</v>
      </c>
      <c r="D221" s="20" t="n">
        <v>26</v>
      </c>
      <c r="E221" s="20" t="n">
        <v>4</v>
      </c>
      <c r="F221" s="20" t="n">
        <v>11</v>
      </c>
      <c r="G221" s="20" t="n">
        <v>444</v>
      </c>
      <c r="H221" s="20" t="n">
        <v>3</v>
      </c>
      <c r="I221" s="20" t="n">
        <v>1</v>
      </c>
      <c r="J221" s="20" t="n">
        <v>6</v>
      </c>
      <c r="K221" s="20" t="n">
        <v>91</v>
      </c>
      <c r="L221" s="20" t="n">
        <v>0</v>
      </c>
      <c r="M221" s="20" t="n">
        <v>4</v>
      </c>
      <c r="N221" s="20" t="n">
        <v>4</v>
      </c>
      <c r="O221" s="20" t="n">
        <v>4</v>
      </c>
      <c r="P221" s="20" t="n">
        <v>872</v>
      </c>
      <c r="Q221" s="20" t="n">
        <v>0</v>
      </c>
      <c r="R221" s="20" t="n">
        <v>21</v>
      </c>
      <c r="S221" s="20" t="n">
        <v>893</v>
      </c>
      <c r="T221" s="20" t="n">
        <v>0</v>
      </c>
      <c r="U221" s="20">
        <f>SUM(C221:O221)-P221</f>
        <v/>
      </c>
    </row>
    <row r="222">
      <c r="A222" s="18" t="n">
        <v>217</v>
      </c>
      <c r="B222" s="19" t="inlineStr">
        <is>
          <t>Muskanipet</t>
        </is>
      </c>
      <c r="C222" s="20" t="n">
        <v>43</v>
      </c>
      <c r="D222" s="20" t="n">
        <v>4</v>
      </c>
      <c r="E222" s="20" t="n">
        <v>1</v>
      </c>
      <c r="F222" s="20" t="n">
        <v>3</v>
      </c>
      <c r="G222" s="20" t="n">
        <v>226</v>
      </c>
      <c r="H222" s="20" t="n">
        <v>0</v>
      </c>
      <c r="I222" s="20" t="n">
        <v>1</v>
      </c>
      <c r="J222" s="20" t="n">
        <v>4</v>
      </c>
      <c r="K222" s="20" t="n">
        <v>41</v>
      </c>
      <c r="L222" s="20" t="n">
        <v>0</v>
      </c>
      <c r="M222" s="20" t="n">
        <v>0</v>
      </c>
      <c r="N222" s="20" t="n">
        <v>0</v>
      </c>
      <c r="O222" s="20" t="n">
        <v>0</v>
      </c>
      <c r="P222" s="20" t="n">
        <v>323</v>
      </c>
      <c r="Q222" s="20" t="n">
        <v>0</v>
      </c>
      <c r="R222" s="20" t="n">
        <v>3</v>
      </c>
      <c r="S222" s="20" t="n">
        <v>326</v>
      </c>
      <c r="T222" s="20" t="n">
        <v>0</v>
      </c>
      <c r="U222" s="20">
        <f>SUM(C222:O222)-P222</f>
        <v/>
      </c>
    </row>
    <row r="223">
      <c r="A223" s="18" t="n">
        <v>218</v>
      </c>
      <c r="B223" s="19" t="inlineStr">
        <is>
          <t>Muskanipet</t>
        </is>
      </c>
      <c r="C223" s="20" t="n">
        <v>110</v>
      </c>
      <c r="D223" s="20" t="n">
        <v>15</v>
      </c>
      <c r="E223" s="20" t="n">
        <v>1</v>
      </c>
      <c r="F223" s="20" t="n">
        <v>4</v>
      </c>
      <c r="G223" s="20" t="n">
        <v>450</v>
      </c>
      <c r="H223" s="20" t="n">
        <v>4</v>
      </c>
      <c r="I223" s="20" t="n">
        <v>1</v>
      </c>
      <c r="J223" s="20" t="n">
        <v>2</v>
      </c>
      <c r="K223" s="20" t="n">
        <v>75</v>
      </c>
      <c r="L223" s="20" t="n">
        <v>11</v>
      </c>
      <c r="M223" s="20" t="n">
        <v>2</v>
      </c>
      <c r="N223" s="20" t="n">
        <v>2</v>
      </c>
      <c r="O223" s="20" t="n">
        <v>0</v>
      </c>
      <c r="P223" s="20" t="n">
        <v>677</v>
      </c>
      <c r="Q223" s="20" t="n">
        <v>0</v>
      </c>
      <c r="R223" s="20" t="n">
        <v>1</v>
      </c>
      <c r="S223" s="20" t="n">
        <v>678</v>
      </c>
      <c r="T223" s="20" t="n">
        <v>0</v>
      </c>
      <c r="U223" s="20">
        <f>SUM(C223:O223)-P223</f>
        <v/>
      </c>
    </row>
    <row r="224">
      <c r="A224" s="18" t="n">
        <v>219</v>
      </c>
      <c r="B224" s="19" t="inlineStr">
        <is>
          <t>Ellanthakunta</t>
        </is>
      </c>
      <c r="C224" s="20" t="n">
        <v>116</v>
      </c>
      <c r="D224" s="20" t="n">
        <v>16</v>
      </c>
      <c r="E224" s="20" t="n">
        <v>0</v>
      </c>
      <c r="F224" s="20" t="n">
        <v>6</v>
      </c>
      <c r="G224" s="20" t="n">
        <v>417</v>
      </c>
      <c r="H224" s="20" t="n">
        <v>5</v>
      </c>
      <c r="I224" s="20" t="n">
        <v>2</v>
      </c>
      <c r="J224" s="20" t="n">
        <v>4</v>
      </c>
      <c r="K224" s="20" t="n">
        <v>107</v>
      </c>
      <c r="L224" s="20" t="n">
        <v>6</v>
      </c>
      <c r="M224" s="20" t="n">
        <v>2</v>
      </c>
      <c r="N224" s="20" t="n">
        <v>8</v>
      </c>
      <c r="O224" s="20" t="n">
        <v>5</v>
      </c>
      <c r="P224" s="20" t="n">
        <v>694</v>
      </c>
      <c r="Q224" s="20" t="n">
        <v>0</v>
      </c>
      <c r="R224" s="20" t="n">
        <v>10</v>
      </c>
      <c r="S224" s="20" t="n">
        <v>704</v>
      </c>
      <c r="T224" s="20" t="n">
        <v>0</v>
      </c>
      <c r="U224" s="20">
        <f>SUM(C224:O224)-P224</f>
        <v/>
      </c>
    </row>
    <row r="225">
      <c r="A225" s="18" t="n">
        <v>220</v>
      </c>
      <c r="B225" s="19" t="inlineStr">
        <is>
          <t>Ellanthakunta</t>
        </is>
      </c>
      <c r="C225" s="20" t="n">
        <v>219</v>
      </c>
      <c r="D225" s="20" t="n">
        <v>10</v>
      </c>
      <c r="E225" s="20" t="n">
        <v>1</v>
      </c>
      <c r="F225" s="20" t="n">
        <v>5</v>
      </c>
      <c r="G225" s="20" t="n">
        <v>351</v>
      </c>
      <c r="H225" s="20" t="n">
        <v>0</v>
      </c>
      <c r="I225" s="20" t="n">
        <v>0</v>
      </c>
      <c r="J225" s="20" t="n">
        <v>0</v>
      </c>
      <c r="K225" s="20" t="n">
        <v>49</v>
      </c>
      <c r="L225" s="20" t="n">
        <v>2</v>
      </c>
      <c r="M225" s="20" t="n">
        <v>1</v>
      </c>
      <c r="N225" s="20" t="n">
        <v>1</v>
      </c>
      <c r="O225" s="20" t="n">
        <v>5</v>
      </c>
      <c r="P225" s="20" t="n">
        <v>644</v>
      </c>
      <c r="Q225" s="20" t="n">
        <v>0</v>
      </c>
      <c r="R225" s="20" t="n">
        <v>8</v>
      </c>
      <c r="S225" s="20" t="n">
        <v>652</v>
      </c>
      <c r="T225" s="20" t="n">
        <v>0</v>
      </c>
      <c r="U225" s="20">
        <f>SUM(C225:O225)-P225</f>
        <v/>
      </c>
    </row>
    <row r="226">
      <c r="A226" s="18" t="n">
        <v>221</v>
      </c>
      <c r="B226" s="19" t="inlineStr">
        <is>
          <t>Jangamreddipelli</t>
        </is>
      </c>
      <c r="C226" s="20" t="n">
        <v>264</v>
      </c>
      <c r="D226" s="20" t="n">
        <v>5</v>
      </c>
      <c r="E226" s="20" t="n">
        <v>3</v>
      </c>
      <c r="F226" s="20" t="n">
        <v>4</v>
      </c>
      <c r="G226" s="20" t="n">
        <v>244</v>
      </c>
      <c r="H226" s="20" t="n">
        <v>3</v>
      </c>
      <c r="I226" s="20" t="n">
        <v>0</v>
      </c>
      <c r="J226" s="20" t="n">
        <v>6</v>
      </c>
      <c r="K226" s="20" t="n">
        <v>0</v>
      </c>
      <c r="L226" s="20" t="n">
        <v>5</v>
      </c>
      <c r="M226" s="20" t="n">
        <v>1</v>
      </c>
      <c r="N226" s="20" t="n">
        <v>1</v>
      </c>
      <c r="O226" s="20" t="n">
        <v>0</v>
      </c>
      <c r="P226" s="20" t="n">
        <v>536</v>
      </c>
      <c r="Q226" s="20" t="n">
        <v>0</v>
      </c>
      <c r="R226" s="20" t="n">
        <v>8</v>
      </c>
      <c r="S226" s="20" t="n">
        <v>544</v>
      </c>
      <c r="T226" s="20" t="n">
        <v>0</v>
      </c>
      <c r="U226" s="20">
        <f>SUM(C226:O226)-P226</f>
        <v/>
      </c>
    </row>
    <row r="227">
      <c r="A227" s="18" t="n">
        <v>222</v>
      </c>
      <c r="B227" s="19" t="inlineStr">
        <is>
          <t>Anantharam</t>
        </is>
      </c>
      <c r="C227" s="20" t="n">
        <v>282</v>
      </c>
      <c r="D227" s="20" t="n">
        <v>74</v>
      </c>
      <c r="E227" s="20" t="n">
        <v>2</v>
      </c>
      <c r="F227" s="20" t="n">
        <v>1</v>
      </c>
      <c r="G227" s="20" t="n">
        <v>351</v>
      </c>
      <c r="H227" s="20" t="n">
        <v>6</v>
      </c>
      <c r="I227" s="20" t="n">
        <v>0</v>
      </c>
      <c r="J227" s="20" t="n">
        <v>2</v>
      </c>
      <c r="K227" s="20" t="n">
        <v>62</v>
      </c>
      <c r="L227" s="20" t="n">
        <v>6</v>
      </c>
      <c r="M227" s="20" t="n">
        <v>0</v>
      </c>
      <c r="N227" s="20" t="n">
        <v>0</v>
      </c>
      <c r="O227" s="20" t="n">
        <v>4</v>
      </c>
      <c r="P227" s="20" t="n">
        <v>790</v>
      </c>
      <c r="Q227" s="20" t="n">
        <v>0</v>
      </c>
      <c r="R227" s="20" t="n">
        <v>6</v>
      </c>
      <c r="S227" s="20" t="n">
        <v>796</v>
      </c>
      <c r="T227" s="20" t="n">
        <v>0</v>
      </c>
      <c r="U227" s="20">
        <f>SUM(C227:O227)-P227</f>
        <v/>
      </c>
    </row>
    <row r="228">
      <c r="A228" s="18" t="n">
        <v>223</v>
      </c>
      <c r="B228" s="19" t="inlineStr">
        <is>
          <t>Anantharam</t>
        </is>
      </c>
      <c r="C228" s="20" t="n">
        <v>304</v>
      </c>
      <c r="D228" s="20" t="n">
        <v>22</v>
      </c>
      <c r="E228" s="20" t="n">
        <v>0</v>
      </c>
      <c r="F228" s="20" t="n">
        <v>5</v>
      </c>
      <c r="G228" s="20" t="n">
        <v>404</v>
      </c>
      <c r="H228" s="20" t="n">
        <v>3</v>
      </c>
      <c r="I228" s="20" t="n">
        <v>3</v>
      </c>
      <c r="J228" s="20" t="n">
        <v>8</v>
      </c>
      <c r="K228" s="20" t="n">
        <v>7</v>
      </c>
      <c r="L228" s="20" t="n">
        <v>13</v>
      </c>
      <c r="M228" s="20" t="n">
        <v>5</v>
      </c>
      <c r="N228" s="20" t="n">
        <v>7</v>
      </c>
      <c r="O228" s="20" t="n">
        <v>7</v>
      </c>
      <c r="P228" s="20" t="n">
        <v>788</v>
      </c>
      <c r="Q228" s="20" t="n">
        <v>0</v>
      </c>
      <c r="R228" s="20" t="n">
        <v>23</v>
      </c>
      <c r="S228" s="20" t="n">
        <v>811</v>
      </c>
      <c r="T228" s="20" t="n">
        <v>0</v>
      </c>
      <c r="U228" s="20">
        <f>SUM(C228:O228)-P228</f>
        <v/>
      </c>
    </row>
    <row r="229">
      <c r="A229" s="18" t="n">
        <v>224</v>
      </c>
      <c r="B229" s="19" t="inlineStr">
        <is>
          <t>Rahimkhanpet</t>
        </is>
      </c>
      <c r="C229" s="20" t="n">
        <v>275</v>
      </c>
      <c r="D229" s="20" t="n">
        <v>16</v>
      </c>
      <c r="E229" s="20" t="n">
        <v>0</v>
      </c>
      <c r="F229" s="20" t="n">
        <v>6</v>
      </c>
      <c r="G229" s="20" t="n">
        <v>388</v>
      </c>
      <c r="H229" s="20" t="n">
        <v>2</v>
      </c>
      <c r="I229" s="20" t="n">
        <v>1</v>
      </c>
      <c r="J229" s="20" t="n">
        <v>3</v>
      </c>
      <c r="K229" s="20" t="n">
        <v>58</v>
      </c>
      <c r="L229" s="20" t="n">
        <v>4</v>
      </c>
      <c r="M229" s="20" t="n">
        <v>2</v>
      </c>
      <c r="N229" s="20" t="n">
        <v>5</v>
      </c>
      <c r="O229" s="20" t="n">
        <v>2</v>
      </c>
      <c r="P229" s="20" t="n">
        <v>762</v>
      </c>
      <c r="Q229" s="20" t="n">
        <v>0</v>
      </c>
      <c r="R229" s="20" t="n">
        <v>12</v>
      </c>
      <c r="S229" s="20" t="n">
        <v>774</v>
      </c>
      <c r="T229" s="20" t="n">
        <v>0</v>
      </c>
      <c r="U229" s="20">
        <f>SUM(C229:O229)-P229</f>
        <v/>
      </c>
    </row>
    <row r="230">
      <c r="A230" s="18" t="n">
        <v>225</v>
      </c>
      <c r="B230" s="19" t="inlineStr">
        <is>
          <t>Rahimkhanpet</t>
        </is>
      </c>
      <c r="C230" s="20" t="n">
        <v>146</v>
      </c>
      <c r="D230" s="20" t="n">
        <v>15</v>
      </c>
      <c r="E230" s="20" t="n">
        <v>1</v>
      </c>
      <c r="F230" s="20" t="n">
        <v>6</v>
      </c>
      <c r="G230" s="20" t="n">
        <v>286</v>
      </c>
      <c r="H230" s="20" t="n">
        <v>3</v>
      </c>
      <c r="I230" s="20" t="n">
        <v>2</v>
      </c>
      <c r="J230" s="20" t="n">
        <v>0</v>
      </c>
      <c r="K230" s="20" t="n">
        <v>36</v>
      </c>
      <c r="L230" s="20" t="n">
        <v>2</v>
      </c>
      <c r="M230" s="20" t="n">
        <v>1</v>
      </c>
      <c r="N230" s="20" t="n">
        <v>1</v>
      </c>
      <c r="O230" s="20" t="n">
        <v>1</v>
      </c>
      <c r="P230" s="20" t="n">
        <v>500</v>
      </c>
      <c r="Q230" s="20" t="n">
        <v>0</v>
      </c>
      <c r="R230" s="20" t="n">
        <v>3</v>
      </c>
      <c r="S230" s="20" t="n">
        <v>503</v>
      </c>
      <c r="T230" s="20" t="n">
        <v>0</v>
      </c>
      <c r="U230" s="20">
        <f>SUM(C230:O230)-P230</f>
        <v/>
      </c>
    </row>
    <row r="231">
      <c r="A231" s="18" t="n">
        <v>226</v>
      </c>
      <c r="B231" s="19" t="inlineStr">
        <is>
          <t>Veljipur</t>
        </is>
      </c>
      <c r="C231" s="20" t="n">
        <v>178</v>
      </c>
      <c r="D231" s="20" t="n">
        <v>5</v>
      </c>
      <c r="E231" s="20" t="n">
        <v>0</v>
      </c>
      <c r="F231" s="20" t="n">
        <v>1</v>
      </c>
      <c r="G231" s="20" t="n">
        <v>266</v>
      </c>
      <c r="H231" s="20" t="n">
        <v>3</v>
      </c>
      <c r="I231" s="20" t="n">
        <v>0</v>
      </c>
      <c r="J231" s="20" t="n">
        <v>0</v>
      </c>
      <c r="K231" s="20" t="n">
        <v>0</v>
      </c>
      <c r="L231" s="20" t="n">
        <v>4</v>
      </c>
      <c r="M231" s="20" t="n">
        <v>3</v>
      </c>
      <c r="N231" s="20" t="n">
        <v>2</v>
      </c>
      <c r="O231" s="20" t="n">
        <v>1</v>
      </c>
      <c r="P231" s="20" t="n">
        <v>463</v>
      </c>
      <c r="Q231" s="20" t="n">
        <v>0</v>
      </c>
      <c r="R231" s="20" t="n">
        <v>18</v>
      </c>
      <c r="S231" s="20" t="n">
        <v>481</v>
      </c>
      <c r="T231" s="20" t="n">
        <v>0</v>
      </c>
      <c r="U231" s="20">
        <f>SUM(C231:O231)-P231</f>
        <v/>
      </c>
    </row>
    <row r="232">
      <c r="A232" s="18" t="n">
        <v>227</v>
      </c>
      <c r="B232" s="19" t="inlineStr">
        <is>
          <t>Dacharam</t>
        </is>
      </c>
      <c r="C232" s="20" t="n">
        <v>171</v>
      </c>
      <c r="D232" s="20" t="n">
        <v>13</v>
      </c>
      <c r="E232" s="20" t="n">
        <v>3</v>
      </c>
      <c r="F232" s="20" t="n">
        <v>10</v>
      </c>
      <c r="G232" s="20" t="n">
        <v>292</v>
      </c>
      <c r="H232" s="20" t="n">
        <v>0</v>
      </c>
      <c r="I232" s="20" t="n">
        <v>1</v>
      </c>
      <c r="J232" s="20" t="n">
        <v>2</v>
      </c>
      <c r="K232" s="20" t="n">
        <v>45</v>
      </c>
      <c r="L232" s="20" t="n">
        <v>4</v>
      </c>
      <c r="M232" s="20" t="n">
        <v>2</v>
      </c>
      <c r="N232" s="20" t="n">
        <v>2</v>
      </c>
      <c r="O232" s="20" t="n">
        <v>0</v>
      </c>
      <c r="P232" s="20" t="n">
        <v>545</v>
      </c>
      <c r="Q232" s="20" t="n">
        <v>0</v>
      </c>
      <c r="R232" s="20" t="n">
        <v>4</v>
      </c>
      <c r="S232" s="20" t="n">
        <v>549</v>
      </c>
      <c r="T232" s="20" t="n">
        <v>0</v>
      </c>
      <c r="U232" s="20">
        <f>SUM(C232:O232)-P232</f>
        <v/>
      </c>
    </row>
    <row r="233">
      <c r="A233" s="18" t="n">
        <v>228</v>
      </c>
      <c r="B233" s="19" t="inlineStr">
        <is>
          <t>Dacharam</t>
        </is>
      </c>
      <c r="C233" s="20" t="n">
        <v>114</v>
      </c>
      <c r="D233" s="20" t="n">
        <v>1</v>
      </c>
      <c r="E233" s="20" t="n">
        <v>1</v>
      </c>
      <c r="F233" s="20" t="n">
        <v>5</v>
      </c>
      <c r="G233" s="20" t="n">
        <v>340</v>
      </c>
      <c r="H233" s="20" t="n">
        <v>2</v>
      </c>
      <c r="I233" s="20" t="n">
        <v>0</v>
      </c>
      <c r="J233" s="20" t="n">
        <v>3</v>
      </c>
      <c r="K233" s="20" t="n">
        <v>46</v>
      </c>
      <c r="L233" s="20" t="n">
        <v>0</v>
      </c>
      <c r="M233" s="20" t="n">
        <v>0</v>
      </c>
      <c r="N233" s="20" t="n">
        <v>0</v>
      </c>
      <c r="O233" s="20" t="n">
        <v>0</v>
      </c>
      <c r="P233" s="20" t="n">
        <v>512</v>
      </c>
      <c r="Q233" s="20" t="n">
        <v>0</v>
      </c>
      <c r="R233" s="20" t="n">
        <v>5</v>
      </c>
      <c r="S233" s="20" t="n">
        <v>517</v>
      </c>
      <c r="T233" s="20" t="n">
        <v>0</v>
      </c>
      <c r="U233" s="20">
        <f>SUM(C233:O233)-P233</f>
        <v/>
      </c>
    </row>
    <row r="234">
      <c r="A234" s="18" t="n">
        <v>229</v>
      </c>
      <c r="B234" s="19" t="inlineStr">
        <is>
          <t>Sirikonda</t>
        </is>
      </c>
      <c r="C234" s="20" t="n">
        <v>147</v>
      </c>
      <c r="D234" s="20" t="n">
        <v>3</v>
      </c>
      <c r="E234" s="20" t="n">
        <v>0</v>
      </c>
      <c r="F234" s="20" t="n">
        <v>3</v>
      </c>
      <c r="G234" s="20" t="n">
        <v>364</v>
      </c>
      <c r="H234" s="20" t="n">
        <v>2</v>
      </c>
      <c r="I234" s="20" t="n">
        <v>0</v>
      </c>
      <c r="J234" s="20" t="n">
        <v>0</v>
      </c>
      <c r="K234" s="20" t="n">
        <v>56</v>
      </c>
      <c r="L234" s="20" t="n">
        <v>2</v>
      </c>
      <c r="M234" s="20" t="n">
        <v>1</v>
      </c>
      <c r="N234" s="20" t="n">
        <v>1</v>
      </c>
      <c r="O234" s="20" t="n">
        <v>3</v>
      </c>
      <c r="P234" s="20" t="n">
        <v>582</v>
      </c>
      <c r="Q234" s="20" t="n">
        <v>0</v>
      </c>
      <c r="R234" s="20" t="n">
        <v>0</v>
      </c>
      <c r="S234" s="20" t="n">
        <v>582</v>
      </c>
      <c r="T234" s="20" t="n">
        <v>0</v>
      </c>
      <c r="U234" s="20">
        <f>SUM(C234:O234)-P234</f>
        <v/>
      </c>
    </row>
    <row r="235">
      <c r="A235" s="18" t="n">
        <v>230</v>
      </c>
      <c r="B235" s="19" t="inlineStr">
        <is>
          <t>Peddalingapur</t>
        </is>
      </c>
      <c r="C235" s="20" t="n">
        <v>302</v>
      </c>
      <c r="D235" s="20" t="n">
        <v>1</v>
      </c>
      <c r="E235" s="20" t="n">
        <v>1</v>
      </c>
      <c r="F235" s="20" t="n">
        <v>1</v>
      </c>
      <c r="G235" s="20" t="n">
        <v>316</v>
      </c>
      <c r="H235" s="20" t="n">
        <v>5</v>
      </c>
      <c r="I235" s="20" t="n">
        <v>1</v>
      </c>
      <c r="J235" s="20" t="n">
        <v>0</v>
      </c>
      <c r="K235" s="20" t="n">
        <v>47</v>
      </c>
      <c r="L235" s="20" t="n">
        <v>3</v>
      </c>
      <c r="M235" s="20" t="n">
        <v>2</v>
      </c>
      <c r="N235" s="20" t="n">
        <v>14</v>
      </c>
      <c r="O235" s="20" t="n">
        <v>3</v>
      </c>
      <c r="P235" s="20" t="n">
        <v>696</v>
      </c>
      <c r="Q235" s="20" t="n">
        <v>0</v>
      </c>
      <c r="R235" s="20" t="n">
        <v>9</v>
      </c>
      <c r="S235" s="20" t="n">
        <v>705</v>
      </c>
      <c r="T235" s="20" t="n">
        <v>0</v>
      </c>
      <c r="U235" s="20">
        <f>SUM(C235:O235)-P235</f>
        <v/>
      </c>
    </row>
    <row r="236">
      <c r="A236" s="18" t="n">
        <v>231</v>
      </c>
      <c r="B236" s="19" t="inlineStr">
        <is>
          <t>Peddalingapur</t>
        </is>
      </c>
      <c r="C236" s="20" t="n">
        <v>296</v>
      </c>
      <c r="D236" s="20" t="n">
        <v>15</v>
      </c>
      <c r="E236" s="20" t="n">
        <v>0</v>
      </c>
      <c r="F236" s="20" t="n">
        <v>5</v>
      </c>
      <c r="G236" s="20" t="n">
        <v>491</v>
      </c>
      <c r="H236" s="20" t="n">
        <v>3</v>
      </c>
      <c r="I236" s="20" t="n">
        <v>1</v>
      </c>
      <c r="J236" s="20" t="n">
        <v>4</v>
      </c>
      <c r="K236" s="20" t="n">
        <v>55</v>
      </c>
      <c r="L236" s="20" t="n">
        <v>4</v>
      </c>
      <c r="M236" s="20" t="n">
        <v>2</v>
      </c>
      <c r="N236" s="20" t="n">
        <v>2</v>
      </c>
      <c r="O236" s="20" t="n">
        <v>0</v>
      </c>
      <c r="P236" s="20" t="n">
        <v>878</v>
      </c>
      <c r="Q236" s="20" t="n">
        <v>0</v>
      </c>
      <c r="R236" s="20" t="n">
        <v>10</v>
      </c>
      <c r="S236" s="20" t="n">
        <v>888</v>
      </c>
      <c r="T236" s="20" t="n">
        <v>0</v>
      </c>
      <c r="U236" s="20">
        <f>SUM(C236:O236)-P236</f>
        <v/>
      </c>
    </row>
    <row r="237">
      <c r="A237" s="18" t="n">
        <v>232</v>
      </c>
      <c r="B237" s="19" t="inlineStr">
        <is>
          <t>Ramojipet</t>
        </is>
      </c>
      <c r="C237" s="20" t="n">
        <v>279</v>
      </c>
      <c r="D237" s="20" t="n">
        <v>15</v>
      </c>
      <c r="E237" s="20" t="n">
        <v>0</v>
      </c>
      <c r="F237" s="20" t="n">
        <v>5</v>
      </c>
      <c r="G237" s="20" t="n">
        <v>493</v>
      </c>
      <c r="H237" s="20" t="n">
        <v>5</v>
      </c>
      <c r="I237" s="20" t="n">
        <v>1</v>
      </c>
      <c r="J237" s="20" t="n">
        <v>2</v>
      </c>
      <c r="K237" s="20" t="n">
        <v>38</v>
      </c>
      <c r="L237" s="20" t="n">
        <v>6</v>
      </c>
      <c r="M237" s="20" t="n">
        <v>3</v>
      </c>
      <c r="N237" s="20" t="n">
        <v>0</v>
      </c>
      <c r="O237" s="20" t="n">
        <v>6</v>
      </c>
      <c r="P237" s="20" t="n">
        <v>853</v>
      </c>
      <c r="Q237" s="20" t="n">
        <v>0</v>
      </c>
      <c r="R237" s="20" t="n">
        <v>11</v>
      </c>
      <c r="S237" s="20" t="n">
        <v>864</v>
      </c>
      <c r="T237" s="20" t="n">
        <v>0</v>
      </c>
      <c r="U237" s="20">
        <f>SUM(C237:O237)-P237</f>
        <v/>
      </c>
    </row>
    <row r="238">
      <c r="A238" s="18" t="n">
        <v>233</v>
      </c>
      <c r="B238" s="19" t="inlineStr">
        <is>
          <t>Thippapur</t>
        </is>
      </c>
      <c r="C238" s="20" t="n">
        <v>202</v>
      </c>
      <c r="D238" s="20" t="n">
        <v>15</v>
      </c>
      <c r="E238" s="20" t="n">
        <v>0</v>
      </c>
      <c r="F238" s="20" t="n">
        <v>3</v>
      </c>
      <c r="G238" s="20" t="n">
        <v>338</v>
      </c>
      <c r="H238" s="20" t="n">
        <v>3</v>
      </c>
      <c r="I238" s="20" t="n">
        <v>0</v>
      </c>
      <c r="J238" s="20" t="n">
        <v>3</v>
      </c>
      <c r="K238" s="20" t="n">
        <v>40</v>
      </c>
      <c r="L238" s="20" t="n">
        <v>5</v>
      </c>
      <c r="M238" s="20" t="n">
        <v>0</v>
      </c>
      <c r="N238" s="20" t="n">
        <v>1</v>
      </c>
      <c r="O238" s="20" t="n">
        <v>0</v>
      </c>
      <c r="P238" s="20" t="n">
        <v>610</v>
      </c>
      <c r="Q238" s="20" t="n">
        <v>0</v>
      </c>
      <c r="R238" s="20" t="n">
        <v>6</v>
      </c>
      <c r="S238" s="20" t="n">
        <v>616</v>
      </c>
      <c r="T238" s="20" t="n">
        <v>0</v>
      </c>
      <c r="U238" s="20">
        <f>SUM(C238:O238)-P238</f>
        <v/>
      </c>
    </row>
    <row r="239">
      <c r="A239" s="18" t="n">
        <v>234</v>
      </c>
      <c r="B239" s="19" t="inlineStr">
        <is>
          <t>Ananthagiri</t>
        </is>
      </c>
      <c r="C239" s="20" t="n">
        <v>166</v>
      </c>
      <c r="D239" s="20" t="n">
        <v>1</v>
      </c>
      <c r="E239" s="20" t="n">
        <v>3</v>
      </c>
      <c r="F239" s="20" t="n">
        <v>3</v>
      </c>
      <c r="G239" s="20" t="n">
        <v>282</v>
      </c>
      <c r="H239" s="20" t="n">
        <v>4</v>
      </c>
      <c r="I239" s="20" t="n">
        <v>1</v>
      </c>
      <c r="J239" s="20" t="n">
        <v>2</v>
      </c>
      <c r="K239" s="20" t="n">
        <v>56</v>
      </c>
      <c r="L239" s="20" t="n">
        <v>2</v>
      </c>
      <c r="M239" s="20" t="n">
        <v>2</v>
      </c>
      <c r="N239" s="20" t="n">
        <v>1</v>
      </c>
      <c r="O239" s="20" t="n">
        <v>4</v>
      </c>
      <c r="P239" s="20" t="n">
        <v>527</v>
      </c>
      <c r="Q239" s="20" t="n">
        <v>0</v>
      </c>
      <c r="R239" s="20" t="n">
        <v>11</v>
      </c>
      <c r="S239" s="20" t="n">
        <v>538</v>
      </c>
      <c r="T239" s="20" t="n">
        <v>0</v>
      </c>
      <c r="U239" s="20">
        <f>SUM(C239:O239)-P239</f>
        <v/>
      </c>
    </row>
    <row r="240">
      <c r="A240" s="18" t="n">
        <v>235</v>
      </c>
      <c r="B240" s="19" t="inlineStr">
        <is>
          <t>Ananthagiri</t>
        </is>
      </c>
      <c r="C240" s="20" t="n">
        <v>125</v>
      </c>
      <c r="D240" s="20" t="n">
        <v>21</v>
      </c>
      <c r="E240" s="20" t="n">
        <v>0</v>
      </c>
      <c r="F240" s="20" t="n">
        <v>1</v>
      </c>
      <c r="G240" s="20" t="n">
        <v>279</v>
      </c>
      <c r="H240" s="20" t="n">
        <v>6</v>
      </c>
      <c r="I240" s="20" t="n">
        <v>3</v>
      </c>
      <c r="J240" s="20" t="n">
        <v>3</v>
      </c>
      <c r="K240" s="20" t="n">
        <v>1</v>
      </c>
      <c r="L240" s="20" t="n">
        <v>6</v>
      </c>
      <c r="M240" s="20" t="n">
        <v>0</v>
      </c>
      <c r="N240" s="20" t="n">
        <v>2</v>
      </c>
      <c r="O240" s="20" t="n">
        <v>1</v>
      </c>
      <c r="P240" s="20" t="n">
        <v>448</v>
      </c>
      <c r="Q240" s="20" t="n">
        <v>0</v>
      </c>
      <c r="R240" s="20" t="n">
        <v>17</v>
      </c>
      <c r="S240" s="20" t="n">
        <v>465</v>
      </c>
      <c r="T240" s="20" t="n">
        <v>0</v>
      </c>
      <c r="U240" s="20">
        <f>SUM(C240:O240)-P240</f>
        <v/>
      </c>
    </row>
    <row r="241">
      <c r="A241" s="18" t="n">
        <v>236</v>
      </c>
      <c r="B241" s="19" t="inlineStr">
        <is>
          <t>Tenugupalli H/o Ananthagiri</t>
        </is>
      </c>
      <c r="C241" s="20" t="n">
        <v>162</v>
      </c>
      <c r="D241" s="20" t="n">
        <v>15</v>
      </c>
      <c r="E241" s="20" t="n">
        <v>1</v>
      </c>
      <c r="F241" s="20" t="n">
        <v>3</v>
      </c>
      <c r="G241" s="20" t="n">
        <v>450</v>
      </c>
      <c r="H241" s="20" t="n">
        <v>9</v>
      </c>
      <c r="I241" s="20" t="n">
        <v>1</v>
      </c>
      <c r="J241" s="20" t="n">
        <v>2</v>
      </c>
      <c r="K241" s="20" t="n">
        <v>103</v>
      </c>
      <c r="L241" s="20" t="n">
        <v>10</v>
      </c>
      <c r="M241" s="20" t="n">
        <v>2</v>
      </c>
      <c r="N241" s="20" t="n">
        <v>3</v>
      </c>
      <c r="O241" s="20" t="n">
        <v>9</v>
      </c>
      <c r="P241" s="20" t="n">
        <v>770</v>
      </c>
      <c r="Q241" s="20" t="n">
        <v>0</v>
      </c>
      <c r="R241" s="20" t="n">
        <v>2</v>
      </c>
      <c r="S241" s="20" t="n">
        <v>772</v>
      </c>
      <c r="T241" s="20" t="n">
        <v>0</v>
      </c>
      <c r="U241" s="20">
        <f>SUM(C241:O241)-P241</f>
        <v/>
      </c>
    </row>
    <row r="242">
      <c r="A242" s="18" t="n">
        <v>237</v>
      </c>
      <c r="B242" s="19" t="inlineStr">
        <is>
          <t>Repaka</t>
        </is>
      </c>
      <c r="C242" s="20" t="n">
        <v>148</v>
      </c>
      <c r="D242" s="20" t="n">
        <v>7</v>
      </c>
      <c r="E242" s="20" t="n">
        <v>0</v>
      </c>
      <c r="F242" s="20" t="n">
        <v>6</v>
      </c>
      <c r="G242" s="20" t="n">
        <v>329</v>
      </c>
      <c r="H242" s="20" t="n">
        <v>0</v>
      </c>
      <c r="I242" s="20" t="n">
        <v>1</v>
      </c>
      <c r="J242" s="20" t="n">
        <v>1</v>
      </c>
      <c r="K242" s="20" t="n">
        <v>76</v>
      </c>
      <c r="L242" s="20" t="n">
        <v>4</v>
      </c>
      <c r="M242" s="20" t="n">
        <v>0</v>
      </c>
      <c r="N242" s="20" t="n">
        <v>4</v>
      </c>
      <c r="O242" s="20" t="n">
        <v>1</v>
      </c>
      <c r="P242" s="20" t="n">
        <v>577</v>
      </c>
      <c r="Q242" s="20" t="n">
        <v>0</v>
      </c>
      <c r="R242" s="20" t="n">
        <v>10</v>
      </c>
      <c r="S242" s="20" t="n">
        <v>587</v>
      </c>
      <c r="T242" s="20" t="n">
        <v>0</v>
      </c>
      <c r="U242" s="20">
        <f>SUM(C242:O242)-P242</f>
        <v/>
      </c>
    </row>
    <row r="243">
      <c r="A243" s="18" t="n">
        <v>238</v>
      </c>
      <c r="B243" s="19" t="inlineStr">
        <is>
          <t>Repaka</t>
        </is>
      </c>
      <c r="C243" s="20" t="n">
        <v>80</v>
      </c>
      <c r="D243" s="20" t="n">
        <v>6</v>
      </c>
      <c r="E243" s="20" t="n">
        <v>0</v>
      </c>
      <c r="F243" s="20" t="n">
        <v>4</v>
      </c>
      <c r="G243" s="20" t="n">
        <v>289</v>
      </c>
      <c r="H243" s="20" t="n">
        <v>3</v>
      </c>
      <c r="I243" s="20" t="n">
        <v>0</v>
      </c>
      <c r="J243" s="20" t="n">
        <v>0</v>
      </c>
      <c r="K243" s="20" t="n">
        <v>39</v>
      </c>
      <c r="L243" s="20" t="n">
        <v>1</v>
      </c>
      <c r="M243" s="20" t="n">
        <v>0</v>
      </c>
      <c r="N243" s="20" t="n">
        <v>2</v>
      </c>
      <c r="O243" s="20" t="n">
        <v>1</v>
      </c>
      <c r="P243" s="20" t="n">
        <v>425</v>
      </c>
      <c r="Q243" s="20" t="n">
        <v>0</v>
      </c>
      <c r="R243" s="20" t="n">
        <v>6</v>
      </c>
      <c r="S243" s="20" t="n">
        <v>431</v>
      </c>
      <c r="T243" s="20" t="n">
        <v>0</v>
      </c>
      <c r="U243" s="20">
        <f>SUM(C243:O243)-P243</f>
        <v/>
      </c>
    </row>
    <row r="244">
      <c r="A244" s="18" t="n">
        <v>239</v>
      </c>
      <c r="B244" s="19" t="inlineStr">
        <is>
          <t>Arepalli H/o
Repaka</t>
        </is>
      </c>
      <c r="C244" s="20" t="n">
        <v>180</v>
      </c>
      <c r="D244" s="20" t="n">
        <v>11</v>
      </c>
      <c r="E244" s="20" t="n">
        <v>3</v>
      </c>
      <c r="F244" s="20" t="n">
        <v>9</v>
      </c>
      <c r="G244" s="20" t="n">
        <v>603</v>
      </c>
      <c r="H244" s="20" t="n">
        <v>12</v>
      </c>
      <c r="I244" s="20" t="n">
        <v>0</v>
      </c>
      <c r="J244" s="20" t="n">
        <v>5</v>
      </c>
      <c r="K244" s="20" t="n">
        <v>128</v>
      </c>
      <c r="L244" s="20" t="n">
        <v>0</v>
      </c>
      <c r="M244" s="20" t="n">
        <v>0</v>
      </c>
      <c r="N244" s="20" t="n">
        <v>1</v>
      </c>
      <c r="O244" s="20" t="n">
        <v>1</v>
      </c>
      <c r="P244" s="20" t="n">
        <v>953</v>
      </c>
      <c r="Q244" s="20" t="n">
        <v>0</v>
      </c>
      <c r="R244" s="20" t="n">
        <v>9</v>
      </c>
      <c r="S244" s="20" t="n">
        <v>962</v>
      </c>
      <c r="T244" s="20" t="n">
        <v>0</v>
      </c>
      <c r="U244" s="20">
        <f>SUM(C244:O244)-P244</f>
        <v/>
      </c>
    </row>
    <row r="245">
      <c r="A245" s="18" t="n">
        <v>240</v>
      </c>
      <c r="B245" s="19" t="inlineStr">
        <is>
          <t>Gollapally
H/o Repaka</t>
        </is>
      </c>
      <c r="C245" s="20" t="n">
        <v>206</v>
      </c>
      <c r="D245" s="20" t="n">
        <v>9</v>
      </c>
      <c r="E245" s="20" t="n">
        <v>3</v>
      </c>
      <c r="F245" s="20" t="n">
        <v>24</v>
      </c>
      <c r="G245" s="20" t="n">
        <v>382</v>
      </c>
      <c r="H245" s="20" t="n">
        <v>4</v>
      </c>
      <c r="I245" s="20" t="n">
        <v>1</v>
      </c>
      <c r="J245" s="20" t="n">
        <v>3</v>
      </c>
      <c r="K245" s="20" t="n">
        <v>89</v>
      </c>
      <c r="L245" s="20" t="n">
        <v>7</v>
      </c>
      <c r="M245" s="20" t="n">
        <v>1</v>
      </c>
      <c r="N245" s="20" t="n">
        <v>3</v>
      </c>
      <c r="O245" s="20" t="n">
        <v>1</v>
      </c>
      <c r="P245" s="20" t="n">
        <v>733</v>
      </c>
      <c r="Q245" s="20" t="n">
        <v>0</v>
      </c>
      <c r="R245" s="20" t="n">
        <v>1</v>
      </c>
      <c r="S245" s="20" t="n">
        <v>734</v>
      </c>
      <c r="T245" s="20" t="n">
        <v>0</v>
      </c>
      <c r="U245" s="20">
        <f>SUM(C245:O245)-P245</f>
        <v/>
      </c>
    </row>
    <row r="246">
      <c r="A246" s="18" t="n">
        <v>241</v>
      </c>
      <c r="B246" s="19" t="inlineStr">
        <is>
          <t>Somarampet
H/o Repaka</t>
        </is>
      </c>
      <c r="C246" s="20" t="n">
        <v>195</v>
      </c>
      <c r="D246" s="20" t="n">
        <v>6</v>
      </c>
      <c r="E246" s="20" t="n">
        <v>0</v>
      </c>
      <c r="F246" s="20" t="n">
        <v>6</v>
      </c>
      <c r="G246" s="20" t="n">
        <v>341</v>
      </c>
      <c r="H246" s="20" t="n">
        <v>0</v>
      </c>
      <c r="I246" s="20" t="n">
        <v>0</v>
      </c>
      <c r="J246" s="20" t="n">
        <v>2</v>
      </c>
      <c r="K246" s="20" t="n">
        <v>75</v>
      </c>
      <c r="L246" s="20" t="n">
        <v>1</v>
      </c>
      <c r="M246" s="20" t="n">
        <v>0</v>
      </c>
      <c r="N246" s="20" t="n">
        <v>0</v>
      </c>
      <c r="O246" s="20" t="n">
        <v>4</v>
      </c>
      <c r="P246" s="20" t="n">
        <v>630</v>
      </c>
      <c r="Q246" s="20" t="n">
        <v>0</v>
      </c>
      <c r="R246" s="20" t="n">
        <v>7</v>
      </c>
      <c r="S246" s="20" t="n">
        <v>637</v>
      </c>
      <c r="T246" s="20" t="n">
        <v>0</v>
      </c>
      <c r="U246" s="20">
        <f>SUM(C246:O246)-P246</f>
        <v/>
      </c>
    </row>
    <row r="247">
      <c r="A247" s="18" t="n">
        <v>242</v>
      </c>
      <c r="B247" s="19" t="inlineStr">
        <is>
          <t>Gundaram</t>
        </is>
      </c>
      <c r="C247" s="20" t="n">
        <v>164</v>
      </c>
      <c r="D247" s="20" t="n">
        <v>48</v>
      </c>
      <c r="E247" s="20" t="n">
        <v>2</v>
      </c>
      <c r="F247" s="20" t="n">
        <v>6</v>
      </c>
      <c r="G247" s="20" t="n">
        <v>352</v>
      </c>
      <c r="H247" s="20" t="n">
        <v>6</v>
      </c>
      <c r="I247" s="20" t="n">
        <v>2</v>
      </c>
      <c r="J247" s="20" t="n">
        <v>1</v>
      </c>
      <c r="K247" s="20" t="n">
        <v>74</v>
      </c>
      <c r="L247" s="20" t="n">
        <v>5</v>
      </c>
      <c r="M247" s="20" t="n">
        <v>1</v>
      </c>
      <c r="N247" s="20" t="n">
        <v>1</v>
      </c>
      <c r="O247" s="20" t="n">
        <v>2</v>
      </c>
      <c r="P247" s="20" t="n">
        <v>664</v>
      </c>
      <c r="Q247" s="20" t="n">
        <v>0</v>
      </c>
      <c r="R247" s="20" t="n">
        <v>2</v>
      </c>
      <c r="S247" s="20" t="n">
        <v>666</v>
      </c>
      <c r="T247" s="20" t="n">
        <v>0</v>
      </c>
      <c r="U247" s="20">
        <f>SUM(C247:O247)-P247</f>
        <v/>
      </c>
    </row>
    <row r="248">
      <c r="A248" s="18" t="n">
        <v>243</v>
      </c>
      <c r="B248" s="19" t="inlineStr">
        <is>
          <t>Gundaram</t>
        </is>
      </c>
      <c r="C248" s="20" t="n">
        <v>163</v>
      </c>
      <c r="D248" s="20" t="n">
        <v>18</v>
      </c>
      <c r="E248" s="20" t="n">
        <v>0</v>
      </c>
      <c r="F248" s="20" t="n">
        <v>12</v>
      </c>
      <c r="G248" s="20" t="n">
        <v>664</v>
      </c>
      <c r="H248" s="20" t="n">
        <v>0</v>
      </c>
      <c r="I248" s="20" t="n">
        <v>0</v>
      </c>
      <c r="J248" s="20" t="n">
        <v>2</v>
      </c>
      <c r="K248" s="20" t="n">
        <v>59</v>
      </c>
      <c r="L248" s="20" t="n">
        <v>0</v>
      </c>
      <c r="M248" s="20" t="n">
        <v>0</v>
      </c>
      <c r="N248" s="20" t="n">
        <v>1</v>
      </c>
      <c r="O248" s="20" t="n">
        <v>0</v>
      </c>
      <c r="P248" s="20" t="n">
        <v>919</v>
      </c>
      <c r="Q248" s="20" t="n">
        <v>0</v>
      </c>
      <c r="R248" s="20" t="n">
        <v>3</v>
      </c>
      <c r="S248" s="20" t="n">
        <v>922</v>
      </c>
      <c r="T248" s="20" t="n">
        <v>0</v>
      </c>
      <c r="U248" s="20">
        <f>SUM(C248:O248)-P248</f>
        <v/>
      </c>
    </row>
    <row r="249">
      <c r="A249" s="18" t="n">
        <v>244</v>
      </c>
      <c r="B249" s="19" t="inlineStr">
        <is>
          <t>Manakondur PS 244</t>
        </is>
      </c>
      <c r="C249" s="20" t="n">
        <v>267</v>
      </c>
      <c r="D249" s="20" t="n">
        <v>31</v>
      </c>
      <c r="E249" s="20" t="n">
        <v>1</v>
      </c>
      <c r="F249" s="20" t="n">
        <v>37</v>
      </c>
      <c r="G249" s="20" t="n">
        <v>560</v>
      </c>
      <c r="H249" s="20" t="n">
        <v>1</v>
      </c>
      <c r="I249" s="20" t="n">
        <v>0</v>
      </c>
      <c r="J249" s="20" t="n">
        <v>2</v>
      </c>
      <c r="K249" s="20" t="n">
        <v>65</v>
      </c>
      <c r="L249" s="20" t="n">
        <v>2</v>
      </c>
      <c r="M249" s="20" t="n">
        <v>3</v>
      </c>
      <c r="N249" s="20" t="n">
        <v>3</v>
      </c>
      <c r="O249" s="20" t="n">
        <v>2</v>
      </c>
      <c r="P249" s="20" t="n">
        <v>974</v>
      </c>
      <c r="Q249" s="20" t="n">
        <v>0</v>
      </c>
      <c r="R249" s="20" t="n">
        <v>8</v>
      </c>
      <c r="S249" s="20" t="n">
        <v>982</v>
      </c>
      <c r="T249" s="20" t="n">
        <v>0</v>
      </c>
      <c r="U249" s="20">
        <f>SUM(C249:O249)-P249</f>
        <v/>
      </c>
    </row>
    <row r="250">
      <c r="A250" s="18" t="n">
        <v>245</v>
      </c>
      <c r="B250" s="19" t="inlineStr">
        <is>
          <t>Manakondur PS 245</t>
        </is>
      </c>
      <c r="C250" s="20" t="n">
        <v>107</v>
      </c>
      <c r="D250" s="20" t="n">
        <v>7</v>
      </c>
      <c r="E250" s="20" t="n">
        <v>0</v>
      </c>
      <c r="F250" s="20" t="n">
        <v>4</v>
      </c>
      <c r="G250" s="20" t="n">
        <v>243</v>
      </c>
      <c r="H250" s="20" t="n">
        <v>2</v>
      </c>
      <c r="I250" s="20" t="n">
        <v>0</v>
      </c>
      <c r="J250" s="20" t="n">
        <v>2</v>
      </c>
      <c r="K250" s="20" t="n">
        <v>34</v>
      </c>
      <c r="L250" s="20" t="n">
        <v>3</v>
      </c>
      <c r="M250" s="20" t="n">
        <v>2</v>
      </c>
      <c r="N250" s="20" t="n">
        <v>1</v>
      </c>
      <c r="O250" s="20" t="n">
        <v>3</v>
      </c>
      <c r="P250" s="20" t="n">
        <v>408</v>
      </c>
      <c r="Q250" s="20" t="n">
        <v>0</v>
      </c>
      <c r="R250" s="20" t="n">
        <v>8</v>
      </c>
      <c r="S250" s="20" t="n">
        <v>416</v>
      </c>
      <c r="T250" s="20" t="n">
        <v>0</v>
      </c>
      <c r="U250" s="20">
        <f>SUM(C250:O250)-P250</f>
        <v/>
      </c>
    </row>
    <row r="251">
      <c r="A251" s="18" t="n">
        <v>246</v>
      </c>
      <c r="B251" s="19" t="inlineStr">
        <is>
          <t>Manakondur PS 246</t>
        </is>
      </c>
      <c r="C251" s="20" t="n">
        <v>1</v>
      </c>
      <c r="D251" s="20" t="n">
        <v>2</v>
      </c>
      <c r="E251" s="20" t="n">
        <v>0</v>
      </c>
      <c r="F251" s="20" t="n">
        <v>4</v>
      </c>
      <c r="G251" s="20" t="n">
        <v>5</v>
      </c>
      <c r="H251" s="20" t="n">
        <v>6</v>
      </c>
      <c r="I251" s="20" t="n">
        <v>7</v>
      </c>
      <c r="J251" s="20" t="n">
        <v>8</v>
      </c>
      <c r="K251" s="20" t="n">
        <v>9</v>
      </c>
      <c r="L251" s="20" t="n">
        <v>10</v>
      </c>
      <c r="M251" s="20" t="n">
        <v>11</v>
      </c>
      <c r="N251" s="20" t="n">
        <v>12</v>
      </c>
      <c r="O251" s="20" t="n">
        <v>2</v>
      </c>
      <c r="P251" s="20" t="n">
        <v>77</v>
      </c>
      <c r="Q251" s="20" t="n">
        <v>1</v>
      </c>
      <c r="R251" s="20" t="n">
        <v>16</v>
      </c>
      <c r="S251" s="20" t="n">
        <v>94</v>
      </c>
      <c r="T251" s="20" t="n">
        <v>18</v>
      </c>
      <c r="U251" s="20">
        <f>SUM(C251:O251)-P251</f>
        <v/>
      </c>
    </row>
    <row r="252">
      <c r="A252" s="18" t="n">
        <v>247</v>
      </c>
      <c r="B252" s="19" t="inlineStr">
        <is>
          <t>Manakondur PS 247</t>
        </is>
      </c>
      <c r="C252" s="20" t="n">
        <v>151</v>
      </c>
      <c r="D252" s="20" t="n">
        <v>4</v>
      </c>
      <c r="E252" s="20" t="n">
        <v>4</v>
      </c>
      <c r="F252" s="20" t="n">
        <v>10</v>
      </c>
      <c r="G252" s="20" t="n">
        <v>470</v>
      </c>
      <c r="H252" s="20" t="n">
        <v>8</v>
      </c>
      <c r="I252" s="20" t="n">
        <v>0</v>
      </c>
      <c r="J252" s="20" t="n">
        <v>0</v>
      </c>
      <c r="K252" s="20" t="n">
        <v>63</v>
      </c>
      <c r="L252" s="20" t="n">
        <v>2</v>
      </c>
      <c r="M252" s="20" t="n">
        <v>0</v>
      </c>
      <c r="N252" s="20" t="n">
        <v>1</v>
      </c>
      <c r="O252" s="20" t="n">
        <v>2</v>
      </c>
      <c r="P252" s="20" t="n">
        <v>715</v>
      </c>
      <c r="Q252" s="20" t="n">
        <v>0</v>
      </c>
      <c r="R252" s="20" t="n">
        <v>0</v>
      </c>
      <c r="S252" s="20" t="n">
        <v>715</v>
      </c>
      <c r="T252" s="20" t="n">
        <v>0</v>
      </c>
      <c r="U252" s="20">
        <f>SUM(C252:O252)-P252</f>
        <v/>
      </c>
    </row>
    <row r="253">
      <c r="A253" s="18" t="n">
        <v>248</v>
      </c>
      <c r="B253" s="19" t="inlineStr">
        <is>
          <t>Manakondur PS 248</t>
        </is>
      </c>
      <c r="C253" s="20" t="n">
        <v>506</v>
      </c>
      <c r="D253" s="20" t="n">
        <v>16</v>
      </c>
      <c r="E253" s="20" t="n">
        <v>0</v>
      </c>
      <c r="F253" s="20" t="n">
        <v>8</v>
      </c>
      <c r="G253" s="20" t="n">
        <v>438</v>
      </c>
      <c r="H253" s="20" t="n">
        <v>1</v>
      </c>
      <c r="I253" s="20" t="n">
        <v>1</v>
      </c>
      <c r="J253" s="20" t="n">
        <v>0</v>
      </c>
      <c r="K253" s="20" t="n">
        <v>62</v>
      </c>
      <c r="L253" s="20" t="n">
        <v>2</v>
      </c>
      <c r="M253" s="20" t="n">
        <v>0</v>
      </c>
      <c r="N253" s="20" t="n">
        <v>3</v>
      </c>
      <c r="O253" s="20" t="n">
        <v>2</v>
      </c>
      <c r="P253" s="20" t="n">
        <v>1039</v>
      </c>
      <c r="Q253" s="20" t="n">
        <v>0</v>
      </c>
      <c r="R253" s="20" t="n">
        <v>10</v>
      </c>
      <c r="S253" s="20" t="n">
        <v>1049</v>
      </c>
      <c r="T253" s="20" t="n">
        <v>0</v>
      </c>
      <c r="U253" s="20">
        <f>SUM(C253:O253)-P253</f>
        <v/>
      </c>
    </row>
    <row r="254">
      <c r="A254" s="18" t="n">
        <v>249</v>
      </c>
      <c r="B254" s="19" t="inlineStr">
        <is>
          <t>Manakondur PS 249</t>
        </is>
      </c>
      <c r="C254" s="20" t="n">
        <v>207</v>
      </c>
      <c r="D254" s="20" t="n">
        <v>9</v>
      </c>
      <c r="E254" s="20" t="n">
        <v>0</v>
      </c>
      <c r="F254" s="20" t="n">
        <v>0</v>
      </c>
      <c r="G254" s="20" t="n">
        <v>141</v>
      </c>
      <c r="H254" s="20" t="n">
        <v>1</v>
      </c>
      <c r="I254" s="20" t="n">
        <v>0</v>
      </c>
      <c r="J254" s="20" t="n">
        <v>2</v>
      </c>
      <c r="K254" s="20" t="n">
        <v>20</v>
      </c>
      <c r="L254" s="20" t="n">
        <v>0</v>
      </c>
      <c r="M254" s="20" t="n">
        <v>0</v>
      </c>
      <c r="N254" s="20" t="n">
        <v>4</v>
      </c>
      <c r="O254" s="20" t="n">
        <v>1</v>
      </c>
      <c r="P254" s="20" t="n">
        <v>385</v>
      </c>
      <c r="Q254" s="20" t="n">
        <v>0</v>
      </c>
      <c r="R254" s="20" t="n">
        <v>4</v>
      </c>
      <c r="S254" s="20" t="n">
        <v>389</v>
      </c>
      <c r="T254" s="20" t="n">
        <v>0</v>
      </c>
      <c r="U254" s="20">
        <f>SUM(C254:O254)-P254</f>
        <v/>
      </c>
    </row>
    <row r="255">
      <c r="A255" s="18" t="n">
        <v>250</v>
      </c>
      <c r="B255" s="19" t="inlineStr">
        <is>
          <t>Manakondur PS 250</t>
        </is>
      </c>
      <c r="C255" s="20" t="n">
        <v>0</v>
      </c>
      <c r="D255" s="20" t="n">
        <v>5</v>
      </c>
      <c r="E255" s="20" t="n">
        <v>1</v>
      </c>
      <c r="F255" s="20" t="n">
        <v>3</v>
      </c>
      <c r="G255" s="20" t="n">
        <v>220</v>
      </c>
      <c r="H255" s="20" t="n">
        <v>0</v>
      </c>
      <c r="I255" s="20" t="n">
        <v>0</v>
      </c>
      <c r="J255" s="20" t="n">
        <v>0</v>
      </c>
      <c r="K255" s="20" t="n">
        <v>20</v>
      </c>
      <c r="L255" s="20" t="n">
        <v>0</v>
      </c>
      <c r="M255" s="20" t="n">
        <v>0</v>
      </c>
      <c r="N255" s="20" t="n">
        <v>0</v>
      </c>
      <c r="O255" s="20" t="n">
        <v>1</v>
      </c>
      <c r="P255" s="20" t="n">
        <v>250</v>
      </c>
      <c r="Q255" s="20" t="n">
        <v>0</v>
      </c>
      <c r="R255" s="20" t="n">
        <v>3</v>
      </c>
      <c r="S255" s="20" t="n">
        <v>253</v>
      </c>
      <c r="T255" s="20" t="n">
        <v>0</v>
      </c>
      <c r="U255" s="20">
        <f>SUM(C255:O255)-P255</f>
        <v/>
      </c>
    </row>
    <row r="256">
      <c r="A256" s="18" t="n">
        <v>251</v>
      </c>
      <c r="B256" s="19" t="inlineStr">
        <is>
          <t>Manakondur PS 251</t>
        </is>
      </c>
      <c r="C256" s="20" t="n">
        <v>218</v>
      </c>
      <c r="D256" s="20" t="n">
        <v>10</v>
      </c>
      <c r="E256" s="20" t="n">
        <v>4</v>
      </c>
      <c r="F256" s="20" t="n">
        <v>0</v>
      </c>
      <c r="G256" s="20" t="n">
        <v>358</v>
      </c>
      <c r="H256" s="20" t="n">
        <v>0</v>
      </c>
      <c r="I256" s="20" t="n">
        <v>1</v>
      </c>
      <c r="J256" s="20" t="n">
        <v>0</v>
      </c>
      <c r="K256" s="20" t="n">
        <v>58</v>
      </c>
      <c r="L256" s="20" t="n">
        <v>4</v>
      </c>
      <c r="M256" s="20" t="n">
        <v>0</v>
      </c>
      <c r="N256" s="20" t="n">
        <v>3</v>
      </c>
      <c r="O256" s="20" t="n">
        <v>1</v>
      </c>
      <c r="P256" s="20" t="n">
        <v>657</v>
      </c>
      <c r="Q256" s="20" t="n">
        <v>0</v>
      </c>
      <c r="R256" s="20" t="n">
        <v>10</v>
      </c>
      <c r="S256" s="20" t="n">
        <v>667</v>
      </c>
      <c r="T256" s="20" t="n">
        <v>0</v>
      </c>
      <c r="U256" s="20">
        <f>SUM(C256:O256)-P256</f>
        <v/>
      </c>
    </row>
    <row r="257">
      <c r="A257" s="18" t="n">
        <v>252</v>
      </c>
      <c r="B257" s="19" t="inlineStr">
        <is>
          <t>Manakondur PS 252</t>
        </is>
      </c>
      <c r="C257" s="20" t="n">
        <v>199</v>
      </c>
      <c r="D257" s="20" t="n">
        <v>19</v>
      </c>
      <c r="E257" s="20" t="n">
        <v>0</v>
      </c>
      <c r="F257" s="20" t="n">
        <v>2</v>
      </c>
      <c r="G257" s="20" t="n">
        <v>492</v>
      </c>
      <c r="H257" s="20" t="n">
        <v>2</v>
      </c>
      <c r="I257" s="20" t="n">
        <v>1</v>
      </c>
      <c r="J257" s="20" t="n">
        <v>1</v>
      </c>
      <c r="K257" s="20" t="n">
        <v>78</v>
      </c>
      <c r="L257" s="20" t="n">
        <v>3</v>
      </c>
      <c r="M257" s="20" t="n">
        <v>2</v>
      </c>
      <c r="N257" s="20" t="n">
        <v>1</v>
      </c>
      <c r="O257" s="20" t="n">
        <v>3</v>
      </c>
      <c r="P257" s="20" t="n">
        <v>803</v>
      </c>
      <c r="Q257" s="20" t="n">
        <v>0</v>
      </c>
      <c r="R257" s="20" t="n">
        <v>0</v>
      </c>
      <c r="S257" s="20" t="n">
        <v>803</v>
      </c>
      <c r="T257" s="20" t="n">
        <v>0</v>
      </c>
      <c r="U257" s="20">
        <f>SUM(C257:O257)-P257</f>
        <v/>
      </c>
    </row>
    <row r="258">
      <c r="A258" s="18" t="n">
        <v>253</v>
      </c>
      <c r="B258" s="19" t="inlineStr">
        <is>
          <t>Manakondur PS 253</t>
        </is>
      </c>
      <c r="C258" s="20" t="n">
        <v>69</v>
      </c>
      <c r="D258" s="20" t="n">
        <v>5</v>
      </c>
      <c r="E258" s="20" t="n">
        <v>0</v>
      </c>
      <c r="F258" s="20" t="n">
        <v>2</v>
      </c>
      <c r="G258" s="20" t="n">
        <v>217</v>
      </c>
      <c r="H258" s="20" t="n">
        <v>0</v>
      </c>
      <c r="I258" s="20" t="n">
        <v>0</v>
      </c>
      <c r="J258" s="20" t="n">
        <v>0</v>
      </c>
      <c r="K258" s="20" t="n">
        <v>27</v>
      </c>
      <c r="L258" s="20" t="n">
        <v>1</v>
      </c>
      <c r="M258" s="20" t="n">
        <v>0</v>
      </c>
      <c r="N258" s="20" t="n">
        <v>1</v>
      </c>
      <c r="O258" s="20" t="n">
        <v>0</v>
      </c>
      <c r="P258" s="20" t="n">
        <v>322</v>
      </c>
      <c r="Q258" s="20" t="n">
        <v>0</v>
      </c>
      <c r="R258" s="20" t="n">
        <v>0</v>
      </c>
      <c r="S258" s="20" t="n">
        <v>322</v>
      </c>
      <c r="T258" s="20" t="n">
        <v>0</v>
      </c>
      <c r="U258" s="20">
        <f>SUM(C258:O258)-P258</f>
        <v/>
      </c>
    </row>
    <row r="259">
      <c r="A259" s="18" t="n">
        <v>254</v>
      </c>
      <c r="B259" s="19" t="inlineStr">
        <is>
          <t>Manakondur PS 254</t>
        </is>
      </c>
      <c r="C259" s="20" t="n">
        <v>168</v>
      </c>
      <c r="D259" s="20" t="n">
        <v>8</v>
      </c>
      <c r="E259" s="20" t="n">
        <v>1</v>
      </c>
      <c r="F259" s="20" t="n">
        <v>6</v>
      </c>
      <c r="G259" s="20" t="n">
        <v>482</v>
      </c>
      <c r="H259" s="20" t="n">
        <v>8</v>
      </c>
      <c r="I259" s="20" t="n">
        <v>1</v>
      </c>
      <c r="J259" s="20" t="n">
        <v>6</v>
      </c>
      <c r="K259" s="20" t="n">
        <v>85</v>
      </c>
      <c r="L259" s="20" t="n">
        <v>9</v>
      </c>
      <c r="M259" s="20" t="n">
        <v>0</v>
      </c>
      <c r="N259" s="20" t="n">
        <v>2</v>
      </c>
      <c r="O259" s="20" t="n">
        <v>3</v>
      </c>
      <c r="P259" s="20" t="n">
        <v>779</v>
      </c>
      <c r="Q259" s="20" t="n">
        <v>0</v>
      </c>
      <c r="R259" s="20" t="n">
        <v>7</v>
      </c>
      <c r="S259" s="20" t="n">
        <v>786</v>
      </c>
      <c r="T259" s="20" t="n">
        <v>0</v>
      </c>
      <c r="U259" s="20">
        <f>SUM(C259:O259)-P259</f>
        <v/>
      </c>
    </row>
    <row r="260">
      <c r="A260" s="18" t="n">
        <v>255</v>
      </c>
      <c r="B260" s="19" t="inlineStr">
        <is>
          <t>Manakondur PS 255</t>
        </is>
      </c>
      <c r="C260" s="20" t="n">
        <v>394</v>
      </c>
      <c r="D260" s="20" t="n">
        <v>24</v>
      </c>
      <c r="E260" s="20" t="n">
        <v>2</v>
      </c>
      <c r="F260" s="20" t="n">
        <v>11</v>
      </c>
      <c r="G260" s="20" t="n">
        <v>471</v>
      </c>
      <c r="H260" s="20" t="n">
        <v>2</v>
      </c>
      <c r="I260" s="20" t="n">
        <v>1</v>
      </c>
      <c r="J260" s="20" t="n">
        <v>2</v>
      </c>
      <c r="K260" s="20" t="n">
        <v>66</v>
      </c>
      <c r="L260" s="20" t="n">
        <v>0</v>
      </c>
      <c r="M260" s="20" t="n">
        <v>0</v>
      </c>
      <c r="N260" s="20" t="n">
        <v>0</v>
      </c>
      <c r="O260" s="20" t="n">
        <v>1</v>
      </c>
      <c r="P260" s="20" t="n">
        <v>974</v>
      </c>
      <c r="Q260" s="20" t="n">
        <v>0</v>
      </c>
      <c r="R260" s="20" t="n">
        <v>7</v>
      </c>
      <c r="S260" s="20" t="n">
        <v>981</v>
      </c>
      <c r="T260" s="20" t="n">
        <v>0</v>
      </c>
      <c r="U260" s="20">
        <f>SUM(C260:O260)-P260</f>
        <v/>
      </c>
    </row>
    <row r="261">
      <c r="A261" s="18" t="n">
        <v>256</v>
      </c>
      <c r="B261" s="19" t="inlineStr">
        <is>
          <t>Manakondur PS 256</t>
        </is>
      </c>
      <c r="C261" s="20" t="n">
        <v>244</v>
      </c>
      <c r="D261" s="20" t="n">
        <v>8</v>
      </c>
      <c r="E261" s="20" t="n">
        <v>1</v>
      </c>
      <c r="F261" s="20" t="n">
        <v>16</v>
      </c>
      <c r="G261" s="20" t="n">
        <v>402</v>
      </c>
      <c r="H261" s="20" t="n">
        <v>4</v>
      </c>
      <c r="I261" s="20" t="n">
        <v>0</v>
      </c>
      <c r="J261" s="20" t="n">
        <v>1</v>
      </c>
      <c r="K261" s="20" t="n">
        <v>84</v>
      </c>
      <c r="L261" s="20" t="n">
        <v>6</v>
      </c>
      <c r="M261" s="20" t="n">
        <v>6</v>
      </c>
      <c r="N261" s="20" t="n">
        <v>4</v>
      </c>
      <c r="O261" s="20" t="n">
        <v>1</v>
      </c>
      <c r="P261" s="20" t="n">
        <v>777</v>
      </c>
      <c r="Q261" s="20" t="n">
        <v>0</v>
      </c>
      <c r="R261" s="20" t="n">
        <v>8</v>
      </c>
      <c r="S261" s="20" t="n">
        <v>785</v>
      </c>
      <c r="T261" s="20" t="n">
        <v>0</v>
      </c>
      <c r="U261" s="20">
        <f>SUM(C261:O261)-P261</f>
        <v/>
      </c>
    </row>
    <row r="262">
      <c r="A262" s="18" t="n">
        <v>257</v>
      </c>
      <c r="B262" s="19" t="inlineStr">
        <is>
          <t>Manakondur PS 257</t>
        </is>
      </c>
      <c r="C262" s="20" t="n">
        <v>175</v>
      </c>
      <c r="D262" s="20" t="n">
        <v>7</v>
      </c>
      <c r="E262" s="20" t="n">
        <v>1</v>
      </c>
      <c r="F262" s="20" t="n">
        <v>4</v>
      </c>
      <c r="G262" s="20" t="n">
        <v>519</v>
      </c>
      <c r="H262" s="20" t="n">
        <v>0</v>
      </c>
      <c r="I262" s="20" t="n">
        <v>0</v>
      </c>
      <c r="J262" s="20" t="n">
        <v>4</v>
      </c>
      <c r="K262" s="20" t="n">
        <v>93</v>
      </c>
      <c r="L262" s="20" t="n">
        <v>10</v>
      </c>
      <c r="M262" s="20" t="n">
        <v>1</v>
      </c>
      <c r="N262" s="20" t="n">
        <v>4</v>
      </c>
      <c r="O262" s="20" t="n">
        <v>4</v>
      </c>
      <c r="P262" s="20" t="n">
        <v>822</v>
      </c>
      <c r="Q262" s="20" t="n">
        <v>0</v>
      </c>
      <c r="R262" s="20" t="n">
        <v>16</v>
      </c>
      <c r="S262" s="20" t="n">
        <v>838</v>
      </c>
      <c r="T262" s="20" t="n">
        <v>0</v>
      </c>
      <c r="U262" s="20">
        <f>SUM(C262:O262)-P262</f>
        <v/>
      </c>
    </row>
    <row r="263">
      <c r="A263" s="21" t="inlineStr">
        <is>
          <t>TOTAL EVM VOTES</t>
        </is>
      </c>
      <c r="B263" s="22" t="n"/>
      <c r="C263" s="13">
        <f>SUM(C6:C262)</f>
        <v/>
      </c>
      <c r="D263" s="13">
        <f>SUM(D6:D262)</f>
        <v/>
      </c>
      <c r="E263" s="13">
        <f>SUM(E6:E262)</f>
        <v/>
      </c>
      <c r="F263" s="13">
        <f>SUM(F6:F262)</f>
        <v/>
      </c>
      <c r="G263" s="13">
        <f>SUM(G6:G262)</f>
        <v/>
      </c>
      <c r="H263" s="13">
        <f>SUM(H6:H262)</f>
        <v/>
      </c>
      <c r="I263" s="13">
        <f>SUM(I6:I262)</f>
        <v/>
      </c>
      <c r="J263" s="13">
        <f>SUM(J6:J262)</f>
        <v/>
      </c>
      <c r="K263" s="13">
        <f>SUM(K6:K262)</f>
        <v/>
      </c>
      <c r="L263" s="13">
        <f>SUM(L6:L262)</f>
        <v/>
      </c>
      <c r="M263" s="13">
        <f>SUM(M6:M262)</f>
        <v/>
      </c>
      <c r="N263" s="13">
        <f>SUM(N6:N262)</f>
        <v/>
      </c>
      <c r="O263" s="13">
        <f>SUM(O6:O262)</f>
        <v/>
      </c>
      <c r="P263" s="13">
        <f>SUM(P6:P262)</f>
        <v/>
      </c>
      <c r="Q263" s="13">
        <f>SUM(Q6:Q262)</f>
        <v/>
      </c>
      <c r="R263" s="13">
        <f>SUM(R6:R262)</f>
        <v/>
      </c>
      <c r="S263" s="13">
        <f>SUM(S6:S262)</f>
        <v/>
      </c>
      <c r="T263" s="13">
        <f>SUM(T6:T262)</f>
        <v/>
      </c>
      <c r="U263" s="13">
        <f>SUM(U6:U262)</f>
        <v/>
      </c>
    </row>
    <row r="264">
      <c r="A264" s="23" t="inlineStr">
        <is>
          <t>POSTAL BALLOT VOTES</t>
        </is>
      </c>
      <c r="B264" s="24" t="n"/>
      <c r="C264" s="13" t="n">
        <v>279</v>
      </c>
      <c r="D264" s="13" t="n">
        <v>21</v>
      </c>
      <c r="E264" s="13" t="n">
        <v>3</v>
      </c>
      <c r="F264" s="13" t="n">
        <v>10</v>
      </c>
      <c r="G264" s="13" t="n">
        <v>107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  <c r="M264" s="13" t="n">
        <v>0</v>
      </c>
      <c r="N264" s="13" t="n">
        <v>0</v>
      </c>
      <c r="O264" s="13" t="n">
        <v>0</v>
      </c>
      <c r="P264" s="13" t="n">
        <v>420</v>
      </c>
      <c r="Q264" s="13" t="n">
        <v>47</v>
      </c>
      <c r="R264" s="13" t="n">
        <v>3</v>
      </c>
      <c r="S264" s="13" t="n">
        <v>470</v>
      </c>
      <c r="T264" s="13" t="n">
        <v>0</v>
      </c>
      <c r="U264" s="13" t="n">
        <v>0</v>
      </c>
    </row>
    <row r="265">
      <c r="A265" s="25" t="inlineStr">
        <is>
          <t>TOTAL VOTES POLLED</t>
        </is>
      </c>
      <c r="B265" s="26" t="n"/>
      <c r="C265" s="14">
        <f>C263+C264</f>
        <v/>
      </c>
      <c r="D265" s="14">
        <f>D263+D264</f>
        <v/>
      </c>
      <c r="E265" s="14">
        <f>E263+E264</f>
        <v/>
      </c>
      <c r="F265" s="14">
        <f>F263+F264</f>
        <v/>
      </c>
      <c r="G265" s="14">
        <f>G263+G264</f>
        <v/>
      </c>
      <c r="H265" s="14">
        <f>H263+H264</f>
        <v/>
      </c>
      <c r="I265" s="14">
        <f>I263+I264</f>
        <v/>
      </c>
      <c r="J265" s="14">
        <f>J263+J264</f>
        <v/>
      </c>
      <c r="K265" s="14">
        <f>K263+K264</f>
        <v/>
      </c>
      <c r="L265" s="14">
        <f>L263+L264</f>
        <v/>
      </c>
      <c r="M265" s="14">
        <f>M263+M264</f>
        <v/>
      </c>
      <c r="N265" s="14">
        <f>N263+N264</f>
        <v/>
      </c>
      <c r="O265" s="14">
        <f>O263+O264</f>
        <v/>
      </c>
      <c r="P265" s="14">
        <f>P263+P264</f>
        <v/>
      </c>
      <c r="Q265" s="14">
        <f>Q263+Q264</f>
        <v/>
      </c>
      <c r="R265" s="14">
        <f>R263+R264</f>
        <v/>
      </c>
      <c r="S265" s="14">
        <f>S263+S264</f>
        <v/>
      </c>
      <c r="T265" s="14">
        <f>T263+T264</f>
        <v/>
      </c>
      <c r="U265" s="14">
        <f>U263+U264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5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22" customWidth="1" min="4" max="4"/>
    <col width="16" customWidth="1" min="5" max="5"/>
    <col width="29" customWidth="1" min="6" max="6"/>
    <col width="16" customWidth="1" min="7" max="7"/>
    <col width="24" customWidth="1" min="8" max="8"/>
    <col width="19" customWidth="1" min="9" max="9"/>
    <col width="27" customWidth="1" min="10" max="10"/>
    <col width="20" customWidth="1" min="11" max="11"/>
    <col width="17" customWidth="1" min="12" max="12"/>
    <col width="19" customWidth="1" min="13" max="13"/>
    <col width="17" customWidth="1" min="14" max="14"/>
    <col width="16" customWidth="1" min="15" max="15"/>
    <col width="20" customWidth="1" min="16" max="16"/>
    <col width="21" customWidth="1" min="17" max="17"/>
    <col width="20" customWidth="1" min="18" max="18"/>
    <col width="17" customWidth="1" min="19" max="19"/>
    <col width="16" customWidth="1" min="20" max="20"/>
    <col width="16" customWidth="1" min="21" max="21"/>
    <col width="17" customWidth="1" min="22" max="22"/>
  </cols>
  <sheetData>
    <row r="1">
      <c r="A1" s="1" t="inlineStr">
        <is>
          <t>Telangana Legislative Assembly General Election 2018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31-Huzurabad Assembly Constituency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EATALA RAJENDAR</t>
        </is>
      </c>
      <c r="D5" s="6" t="inlineStr">
        <is>
          <t>PAADI KAUSHIK REDDY</t>
        </is>
      </c>
      <c r="E5" s="6" t="inlineStr">
        <is>
          <t>RAGHU PULLURU</t>
        </is>
      </c>
      <c r="F5" s="6" t="inlineStr">
        <is>
          <t>CHITTA REDDY MADHAVA REDDY</t>
        </is>
      </c>
      <c r="G5" s="6" t="inlineStr">
        <is>
          <t>DARA SWAMY</t>
        </is>
      </c>
      <c r="H5" s="6" t="inlineStr">
        <is>
          <t>BARIGE GATTAIAH YADAV</t>
        </is>
      </c>
      <c r="I5" s="6" t="inlineStr">
        <is>
          <t>KANDELA SINDHUJA</t>
        </is>
      </c>
      <c r="J5" s="6" t="inlineStr">
        <is>
          <t>KETHIRI THIRUPATHI REDDY</t>
        </is>
      </c>
      <c r="K5" s="6" t="inlineStr">
        <is>
          <t>DURGAM PREM KUMAR</t>
        </is>
      </c>
      <c r="L5" s="6" t="inlineStr">
        <is>
          <t>BOLLAM SHANKAR</t>
        </is>
      </c>
      <c r="M5" s="6" t="inlineStr">
        <is>
          <t>MOHAN REDDY JADI</t>
        </is>
      </c>
      <c r="N5" s="6" t="inlineStr">
        <is>
          <t>RAVINDER KOTHA</t>
        </is>
      </c>
      <c r="O5" s="6" t="inlineStr">
        <is>
          <t>SHAKEEL AHMED</t>
        </is>
      </c>
      <c r="P5" s="6" t="inlineStr">
        <is>
          <t>SWAMY SHANIGARAPU</t>
        </is>
      </c>
      <c r="Q5" s="6" t="inlineStr">
        <is>
          <t>HOON GOURI SHANKER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2</v>
      </c>
      <c r="B6" s="8" t="inlineStr">
        <is>
          <t>Polling Station 2</t>
        </is>
      </c>
      <c r="C6" s="9" t="n">
        <v>0</v>
      </c>
      <c r="D6" s="9" t="n">
        <v>0</v>
      </c>
      <c r="E6" s="9" t="n">
        <v>0</v>
      </c>
      <c r="F6" s="9" t="n">
        <v>3</v>
      </c>
      <c r="G6" s="9" t="n">
        <v>4</v>
      </c>
      <c r="H6" s="9" t="n">
        <v>5</v>
      </c>
      <c r="I6" s="9" t="n">
        <v>6</v>
      </c>
      <c r="J6" s="9" t="n">
        <v>7</v>
      </c>
      <c r="K6" s="9" t="n">
        <v>8</v>
      </c>
      <c r="L6" s="9" t="n">
        <v>9</v>
      </c>
      <c r="M6" s="9" t="n">
        <v>10</v>
      </c>
      <c r="N6" s="9" t="n">
        <v>0</v>
      </c>
      <c r="O6" s="9" t="n">
        <v>12</v>
      </c>
      <c r="P6" s="9" t="n">
        <v>13</v>
      </c>
      <c r="Q6" s="9" t="n">
        <v>14</v>
      </c>
      <c r="R6" s="10" t="n">
        <v>91</v>
      </c>
      <c r="S6" s="10" t="n">
        <v>16</v>
      </c>
      <c r="T6" s="10" t="n">
        <v>16</v>
      </c>
      <c r="U6" s="10" t="n">
        <v>123</v>
      </c>
      <c r="V6" s="10" t="n">
        <v>0</v>
      </c>
    </row>
    <row r="7">
      <c r="A7" s="7" t="n">
        <v>3</v>
      </c>
      <c r="B7" s="8" t="inlineStr">
        <is>
          <t>Polling Station 3</t>
        </is>
      </c>
      <c r="C7" s="9" t="n">
        <v>0</v>
      </c>
      <c r="D7" s="9" t="n">
        <v>0</v>
      </c>
      <c r="E7" s="9" t="n">
        <v>425</v>
      </c>
      <c r="F7" s="9" t="n">
        <v>379</v>
      </c>
      <c r="G7" s="9" t="n">
        <v>0</v>
      </c>
      <c r="H7" s="9" t="n">
        <v>2</v>
      </c>
      <c r="I7" s="9" t="n">
        <v>0</v>
      </c>
      <c r="J7" s="9" t="n">
        <v>0</v>
      </c>
      <c r="K7" s="9" t="n">
        <v>7</v>
      </c>
      <c r="L7" s="9" t="n">
        <v>2</v>
      </c>
      <c r="M7" s="9" t="n">
        <v>4</v>
      </c>
      <c r="N7" s="9" t="n">
        <v>16</v>
      </c>
      <c r="O7" s="9" t="n">
        <v>5</v>
      </c>
      <c r="P7" s="9" t="n">
        <v>0</v>
      </c>
      <c r="Q7" s="9" t="n">
        <v>0</v>
      </c>
      <c r="R7" s="10" t="n">
        <v>840</v>
      </c>
      <c r="S7" s="10" t="n">
        <v>0</v>
      </c>
      <c r="T7" s="10" t="n">
        <v>0</v>
      </c>
      <c r="U7" s="10" t="n">
        <v>840</v>
      </c>
      <c r="V7" s="10" t="n">
        <v>0</v>
      </c>
    </row>
    <row r="8">
      <c r="A8" s="7" t="n">
        <v>4</v>
      </c>
      <c r="B8" s="8" t="inlineStr">
        <is>
          <t>Polling Station 4</t>
        </is>
      </c>
      <c r="C8" s="9" t="n">
        <v>0</v>
      </c>
      <c r="D8" s="9" t="n">
        <v>0</v>
      </c>
      <c r="E8" s="9" t="n">
        <v>475</v>
      </c>
      <c r="F8" s="9" t="n">
        <v>286</v>
      </c>
      <c r="G8" s="9" t="n">
        <v>0</v>
      </c>
      <c r="H8" s="9" t="n">
        <v>10</v>
      </c>
      <c r="I8" s="9" t="n">
        <v>1</v>
      </c>
      <c r="J8" s="9" t="n">
        <v>0</v>
      </c>
      <c r="K8" s="9" t="n">
        <v>8</v>
      </c>
      <c r="L8" s="9" t="n">
        <v>1</v>
      </c>
      <c r="M8" s="9" t="n">
        <v>0</v>
      </c>
      <c r="N8" s="9" t="n">
        <v>0</v>
      </c>
      <c r="O8" s="9" t="n">
        <v>813</v>
      </c>
      <c r="P8" s="9" t="n">
        <v>0</v>
      </c>
      <c r="Q8" s="9" t="n">
        <v>0</v>
      </c>
      <c r="R8" s="10" t="n">
        <v>1594</v>
      </c>
      <c r="S8" s="10" t="n">
        <v>0</v>
      </c>
      <c r="T8" s="10" t="n">
        <v>0</v>
      </c>
      <c r="U8" s="10" t="n">
        <v>1594</v>
      </c>
      <c r="V8" s="10" t="n">
        <v>0</v>
      </c>
    </row>
    <row r="9">
      <c r="A9" s="7" t="n">
        <v>5</v>
      </c>
      <c r="B9" s="8" t="inlineStr">
        <is>
          <t>Polling Station 5</t>
        </is>
      </c>
      <c r="C9" s="9" t="n">
        <v>0</v>
      </c>
      <c r="D9" s="9" t="n">
        <v>0</v>
      </c>
      <c r="E9" s="9" t="n">
        <v>600</v>
      </c>
      <c r="F9" s="9" t="n">
        <v>189</v>
      </c>
      <c r="G9" s="9" t="n">
        <v>8</v>
      </c>
      <c r="H9" s="9" t="n">
        <v>4</v>
      </c>
      <c r="I9" s="9" t="n">
        <v>0</v>
      </c>
      <c r="J9" s="9" t="n">
        <v>4</v>
      </c>
      <c r="K9" s="9" t="n">
        <v>12</v>
      </c>
      <c r="L9" s="9" t="n">
        <v>0</v>
      </c>
      <c r="M9" s="9" t="n">
        <v>5</v>
      </c>
      <c r="N9" s="9" t="n">
        <v>0</v>
      </c>
      <c r="O9" s="9" t="n">
        <v>842</v>
      </c>
      <c r="P9" s="9" t="n">
        <v>0</v>
      </c>
      <c r="Q9" s="9" t="n">
        <v>0</v>
      </c>
      <c r="R9" s="10" t="n">
        <v>1664</v>
      </c>
      <c r="S9" s="10" t="n">
        <v>0</v>
      </c>
      <c r="T9" s="10" t="n">
        <v>0</v>
      </c>
      <c r="U9" s="10" t="n">
        <v>1664</v>
      </c>
      <c r="V9" s="10" t="n">
        <v>0</v>
      </c>
    </row>
    <row r="10">
      <c r="A10" s="7" t="n">
        <v>6</v>
      </c>
      <c r="B10" s="8" t="inlineStr">
        <is>
          <t>Polling Station 6</t>
        </is>
      </c>
      <c r="C10" s="9" t="n">
        <v>0</v>
      </c>
      <c r="D10" s="9" t="n">
        <v>0</v>
      </c>
      <c r="E10" s="9" t="n">
        <v>255</v>
      </c>
      <c r="F10" s="9" t="n">
        <v>156</v>
      </c>
      <c r="G10" s="9" t="n">
        <v>2</v>
      </c>
      <c r="H10" s="9" t="n">
        <v>6</v>
      </c>
      <c r="I10" s="9" t="n">
        <v>4</v>
      </c>
      <c r="J10" s="9" t="n">
        <v>0</v>
      </c>
      <c r="K10" s="9" t="n">
        <v>2</v>
      </c>
      <c r="L10" s="9" t="n">
        <v>0</v>
      </c>
      <c r="M10" s="9" t="n">
        <v>0</v>
      </c>
      <c r="N10" s="9" t="n">
        <v>9</v>
      </c>
      <c r="O10" s="9" t="n">
        <v>431</v>
      </c>
      <c r="P10" s="9" t="n">
        <v>0</v>
      </c>
      <c r="Q10" s="9" t="n">
        <v>0</v>
      </c>
      <c r="R10" s="10" t="n">
        <v>865</v>
      </c>
      <c r="S10" s="10" t="n">
        <v>0</v>
      </c>
      <c r="T10" s="10" t="n">
        <v>0</v>
      </c>
      <c r="U10" s="10" t="n">
        <v>865</v>
      </c>
      <c r="V10" s="10" t="n">
        <v>0</v>
      </c>
    </row>
    <row r="11">
      <c r="A11" s="7" t="n">
        <v>7</v>
      </c>
      <c r="B11" s="8" t="inlineStr">
        <is>
          <t>Polling Station 7</t>
        </is>
      </c>
      <c r="C11" s="9" t="n">
        <v>0</v>
      </c>
      <c r="D11" s="9" t="n">
        <v>0</v>
      </c>
      <c r="E11" s="9" t="n">
        <v>279</v>
      </c>
      <c r="F11" s="9" t="n">
        <v>153</v>
      </c>
      <c r="G11" s="9" t="n">
        <v>9</v>
      </c>
      <c r="H11" s="9" t="n">
        <v>0</v>
      </c>
      <c r="I11" s="9" t="n">
        <v>0</v>
      </c>
      <c r="J11" s="9" t="n">
        <v>4</v>
      </c>
      <c r="K11" s="9" t="n">
        <v>2</v>
      </c>
      <c r="L11" s="9" t="n">
        <v>0</v>
      </c>
      <c r="M11" s="9" t="n">
        <v>0</v>
      </c>
      <c r="N11" s="9" t="n">
        <v>9</v>
      </c>
      <c r="O11" s="9" t="n">
        <v>449</v>
      </c>
      <c r="P11" s="9" t="n">
        <v>0</v>
      </c>
      <c r="Q11" s="9" t="n">
        <v>1</v>
      </c>
      <c r="R11" s="10" t="n">
        <v>906</v>
      </c>
      <c r="S11" s="10" t="n">
        <v>0</v>
      </c>
      <c r="T11" s="10" t="n">
        <v>0</v>
      </c>
      <c r="U11" s="10" t="n">
        <v>906</v>
      </c>
      <c r="V11" s="10" t="n">
        <v>0</v>
      </c>
    </row>
    <row r="12">
      <c r="A12" s="7" t="n">
        <v>8</v>
      </c>
      <c r="B12" s="8" t="inlineStr">
        <is>
          <t>Polling Station 8</t>
        </is>
      </c>
      <c r="C12" s="9" t="n">
        <v>0</v>
      </c>
      <c r="D12" s="9" t="n">
        <v>0</v>
      </c>
      <c r="E12" s="9" t="n">
        <v>226</v>
      </c>
      <c r="F12" s="9" t="n">
        <v>138</v>
      </c>
      <c r="G12" s="9" t="n">
        <v>0</v>
      </c>
      <c r="H12" s="9" t="n">
        <v>1</v>
      </c>
      <c r="I12" s="9" t="n">
        <v>2</v>
      </c>
      <c r="J12" s="9" t="n">
        <v>1</v>
      </c>
      <c r="K12" s="9" t="n">
        <v>2</v>
      </c>
      <c r="L12" s="9" t="n">
        <v>1</v>
      </c>
      <c r="M12" s="9" t="n">
        <v>2</v>
      </c>
      <c r="N12" s="9" t="n">
        <v>9</v>
      </c>
      <c r="O12" s="9" t="n">
        <v>391</v>
      </c>
      <c r="P12" s="9" t="n">
        <v>0</v>
      </c>
      <c r="Q12" s="9" t="n">
        <v>16</v>
      </c>
      <c r="R12" s="10" t="n">
        <v>789</v>
      </c>
      <c r="S12" s="10" t="n">
        <v>0</v>
      </c>
      <c r="T12" s="10" t="n">
        <v>0</v>
      </c>
      <c r="U12" s="10" t="n">
        <v>789</v>
      </c>
      <c r="V12" s="10" t="n">
        <v>0</v>
      </c>
    </row>
    <row r="13">
      <c r="A13" s="7" t="n">
        <v>9</v>
      </c>
      <c r="B13" s="8" t="inlineStr">
        <is>
          <t>Polling Station 9</t>
        </is>
      </c>
      <c r="C13" s="9" t="n">
        <v>0</v>
      </c>
      <c r="D13" s="9" t="n">
        <v>0</v>
      </c>
      <c r="E13" s="9" t="n">
        <v>281</v>
      </c>
      <c r="F13" s="9" t="n">
        <v>326</v>
      </c>
      <c r="G13" s="9" t="n">
        <v>5</v>
      </c>
      <c r="H13" s="9" t="n">
        <v>0</v>
      </c>
      <c r="I13" s="9" t="n">
        <v>4</v>
      </c>
      <c r="J13" s="9" t="n">
        <v>2</v>
      </c>
      <c r="K13" s="9" t="n">
        <v>3</v>
      </c>
      <c r="L13" s="9" t="n">
        <v>4</v>
      </c>
      <c r="M13" s="9" t="n">
        <v>0</v>
      </c>
      <c r="N13" s="9" t="n">
        <v>13</v>
      </c>
      <c r="O13" s="9" t="n">
        <v>639</v>
      </c>
      <c r="P13" s="9" t="n">
        <v>0</v>
      </c>
      <c r="Q13" s="9" t="n">
        <v>20</v>
      </c>
      <c r="R13" s="10" t="n">
        <v>1297</v>
      </c>
      <c r="S13" s="10" t="n">
        <v>0</v>
      </c>
      <c r="T13" s="10" t="n">
        <v>0</v>
      </c>
      <c r="U13" s="10" t="n">
        <v>1297</v>
      </c>
      <c r="V13" s="10" t="n">
        <v>0</v>
      </c>
    </row>
    <row r="14">
      <c r="A14" s="7" t="n">
        <v>10</v>
      </c>
      <c r="B14" s="8" t="inlineStr">
        <is>
          <t>Polling Station 10</t>
        </is>
      </c>
      <c r="C14" s="9" t="n">
        <v>0</v>
      </c>
      <c r="D14" s="9" t="n">
        <v>0</v>
      </c>
      <c r="E14" s="9" t="n">
        <v>262</v>
      </c>
      <c r="F14" s="9" t="n">
        <v>174</v>
      </c>
      <c r="G14" s="9" t="n">
        <v>4</v>
      </c>
      <c r="H14" s="9" t="n">
        <v>4</v>
      </c>
      <c r="I14" s="9" t="n">
        <v>1</v>
      </c>
      <c r="J14" s="9" t="n">
        <v>4</v>
      </c>
      <c r="K14" s="9" t="n">
        <v>5</v>
      </c>
      <c r="L14" s="9" t="n">
        <v>1</v>
      </c>
      <c r="M14" s="9" t="n">
        <v>1</v>
      </c>
      <c r="N14" s="9" t="n">
        <v>9</v>
      </c>
      <c r="O14" s="9" t="n">
        <v>465</v>
      </c>
      <c r="P14" s="9" t="n">
        <v>0</v>
      </c>
      <c r="Q14" s="9" t="n">
        <v>0</v>
      </c>
      <c r="R14" s="10" t="n">
        <v>930</v>
      </c>
      <c r="S14" s="10" t="n">
        <v>0</v>
      </c>
      <c r="T14" s="10" t="n">
        <v>0</v>
      </c>
      <c r="U14" s="10" t="n">
        <v>930</v>
      </c>
      <c r="V14" s="10" t="n">
        <v>0</v>
      </c>
    </row>
    <row r="15">
      <c r="A15" s="7" t="n">
        <v>11</v>
      </c>
      <c r="B15" s="8" t="inlineStr">
        <is>
          <t>Polling Station 11</t>
        </is>
      </c>
      <c r="C15" s="9" t="n">
        <v>3</v>
      </c>
      <c r="D15" s="9" t="n">
        <v>0</v>
      </c>
      <c r="E15" s="9" t="n">
        <v>383</v>
      </c>
      <c r="F15" s="9" t="n">
        <v>262</v>
      </c>
      <c r="G15" s="9" t="n">
        <v>1</v>
      </c>
      <c r="H15" s="9" t="n">
        <v>3</v>
      </c>
      <c r="I15" s="9" t="n">
        <v>1</v>
      </c>
      <c r="J15" s="9" t="n">
        <v>2</v>
      </c>
      <c r="K15" s="9" t="n">
        <v>6</v>
      </c>
      <c r="L15" s="9" t="n">
        <v>0</v>
      </c>
      <c r="M15" s="9" t="n">
        <v>1</v>
      </c>
      <c r="N15" s="9" t="n">
        <v>9</v>
      </c>
      <c r="O15" s="9" t="n">
        <v>672</v>
      </c>
      <c r="P15" s="9" t="n">
        <v>0</v>
      </c>
      <c r="Q15" s="9" t="n">
        <v>13</v>
      </c>
      <c r="R15" s="10" t="n">
        <v>1356</v>
      </c>
      <c r="S15" s="10" t="n">
        <v>0</v>
      </c>
      <c r="T15" s="10" t="n">
        <v>0</v>
      </c>
      <c r="U15" s="10" t="n">
        <v>1356</v>
      </c>
      <c r="V15" s="10" t="n">
        <v>0</v>
      </c>
    </row>
    <row r="16">
      <c r="A16" s="7" t="n">
        <v>12</v>
      </c>
      <c r="B16" s="8" t="inlineStr">
        <is>
          <t>Polling Station 12</t>
        </is>
      </c>
      <c r="C16" s="9" t="n">
        <v>10</v>
      </c>
      <c r="D16" s="9" t="n">
        <v>0</v>
      </c>
      <c r="E16" s="9" t="n">
        <v>336</v>
      </c>
      <c r="F16" s="9" t="n">
        <v>225</v>
      </c>
      <c r="G16" s="9" t="n">
        <v>0</v>
      </c>
      <c r="H16" s="9" t="n">
        <v>1</v>
      </c>
      <c r="I16" s="9" t="n">
        <v>2</v>
      </c>
      <c r="J16" s="9" t="n">
        <v>1</v>
      </c>
      <c r="K16" s="9" t="n">
        <v>2</v>
      </c>
      <c r="L16" s="9" t="n">
        <v>0</v>
      </c>
      <c r="M16" s="9" t="n">
        <v>2</v>
      </c>
      <c r="N16" s="9" t="n">
        <v>8</v>
      </c>
      <c r="O16" s="9" t="n">
        <v>574</v>
      </c>
      <c r="P16" s="9" t="n">
        <v>0</v>
      </c>
      <c r="Q16" s="9" t="n">
        <v>7</v>
      </c>
      <c r="R16" s="10" t="n">
        <v>1168</v>
      </c>
      <c r="S16" s="10" t="n">
        <v>0</v>
      </c>
      <c r="T16" s="10" t="n">
        <v>0</v>
      </c>
      <c r="U16" s="10" t="n">
        <v>1168</v>
      </c>
      <c r="V16" s="10" t="n">
        <v>0</v>
      </c>
    </row>
    <row r="17">
      <c r="A17" s="7" t="n">
        <v>13</v>
      </c>
      <c r="B17" s="8" t="inlineStr">
        <is>
          <t>Polling Station 13</t>
        </is>
      </c>
      <c r="C17" s="9" t="n">
        <v>0</v>
      </c>
      <c r="D17" s="9" t="n">
        <v>0</v>
      </c>
      <c r="E17" s="9" t="n">
        <v>349</v>
      </c>
      <c r="F17" s="9" t="n">
        <v>243</v>
      </c>
      <c r="G17" s="9" t="n">
        <v>0</v>
      </c>
      <c r="H17" s="9" t="n">
        <v>0</v>
      </c>
      <c r="I17" s="9" t="n">
        <v>2</v>
      </c>
      <c r="J17" s="9" t="n">
        <v>0</v>
      </c>
      <c r="K17" s="9" t="n">
        <v>6</v>
      </c>
      <c r="L17" s="9" t="n">
        <v>1</v>
      </c>
      <c r="M17" s="9" t="n">
        <v>3</v>
      </c>
      <c r="N17" s="9" t="n">
        <v>13</v>
      </c>
      <c r="O17" s="9" t="n">
        <v>619</v>
      </c>
      <c r="P17" s="9" t="n">
        <v>0</v>
      </c>
      <c r="Q17" s="9" t="n">
        <v>0</v>
      </c>
      <c r="R17" s="10" t="n">
        <v>1236</v>
      </c>
      <c r="S17" s="10" t="n">
        <v>0</v>
      </c>
      <c r="T17" s="10" t="n">
        <v>0</v>
      </c>
      <c r="U17" s="10" t="n">
        <v>1236</v>
      </c>
      <c r="V17" s="10" t="n">
        <v>0</v>
      </c>
    </row>
    <row r="18">
      <c r="A18" s="7" t="n">
        <v>14</v>
      </c>
      <c r="B18" s="8" t="inlineStr">
        <is>
          <t>Polling Station 14</t>
        </is>
      </c>
      <c r="C18" s="9" t="n">
        <v>12</v>
      </c>
      <c r="D18" s="9" t="n">
        <v>0</v>
      </c>
      <c r="E18" s="9" t="n">
        <v>300</v>
      </c>
      <c r="F18" s="9" t="n">
        <v>405</v>
      </c>
      <c r="G18" s="9" t="n">
        <v>3</v>
      </c>
      <c r="H18" s="9" t="n">
        <v>17</v>
      </c>
      <c r="I18" s="9" t="n">
        <v>3</v>
      </c>
      <c r="J18" s="9" t="n">
        <v>1</v>
      </c>
      <c r="K18" s="9" t="n">
        <v>5</v>
      </c>
      <c r="L18" s="9" t="n">
        <v>4</v>
      </c>
      <c r="M18" s="9" t="n">
        <v>5</v>
      </c>
      <c r="N18" s="9" t="n">
        <v>14</v>
      </c>
      <c r="O18" s="9" t="n">
        <v>757</v>
      </c>
      <c r="P18" s="9" t="n">
        <v>0</v>
      </c>
      <c r="Q18" s="9" t="n">
        <v>16</v>
      </c>
      <c r="R18" s="10" t="n">
        <v>1542</v>
      </c>
      <c r="S18" s="10" t="n">
        <v>0</v>
      </c>
      <c r="T18" s="10" t="n">
        <v>0</v>
      </c>
      <c r="U18" s="10" t="n">
        <v>1542</v>
      </c>
      <c r="V18" s="10" t="n">
        <v>0</v>
      </c>
    </row>
    <row r="19">
      <c r="A19" s="7" t="n">
        <v>15</v>
      </c>
      <c r="B19" s="8" t="inlineStr">
        <is>
          <t>Polling Station 15</t>
        </is>
      </c>
      <c r="C19" s="9" t="n">
        <v>13</v>
      </c>
      <c r="D19" s="9" t="n">
        <v>0</v>
      </c>
      <c r="E19" s="9" t="n">
        <v>283</v>
      </c>
      <c r="F19" s="9" t="n">
        <v>194</v>
      </c>
      <c r="G19" s="9" t="n">
        <v>5</v>
      </c>
      <c r="H19" s="9" t="n">
        <v>5</v>
      </c>
      <c r="I19" s="9" t="n">
        <v>2</v>
      </c>
      <c r="J19" s="9" t="n">
        <v>0</v>
      </c>
      <c r="K19" s="9" t="n">
        <v>5</v>
      </c>
      <c r="L19" s="9" t="n">
        <v>0</v>
      </c>
      <c r="M19" s="9" t="n">
        <v>0</v>
      </c>
      <c r="N19" s="9" t="n">
        <v>1</v>
      </c>
      <c r="O19" s="9" t="n">
        <v>506</v>
      </c>
      <c r="P19" s="9" t="n">
        <v>0</v>
      </c>
      <c r="Q19" s="9" t="n">
        <v>13</v>
      </c>
      <c r="R19" s="10" t="n">
        <v>1027</v>
      </c>
      <c r="S19" s="10" t="n">
        <v>0</v>
      </c>
      <c r="T19" s="10" t="n">
        <v>0</v>
      </c>
      <c r="U19" s="10" t="n">
        <v>1027</v>
      </c>
      <c r="V19" s="10" t="n">
        <v>0</v>
      </c>
    </row>
    <row r="20">
      <c r="A20" s="7" t="n">
        <v>16</v>
      </c>
      <c r="B20" s="8" t="inlineStr">
        <is>
          <t>|Sirsapalli</t>
        </is>
      </c>
      <c r="C20" s="9" t="n">
        <v>34</v>
      </c>
      <c r="D20" s="9" t="n">
        <v>289</v>
      </c>
      <c r="E20" s="9" t="n">
        <v>4</v>
      </c>
      <c r="F20" s="9" t="n">
        <v>1</v>
      </c>
      <c r="G20" s="9" t="n">
        <v>2</v>
      </c>
      <c r="H20" s="9" t="n">
        <v>1</v>
      </c>
      <c r="I20" s="9" t="n">
        <v>7</v>
      </c>
      <c r="J20" s="9" t="n">
        <v>0</v>
      </c>
      <c r="K20" s="9" t="n">
        <v>0</v>
      </c>
      <c r="L20" s="9" t="n">
        <v>0</v>
      </c>
      <c r="M20" s="9" t="n">
        <v>681</v>
      </c>
      <c r="N20" s="9" t="n">
        <v>0</v>
      </c>
      <c r="O20" s="9" t="n">
        <v>0</v>
      </c>
      <c r="P20" s="9" t="n">
        <v>697</v>
      </c>
      <c r="Q20" s="9" t="n">
        <v>0</v>
      </c>
      <c r="R20" s="10" t="n">
        <v>1716</v>
      </c>
      <c r="S20" s="10" t="n">
        <v>0</v>
      </c>
      <c r="T20" s="10" t="n">
        <v>0</v>
      </c>
      <c r="U20" s="10" t="n">
        <v>1716</v>
      </c>
      <c r="V20" s="10" t="n">
        <v>0</v>
      </c>
    </row>
    <row r="21">
      <c r="A21" s="7" t="n">
        <v>17</v>
      </c>
      <c r="B21" s="8" t="inlineStr">
        <is>
          <t>|Singapur</t>
        </is>
      </c>
      <c r="C21" s="9" t="n">
        <v>6</v>
      </c>
      <c r="D21" s="9" t="n">
        <v>233</v>
      </c>
      <c r="E21" s="9" t="n">
        <v>2</v>
      </c>
      <c r="F21" s="9" t="n">
        <v>8</v>
      </c>
      <c r="G21" s="9" t="n">
        <v>7</v>
      </c>
      <c r="H21" s="9" t="n">
        <v>2</v>
      </c>
      <c r="I21" s="9" t="n">
        <v>4</v>
      </c>
      <c r="J21" s="9" t="n">
        <v>4</v>
      </c>
      <c r="K21" s="9" t="n">
        <v>0</v>
      </c>
      <c r="L21" s="9" t="n">
        <v>0</v>
      </c>
      <c r="M21" s="9" t="n">
        <v>3</v>
      </c>
      <c r="N21" s="9" t="n">
        <v>0</v>
      </c>
      <c r="O21" s="9" t="n">
        <v>0</v>
      </c>
      <c r="P21" s="9" t="n">
        <v>855</v>
      </c>
      <c r="Q21" s="9" t="n">
        <v>0</v>
      </c>
      <c r="R21" s="10" t="n">
        <v>1124</v>
      </c>
      <c r="S21" s="10" t="n">
        <v>0</v>
      </c>
      <c r="T21" s="10" t="n">
        <v>0</v>
      </c>
      <c r="U21" s="10" t="n">
        <v>1124</v>
      </c>
      <c r="V21" s="10" t="n">
        <v>0</v>
      </c>
    </row>
    <row r="22">
      <c r="A22" s="7" t="n">
        <v>18</v>
      </c>
      <c r="B22" s="8" t="inlineStr">
        <is>
          <t>Sirsapalli</t>
        </is>
      </c>
      <c r="C22" s="9" t="n">
        <v>256</v>
      </c>
      <c r="D22" s="9" t="n">
        <v>78</v>
      </c>
      <c r="E22" s="9" t="n">
        <v>4</v>
      </c>
      <c r="F22" s="9" t="n">
        <v>8</v>
      </c>
      <c r="G22" s="9" t="n">
        <v>0</v>
      </c>
      <c r="H22" s="9" t="n">
        <v>0</v>
      </c>
      <c r="I22" s="9" t="n">
        <v>2</v>
      </c>
      <c r="J22" s="9" t="n">
        <v>0</v>
      </c>
      <c r="K22" s="9" t="n">
        <v>2</v>
      </c>
      <c r="L22" s="9" t="n">
        <v>2</v>
      </c>
      <c r="M22" s="9" t="n">
        <v>352</v>
      </c>
      <c r="N22" s="9" t="n">
        <v>0</v>
      </c>
      <c r="O22" s="9" t="n">
        <v>0</v>
      </c>
      <c r="P22" s="9" t="n">
        <v>355</v>
      </c>
      <c r="Q22" s="9" t="n">
        <v>0</v>
      </c>
      <c r="R22" s="10" t="n">
        <v>1059</v>
      </c>
      <c r="S22" s="10" t="n">
        <v>0</v>
      </c>
      <c r="T22" s="10" t="n">
        <v>0</v>
      </c>
      <c r="U22" s="10" t="n">
        <v>1059</v>
      </c>
      <c r="V22" s="10" t="n">
        <v>0</v>
      </c>
    </row>
    <row r="23">
      <c r="A23" s="7" t="n">
        <v>19</v>
      </c>
      <c r="B23" s="8" t="inlineStr">
        <is>
          <t>|Thummanapalli</t>
        </is>
      </c>
      <c r="C23" s="9" t="n">
        <v>280</v>
      </c>
      <c r="D23" s="9" t="n">
        <v>176</v>
      </c>
      <c r="E23" s="9" t="n">
        <v>4</v>
      </c>
      <c r="F23" s="9" t="n">
        <v>5</v>
      </c>
      <c r="G23" s="9" t="n">
        <v>2</v>
      </c>
      <c r="H23" s="9" t="n">
        <v>0</v>
      </c>
      <c r="I23" s="9" t="n">
        <v>3</v>
      </c>
      <c r="J23" s="9" t="n">
        <v>1</v>
      </c>
      <c r="K23" s="9" t="n">
        <v>0</v>
      </c>
      <c r="L23" s="9" t="n">
        <v>7</v>
      </c>
      <c r="M23" s="9" t="n">
        <v>478</v>
      </c>
      <c r="N23" s="9" t="n">
        <v>0</v>
      </c>
      <c r="O23" s="9" t="n">
        <v>0</v>
      </c>
      <c r="P23" s="9" t="n">
        <v>486</v>
      </c>
      <c r="Q23" s="9" t="n">
        <v>0</v>
      </c>
      <c r="R23" s="10" t="n">
        <v>1442</v>
      </c>
      <c r="S23" s="10" t="n">
        <v>0</v>
      </c>
      <c r="T23" s="10" t="n">
        <v>0</v>
      </c>
      <c r="U23" s="10" t="n">
        <v>1442</v>
      </c>
      <c r="V23" s="10" t="n">
        <v>0</v>
      </c>
    </row>
    <row r="24">
      <c r="A24" s="7" t="n">
        <v>20</v>
      </c>
      <c r="B24" s="8" t="inlineStr">
        <is>
          <t>|Thummanapalli</t>
        </is>
      </c>
      <c r="C24" s="9" t="n">
        <v>250</v>
      </c>
      <c r="D24" s="9" t="n">
        <v>151</v>
      </c>
      <c r="E24" s="9" t="n">
        <v>4</v>
      </c>
      <c r="F24" s="9" t="n">
        <v>9</v>
      </c>
      <c r="G24" s="9" t="n">
        <v>0</v>
      </c>
      <c r="H24" s="9" t="n">
        <v>4</v>
      </c>
      <c r="I24" s="9" t="n">
        <v>3</v>
      </c>
      <c r="J24" s="9" t="n">
        <v>0</v>
      </c>
      <c r="K24" s="9" t="n">
        <v>1</v>
      </c>
      <c r="L24" s="9" t="n">
        <v>0</v>
      </c>
      <c r="M24" s="9" t="n">
        <v>435</v>
      </c>
      <c r="N24" s="9" t="n">
        <v>0</v>
      </c>
      <c r="O24" s="9" t="n">
        <v>0</v>
      </c>
      <c r="P24" s="9" t="n">
        <v>443</v>
      </c>
      <c r="Q24" s="9" t="n">
        <v>0</v>
      </c>
      <c r="R24" s="10" t="n">
        <v>1300</v>
      </c>
      <c r="S24" s="10" t="n">
        <v>0</v>
      </c>
      <c r="T24" s="10" t="n">
        <v>0</v>
      </c>
      <c r="U24" s="10" t="n">
        <v>1300</v>
      </c>
      <c r="V24" s="10" t="n">
        <v>0</v>
      </c>
    </row>
    <row r="25">
      <c r="A25" s="7" t="n">
        <v>21</v>
      </c>
      <c r="B25" s="8" t="inlineStr">
        <is>
          <t>|Thummanapali</t>
        </is>
      </c>
      <c r="C25" s="9" t="n">
        <v>0</v>
      </c>
      <c r="D25" s="9" t="n">
        <v>339</v>
      </c>
      <c r="E25" s="9" t="n">
        <v>2</v>
      </c>
      <c r="F25" s="9" t="n">
        <v>2</v>
      </c>
      <c r="G25" s="9" t="n">
        <v>0</v>
      </c>
      <c r="H25" s="9" t="n">
        <v>2</v>
      </c>
      <c r="I25" s="9" t="n">
        <v>2</v>
      </c>
      <c r="J25" s="9" t="n">
        <v>0</v>
      </c>
      <c r="K25" s="9" t="n">
        <v>0</v>
      </c>
      <c r="L25" s="9" t="n">
        <v>0</v>
      </c>
      <c r="M25" s="9" t="n">
        <v>949</v>
      </c>
      <c r="N25" s="9" t="n">
        <v>0</v>
      </c>
      <c r="O25" s="9" t="n">
        <v>0</v>
      </c>
      <c r="P25" s="9" t="n">
        <v>957</v>
      </c>
      <c r="Q25" s="9" t="n">
        <v>0</v>
      </c>
      <c r="R25" s="10" t="n">
        <v>2253</v>
      </c>
      <c r="S25" s="10" t="n">
        <v>0</v>
      </c>
      <c r="T25" s="10" t="n">
        <v>0</v>
      </c>
      <c r="U25" s="10" t="n">
        <v>2253</v>
      </c>
      <c r="V25" s="10" t="n">
        <v>0</v>
      </c>
    </row>
    <row r="26">
      <c r="A26" s="7" t="n">
        <v>22</v>
      </c>
      <c r="B26" s="8" t="inlineStr">
        <is>
          <t>|Borapalli</t>
        </is>
      </c>
      <c r="C26" s="9" t="n">
        <v>469</v>
      </c>
      <c r="D26" s="9" t="n">
        <v>132</v>
      </c>
      <c r="E26" s="9" t="n">
        <v>5</v>
      </c>
      <c r="F26" s="9" t="n">
        <v>10</v>
      </c>
      <c r="G26" s="9" t="n">
        <v>0</v>
      </c>
      <c r="H26" s="9" t="n">
        <v>4</v>
      </c>
      <c r="I26" s="9" t="n">
        <v>6</v>
      </c>
      <c r="J26" s="9" t="n">
        <v>2</v>
      </c>
      <c r="K26" s="9" t="n">
        <v>0</v>
      </c>
      <c r="L26" s="9" t="n">
        <v>0</v>
      </c>
      <c r="M26" s="9" t="n">
        <v>640</v>
      </c>
      <c r="N26" s="9" t="n">
        <v>0</v>
      </c>
      <c r="O26" s="9" t="n">
        <v>14</v>
      </c>
      <c r="P26" s="9" t="n">
        <v>654</v>
      </c>
      <c r="Q26" s="9" t="n">
        <v>0</v>
      </c>
      <c r="R26" s="10" t="n">
        <v>1936</v>
      </c>
      <c r="S26" s="10" t="n">
        <v>0</v>
      </c>
      <c r="T26" s="10" t="n">
        <v>0</v>
      </c>
      <c r="U26" s="10" t="n">
        <v>1936</v>
      </c>
      <c r="V26" s="10" t="n">
        <v>0</v>
      </c>
    </row>
    <row r="27">
      <c r="A27" s="7" t="n">
        <v>23</v>
      </c>
      <c r="B27" s="8" t="inlineStr">
        <is>
          <t>Polling Station 23</t>
        </is>
      </c>
      <c r="C27" s="9" t="n">
        <v>584</v>
      </c>
      <c r="D27" s="9" t="n">
        <v>352</v>
      </c>
      <c r="E27" s="9" t="n">
        <v>6</v>
      </c>
      <c r="F27" s="9" t="n">
        <v>8</v>
      </c>
      <c r="G27" s="9" t="n">
        <v>0</v>
      </c>
      <c r="H27" s="9" t="n">
        <v>1</v>
      </c>
      <c r="I27" s="9" t="n">
        <v>4</v>
      </c>
      <c r="J27" s="9" t="n">
        <v>1</v>
      </c>
      <c r="K27" s="9" t="n">
        <v>0</v>
      </c>
      <c r="L27" s="9" t="n">
        <v>12</v>
      </c>
      <c r="M27" s="9" t="n">
        <v>967</v>
      </c>
      <c r="N27" s="9" t="n">
        <v>0</v>
      </c>
      <c r="O27" s="9" t="n">
        <v>8</v>
      </c>
      <c r="P27" s="9" t="n">
        <v>975</v>
      </c>
      <c r="Q27" s="9" t="n">
        <v>0</v>
      </c>
      <c r="R27" s="10" t="n">
        <v>2918</v>
      </c>
      <c r="S27" s="10" t="n">
        <v>0</v>
      </c>
      <c r="T27" s="10" t="n">
        <v>0</v>
      </c>
      <c r="U27" s="10" t="n">
        <v>2918</v>
      </c>
      <c r="V27" s="10" t="n">
        <v>0</v>
      </c>
    </row>
    <row r="28">
      <c r="A28" s="7" t="n">
        <v>24</v>
      </c>
      <c r="B28" s="8" t="inlineStr">
        <is>
          <t>Polling Station 24</t>
        </is>
      </c>
      <c r="C28" s="9" t="n">
        <v>301</v>
      </c>
      <c r="D28" s="9" t="n">
        <v>181</v>
      </c>
      <c r="E28" s="9" t="n">
        <v>1</v>
      </c>
      <c r="F28" s="9" t="n">
        <v>3</v>
      </c>
      <c r="G28" s="9" t="n">
        <v>0</v>
      </c>
      <c r="H28" s="9" t="n">
        <v>1</v>
      </c>
      <c r="I28" s="9" t="n">
        <v>2</v>
      </c>
      <c r="J28" s="9" t="n">
        <v>2</v>
      </c>
      <c r="K28" s="9" t="n">
        <v>1</v>
      </c>
      <c r="L28" s="9" t="n">
        <v>3</v>
      </c>
      <c r="M28" s="9" t="n">
        <v>495</v>
      </c>
      <c r="N28" s="9" t="n">
        <v>0</v>
      </c>
      <c r="O28" s="9" t="n">
        <v>9</v>
      </c>
      <c r="P28" s="9" t="n">
        <v>504</v>
      </c>
      <c r="Q28" s="9" t="n">
        <v>0</v>
      </c>
      <c r="R28" s="10" t="n">
        <v>1503</v>
      </c>
      <c r="S28" s="10" t="n">
        <v>0</v>
      </c>
      <c r="T28" s="10" t="n">
        <v>0</v>
      </c>
      <c r="U28" s="10" t="n">
        <v>1503</v>
      </c>
      <c r="V28" s="10" t="n">
        <v>0</v>
      </c>
    </row>
    <row r="29">
      <c r="A29" s="7" t="n">
        <v>27</v>
      </c>
      <c r="B29" s="8" t="inlineStr">
        <is>
          <t>|Huzurabad</t>
        </is>
      </c>
      <c r="C29" s="9" t="n">
        <v>356</v>
      </c>
      <c r="D29" s="9" t="n">
        <v>233</v>
      </c>
      <c r="E29" s="9" t="n">
        <v>5</v>
      </c>
      <c r="F29" s="9" t="n">
        <v>3</v>
      </c>
      <c r="G29" s="9" t="n">
        <v>0</v>
      </c>
      <c r="H29" s="9" t="n">
        <v>0</v>
      </c>
      <c r="I29" s="9" t="n">
        <v>3</v>
      </c>
      <c r="J29" s="9" t="n">
        <v>1</v>
      </c>
      <c r="K29" s="9" t="n">
        <v>1</v>
      </c>
      <c r="L29" s="9" t="n">
        <v>4</v>
      </c>
      <c r="M29" s="9" t="n">
        <v>606</v>
      </c>
      <c r="N29" s="9" t="n">
        <v>0</v>
      </c>
      <c r="O29" s="9" t="n">
        <v>4</v>
      </c>
      <c r="P29" s="9" t="n">
        <v>610</v>
      </c>
      <c r="Q29" s="9" t="n">
        <v>0</v>
      </c>
      <c r="R29" s="10" t="n">
        <v>1826</v>
      </c>
      <c r="S29" s="10" t="n">
        <v>0</v>
      </c>
      <c r="T29" s="10" t="n">
        <v>0</v>
      </c>
      <c r="U29" s="10" t="n">
        <v>1826</v>
      </c>
      <c r="V29" s="10" t="n">
        <v>0</v>
      </c>
    </row>
    <row r="30">
      <c r="A30" s="7" t="n">
        <v>28</v>
      </c>
      <c r="B30" s="8" t="inlineStr">
        <is>
          <t>|Huzurabad</t>
        </is>
      </c>
      <c r="C30" s="9" t="n">
        <v>284</v>
      </c>
      <c r="D30" s="9" t="n">
        <v>239</v>
      </c>
      <c r="E30" s="9" t="n">
        <v>5</v>
      </c>
      <c r="F30" s="9" t="n">
        <v>9</v>
      </c>
      <c r="G30" s="9" t="n">
        <v>2</v>
      </c>
      <c r="H30" s="9" t="n">
        <v>1</v>
      </c>
      <c r="I30" s="9" t="n">
        <v>4</v>
      </c>
      <c r="J30" s="9" t="n">
        <v>2</v>
      </c>
      <c r="K30" s="9" t="n">
        <v>2</v>
      </c>
      <c r="L30" s="9" t="n">
        <v>3</v>
      </c>
      <c r="M30" s="9" t="n">
        <v>551</v>
      </c>
      <c r="N30" s="9" t="n">
        <v>0</v>
      </c>
      <c r="O30" s="9" t="n">
        <v>6</v>
      </c>
      <c r="P30" s="9" t="n">
        <v>557</v>
      </c>
      <c r="Q30" s="9" t="n">
        <v>0</v>
      </c>
      <c r="R30" s="10" t="n">
        <v>1665</v>
      </c>
      <c r="S30" s="10" t="n">
        <v>0</v>
      </c>
      <c r="T30" s="10" t="n">
        <v>0</v>
      </c>
      <c r="U30" s="10" t="n">
        <v>1665</v>
      </c>
      <c r="V30" s="10" t="n">
        <v>0</v>
      </c>
    </row>
    <row r="31">
      <c r="A31" s="7" t="n">
        <v>29</v>
      </c>
      <c r="B31" s="8" t="inlineStr">
        <is>
          <t>|Huzurabad</t>
        </is>
      </c>
      <c r="C31" s="9" t="n">
        <v>558</v>
      </c>
      <c r="D31" s="9" t="n">
        <v>319</v>
      </c>
      <c r="E31" s="9" t="n">
        <v>6</v>
      </c>
      <c r="F31" s="9" t="n">
        <v>6</v>
      </c>
      <c r="G31" s="9" t="n">
        <v>1</v>
      </c>
      <c r="H31" s="9" t="n">
        <v>0</v>
      </c>
      <c r="I31" s="9" t="n">
        <v>12</v>
      </c>
      <c r="J31" s="9" t="n">
        <v>6</v>
      </c>
      <c r="K31" s="9" t="n">
        <v>2</v>
      </c>
      <c r="L31" s="9" t="n">
        <v>13</v>
      </c>
      <c r="M31" s="9" t="n">
        <v>923</v>
      </c>
      <c r="N31" s="9" t="n">
        <v>0</v>
      </c>
      <c r="O31" s="9" t="n">
        <v>27</v>
      </c>
      <c r="P31" s="9" t="n">
        <v>950</v>
      </c>
      <c r="Q31" s="9" t="n">
        <v>0</v>
      </c>
      <c r="R31" s="10" t="n">
        <v>2823</v>
      </c>
      <c r="S31" s="10" t="n">
        <v>0</v>
      </c>
      <c r="T31" s="10" t="n">
        <v>0</v>
      </c>
      <c r="U31" s="10" t="n">
        <v>2823</v>
      </c>
      <c r="V31" s="10" t="n">
        <v>0</v>
      </c>
    </row>
    <row r="32">
      <c r="A32" s="7" t="n">
        <v>30</v>
      </c>
      <c r="B32" s="8" t="inlineStr">
        <is>
          <t>|Huzurabad</t>
        </is>
      </c>
      <c r="C32" s="9" t="n">
        <v>254</v>
      </c>
      <c r="D32" s="9" t="n">
        <v>153</v>
      </c>
      <c r="E32" s="9" t="n">
        <v>0</v>
      </c>
      <c r="F32" s="9" t="n">
        <v>3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</v>
      </c>
      <c r="L32" s="9" t="n">
        <v>7</v>
      </c>
      <c r="M32" s="9" t="n">
        <v>419</v>
      </c>
      <c r="N32" s="9" t="n">
        <v>0</v>
      </c>
      <c r="O32" s="9" t="n">
        <v>5</v>
      </c>
      <c r="P32" s="9" t="n">
        <v>424</v>
      </c>
      <c r="Q32" s="9" t="n">
        <v>0</v>
      </c>
      <c r="R32" s="10" t="n">
        <v>1266</v>
      </c>
      <c r="S32" s="10" t="n">
        <v>0</v>
      </c>
      <c r="T32" s="10" t="n">
        <v>0</v>
      </c>
      <c r="U32" s="10" t="n">
        <v>1266</v>
      </c>
      <c r="V32" s="10" t="n">
        <v>0</v>
      </c>
    </row>
    <row r="33">
      <c r="A33" s="7" t="n">
        <v>31</v>
      </c>
      <c r="B33" s="8" t="inlineStr">
        <is>
          <t>|Huzurabad</t>
        </is>
      </c>
      <c r="C33" s="9" t="n">
        <v>286</v>
      </c>
      <c r="D33" s="9" t="n">
        <v>154</v>
      </c>
      <c r="E33" s="9" t="n">
        <v>1</v>
      </c>
      <c r="F33" s="9" t="n">
        <v>8</v>
      </c>
      <c r="G33" s="9" t="n">
        <v>1</v>
      </c>
      <c r="H33" s="9" t="n">
        <v>0</v>
      </c>
      <c r="I33" s="9" t="n">
        <v>2</v>
      </c>
      <c r="J33" s="9" t="n">
        <v>0</v>
      </c>
      <c r="K33" s="9" t="n">
        <v>4</v>
      </c>
      <c r="L33" s="9" t="n">
        <v>5</v>
      </c>
      <c r="M33" s="9" t="n">
        <v>461</v>
      </c>
      <c r="N33" s="9" t="n">
        <v>0</v>
      </c>
      <c r="O33" s="9" t="n">
        <v>10</v>
      </c>
      <c r="P33" s="9" t="n">
        <v>47</v>
      </c>
      <c r="Q33" s="9" t="n">
        <v>0</v>
      </c>
      <c r="R33" s="10" t="n">
        <v>979</v>
      </c>
      <c r="S33" s="10" t="n">
        <v>0</v>
      </c>
      <c r="T33" s="10" t="n">
        <v>0</v>
      </c>
      <c r="U33" s="10" t="n">
        <v>979</v>
      </c>
      <c r="V33" s="10" t="n">
        <v>0</v>
      </c>
    </row>
    <row r="34">
      <c r="A34" s="7" t="n">
        <v>32</v>
      </c>
      <c r="B34" s="8" t="inlineStr">
        <is>
          <t>|Huzurabad</t>
        </is>
      </c>
      <c r="C34" s="9" t="n">
        <v>171</v>
      </c>
      <c r="D34" s="9" t="n">
        <v>1</v>
      </c>
      <c r="E34" s="9" t="n">
        <v>0</v>
      </c>
      <c r="F34" s="9" t="n">
        <v>6</v>
      </c>
      <c r="G34" s="9" t="n">
        <v>2</v>
      </c>
      <c r="H34" s="9" t="n">
        <v>0</v>
      </c>
      <c r="I34" s="9" t="n">
        <v>0</v>
      </c>
      <c r="J34" s="9" t="n">
        <v>3</v>
      </c>
      <c r="K34" s="9" t="n">
        <v>0</v>
      </c>
      <c r="L34" s="9" t="n">
        <v>2</v>
      </c>
      <c r="M34" s="9" t="n">
        <v>355</v>
      </c>
      <c r="N34" s="9" t="n">
        <v>0</v>
      </c>
      <c r="O34" s="9" t="n">
        <v>6</v>
      </c>
      <c r="P34" s="9" t="n">
        <v>361</v>
      </c>
      <c r="Q34" s="9" t="n">
        <v>0</v>
      </c>
      <c r="R34" s="10" t="n">
        <v>907</v>
      </c>
      <c r="S34" s="10" t="n">
        <v>0</v>
      </c>
      <c r="T34" s="10" t="n">
        <v>0</v>
      </c>
      <c r="U34" s="10" t="n">
        <v>907</v>
      </c>
      <c r="V34" s="10" t="n">
        <v>0</v>
      </c>
    </row>
    <row r="35">
      <c r="A35" s="7" t="n">
        <v>33</v>
      </c>
      <c r="B35" s="8" t="inlineStr">
        <is>
          <t>|Huzurabad</t>
        </is>
      </c>
      <c r="C35" s="9" t="n">
        <v>149</v>
      </c>
      <c r="D35" s="9" t="n">
        <v>89</v>
      </c>
      <c r="E35" s="9" t="n">
        <v>3</v>
      </c>
      <c r="F35" s="9" t="n">
        <v>3</v>
      </c>
      <c r="G35" s="9" t="n">
        <v>1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1</v>
      </c>
      <c r="M35" s="9" t="n">
        <v>246</v>
      </c>
      <c r="N35" s="9" t="n">
        <v>0</v>
      </c>
      <c r="O35" s="9" t="n">
        <v>5</v>
      </c>
      <c r="P35" s="9" t="n">
        <v>251</v>
      </c>
      <c r="Q35" s="9" t="n">
        <v>0</v>
      </c>
      <c r="R35" s="10" t="n">
        <v>748</v>
      </c>
      <c r="S35" s="10" t="n">
        <v>0</v>
      </c>
      <c r="T35" s="10" t="n">
        <v>0</v>
      </c>
      <c r="U35" s="10" t="n">
        <v>748</v>
      </c>
      <c r="V35" s="10" t="n">
        <v>0</v>
      </c>
    </row>
    <row r="36">
      <c r="A36" s="7" t="n">
        <v>34</v>
      </c>
      <c r="B36" s="8" t="inlineStr">
        <is>
          <t>|Huzurabad</t>
        </is>
      </c>
      <c r="C36" s="9" t="n">
        <v>316</v>
      </c>
      <c r="D36" s="9" t="n">
        <v>250</v>
      </c>
      <c r="E36" s="9" t="n">
        <v>1</v>
      </c>
      <c r="F36" s="9" t="n">
        <v>4</v>
      </c>
      <c r="G36" s="9" t="n">
        <v>2</v>
      </c>
      <c r="H36" s="9" t="n">
        <v>0</v>
      </c>
      <c r="I36" s="9" t="n">
        <v>6</v>
      </c>
      <c r="J36" s="9" t="n">
        <v>0</v>
      </c>
      <c r="K36" s="9" t="n">
        <v>0</v>
      </c>
      <c r="L36" s="9" t="n">
        <v>3</v>
      </c>
      <c r="M36" s="9" t="n">
        <v>582</v>
      </c>
      <c r="N36" s="9" t="n">
        <v>0</v>
      </c>
      <c r="O36" s="9" t="n">
        <v>1</v>
      </c>
      <c r="P36" s="9" t="n">
        <v>593</v>
      </c>
      <c r="Q36" s="9" t="n">
        <v>0</v>
      </c>
      <c r="R36" s="10" t="n">
        <v>1758</v>
      </c>
      <c r="S36" s="10" t="n">
        <v>0</v>
      </c>
      <c r="T36" s="10" t="n">
        <v>0</v>
      </c>
      <c r="U36" s="10" t="n">
        <v>1758</v>
      </c>
      <c r="V36" s="10" t="n">
        <v>0</v>
      </c>
    </row>
    <row r="37">
      <c r="A37" s="7" t="n">
        <v>35</v>
      </c>
      <c r="B37" s="8" t="inlineStr">
        <is>
          <t>|Huzurabad</t>
        </is>
      </c>
      <c r="C37" s="9" t="n">
        <v>238</v>
      </c>
      <c r="D37" s="9" t="n">
        <v>121</v>
      </c>
      <c r="E37" s="9" t="n">
        <v>2</v>
      </c>
      <c r="F37" s="9" t="n">
        <v>4</v>
      </c>
      <c r="G37" s="9" t="n">
        <v>2</v>
      </c>
      <c r="H37" s="9" t="n">
        <v>0</v>
      </c>
      <c r="I37" s="9" t="n">
        <v>2</v>
      </c>
      <c r="J37" s="9" t="n">
        <v>0</v>
      </c>
      <c r="K37" s="9" t="n">
        <v>0</v>
      </c>
      <c r="L37" s="9" t="n">
        <v>2</v>
      </c>
      <c r="M37" s="9" t="n">
        <v>371</v>
      </c>
      <c r="N37" s="9" t="n">
        <v>0</v>
      </c>
      <c r="O37" s="9" t="n">
        <v>8</v>
      </c>
      <c r="P37" s="9" t="n">
        <v>379</v>
      </c>
      <c r="Q37" s="9" t="n">
        <v>0</v>
      </c>
      <c r="R37" s="10" t="n">
        <v>1129</v>
      </c>
      <c r="S37" s="10" t="n">
        <v>0</v>
      </c>
      <c r="T37" s="10" t="n">
        <v>0</v>
      </c>
      <c r="U37" s="10" t="n">
        <v>1129</v>
      </c>
      <c r="V37" s="10" t="n">
        <v>0</v>
      </c>
    </row>
    <row r="38">
      <c r="A38" s="7" t="n">
        <v>36</v>
      </c>
      <c r="B38" s="8" t="inlineStr">
        <is>
          <t>Polling Station 36</t>
        </is>
      </c>
      <c r="C38" s="9" t="n">
        <v>6</v>
      </c>
      <c r="D38" s="9" t="n">
        <v>0</v>
      </c>
      <c r="E38" s="9" t="n">
        <v>201</v>
      </c>
      <c r="F38" s="9" t="n">
        <v>132</v>
      </c>
      <c r="G38" s="9" t="n">
        <v>1</v>
      </c>
      <c r="H38" s="9" t="n">
        <v>10</v>
      </c>
      <c r="I38" s="9" t="n">
        <v>3</v>
      </c>
      <c r="J38" s="9" t="n">
        <v>0</v>
      </c>
      <c r="K38" s="9" t="n">
        <v>0</v>
      </c>
      <c r="L38" s="9" t="n">
        <v>1</v>
      </c>
      <c r="M38" s="9" t="n">
        <v>0</v>
      </c>
      <c r="N38" s="9" t="n">
        <v>3</v>
      </c>
      <c r="O38" s="9" t="n">
        <v>351</v>
      </c>
      <c r="P38" s="9" t="n">
        <v>0</v>
      </c>
      <c r="Q38" s="9" t="n">
        <v>9</v>
      </c>
      <c r="R38" s="10" t="n">
        <v>717</v>
      </c>
      <c r="S38" s="10" t="n">
        <v>0</v>
      </c>
      <c r="T38" s="10" t="n">
        <v>0</v>
      </c>
      <c r="U38" s="10" t="n">
        <v>717</v>
      </c>
      <c r="V38" s="10" t="n">
        <v>0</v>
      </c>
    </row>
    <row r="39">
      <c r="A39" s="7" t="n">
        <v>37</v>
      </c>
      <c r="B39" s="8" t="inlineStr">
        <is>
          <t>Polling Station 37</t>
        </is>
      </c>
      <c r="C39" s="9" t="n">
        <v>37</v>
      </c>
      <c r="D39" s="9" t="n">
        <v>0</v>
      </c>
      <c r="E39" s="9" t="n">
        <v>361</v>
      </c>
      <c r="F39" s="9" t="n">
        <v>139</v>
      </c>
      <c r="G39" s="9" t="n">
        <v>0</v>
      </c>
      <c r="H39" s="9" t="n">
        <v>13</v>
      </c>
      <c r="I39" s="9" t="n">
        <v>0</v>
      </c>
      <c r="J39" s="9" t="n">
        <v>0</v>
      </c>
      <c r="K39" s="9" t="n">
        <v>4</v>
      </c>
      <c r="L39" s="9" t="n">
        <v>0</v>
      </c>
      <c r="M39" s="9" t="n">
        <v>0</v>
      </c>
      <c r="N39" s="9" t="n">
        <v>2</v>
      </c>
      <c r="O39" s="9" t="n">
        <v>519</v>
      </c>
      <c r="P39" s="9" t="n">
        <v>0</v>
      </c>
      <c r="Q39" s="9" t="n">
        <v>0</v>
      </c>
      <c r="R39" s="10" t="n">
        <v>1075</v>
      </c>
      <c r="S39" s="10" t="n">
        <v>0</v>
      </c>
      <c r="T39" s="10" t="n">
        <v>0</v>
      </c>
      <c r="U39" s="10" t="n">
        <v>1075</v>
      </c>
      <c r="V39" s="10" t="n">
        <v>0</v>
      </c>
    </row>
    <row r="40">
      <c r="A40" s="7" t="n">
        <v>38</v>
      </c>
      <c r="B40" s="8" t="inlineStr">
        <is>
          <t>Polling Station 38</t>
        </is>
      </c>
      <c r="C40" s="9" t="n">
        <v>38</v>
      </c>
      <c r="D40" s="9" t="n">
        <v>0</v>
      </c>
      <c r="E40" s="9" t="n">
        <v>178</v>
      </c>
      <c r="F40" s="9" t="n">
        <v>101</v>
      </c>
      <c r="G40" s="9" t="n">
        <v>0</v>
      </c>
      <c r="H40" s="9" t="n">
        <v>8</v>
      </c>
      <c r="I40" s="9" t="n">
        <v>0</v>
      </c>
      <c r="J40" s="9" t="n">
        <v>0</v>
      </c>
      <c r="K40" s="9" t="n">
        <v>4</v>
      </c>
      <c r="L40" s="9" t="n">
        <v>0</v>
      </c>
      <c r="M40" s="9" t="n">
        <v>0</v>
      </c>
      <c r="N40" s="9" t="n">
        <v>2</v>
      </c>
      <c r="O40" s="9" t="n">
        <v>292</v>
      </c>
      <c r="P40" s="9" t="n">
        <v>0</v>
      </c>
      <c r="Q40" s="9" t="n">
        <v>5</v>
      </c>
      <c r="R40" s="10" t="n">
        <v>628</v>
      </c>
      <c r="S40" s="10" t="n">
        <v>0</v>
      </c>
      <c r="T40" s="10" t="n">
        <v>0</v>
      </c>
      <c r="U40" s="10" t="n">
        <v>628</v>
      </c>
      <c r="V40" s="10" t="n">
        <v>0</v>
      </c>
    </row>
    <row r="41">
      <c r="A41" s="7" t="n">
        <v>39</v>
      </c>
      <c r="B41" s="8" t="inlineStr">
        <is>
          <t>Polling Station 39</t>
        </is>
      </c>
      <c r="C41" s="9" t="n">
        <v>39</v>
      </c>
      <c r="D41" s="9" t="n">
        <v>0</v>
      </c>
      <c r="E41" s="9" t="n">
        <v>254</v>
      </c>
      <c r="F41" s="9" t="n">
        <v>154</v>
      </c>
      <c r="G41" s="9" t="n">
        <v>0</v>
      </c>
      <c r="H41" s="9" t="n">
        <v>2</v>
      </c>
      <c r="I41" s="9" t="n">
        <v>1</v>
      </c>
      <c r="J41" s="9" t="n">
        <v>0</v>
      </c>
      <c r="K41" s="9" t="n">
        <v>1</v>
      </c>
      <c r="L41" s="9" t="n">
        <v>0</v>
      </c>
      <c r="M41" s="9" t="n">
        <v>0</v>
      </c>
      <c r="N41" s="9" t="n">
        <v>4</v>
      </c>
      <c r="O41" s="9" t="n">
        <v>419</v>
      </c>
      <c r="P41" s="9" t="n">
        <v>0</v>
      </c>
      <c r="Q41" s="9" t="n">
        <v>0</v>
      </c>
      <c r="R41" s="10" t="n">
        <v>874</v>
      </c>
      <c r="S41" s="10" t="n">
        <v>0</v>
      </c>
      <c r="T41" s="10" t="n">
        <v>0</v>
      </c>
      <c r="U41" s="10" t="n">
        <v>874</v>
      </c>
      <c r="V41" s="10" t="n">
        <v>0</v>
      </c>
    </row>
    <row r="42">
      <c r="A42" s="7" t="n">
        <v>40</v>
      </c>
      <c r="B42" s="8" t="inlineStr">
        <is>
          <t>Polling Station 40</t>
        </is>
      </c>
      <c r="C42" s="9" t="n">
        <v>0</v>
      </c>
      <c r="D42" s="9" t="n">
        <v>0</v>
      </c>
      <c r="E42" s="9" t="n">
        <v>224</v>
      </c>
      <c r="F42" s="9" t="n">
        <v>157</v>
      </c>
      <c r="G42" s="9" t="n">
        <v>1</v>
      </c>
      <c r="H42" s="9" t="n">
        <v>13</v>
      </c>
      <c r="I42" s="9" t="n">
        <v>0</v>
      </c>
      <c r="J42" s="9" t="n">
        <v>1</v>
      </c>
      <c r="K42" s="9" t="n">
        <v>0</v>
      </c>
      <c r="L42" s="9" t="n">
        <v>0</v>
      </c>
      <c r="M42" s="9" t="n">
        <v>0</v>
      </c>
      <c r="N42" s="9" t="n">
        <v>4</v>
      </c>
      <c r="O42" s="9" t="n">
        <v>400</v>
      </c>
      <c r="P42" s="9" t="n">
        <v>0</v>
      </c>
      <c r="Q42" s="9" t="n">
        <v>5</v>
      </c>
      <c r="R42" s="10" t="n">
        <v>805</v>
      </c>
      <c r="S42" s="10" t="n">
        <v>0</v>
      </c>
      <c r="T42" s="10" t="n">
        <v>0</v>
      </c>
      <c r="U42" s="10" t="n">
        <v>805</v>
      </c>
      <c r="V42" s="10" t="n">
        <v>0</v>
      </c>
    </row>
    <row r="43">
      <c r="A43" s="7" t="n">
        <v>41</v>
      </c>
      <c r="B43" s="8" t="inlineStr">
        <is>
          <t>Polling Station 41</t>
        </is>
      </c>
      <c r="C43" s="9" t="n">
        <v>1</v>
      </c>
      <c r="D43" s="9" t="n">
        <v>0</v>
      </c>
      <c r="E43" s="9" t="n">
        <v>324</v>
      </c>
      <c r="F43" s="9" t="n">
        <v>234</v>
      </c>
      <c r="G43" s="9" t="n">
        <v>2</v>
      </c>
      <c r="H43" s="9" t="n">
        <v>13</v>
      </c>
      <c r="I43" s="9" t="n">
        <v>1</v>
      </c>
      <c r="J43" s="9" t="n">
        <v>0</v>
      </c>
      <c r="K43" s="9" t="n">
        <v>1</v>
      </c>
      <c r="L43" s="9" t="n">
        <v>2</v>
      </c>
      <c r="M43" s="9" t="n">
        <v>0</v>
      </c>
      <c r="N43" s="9" t="n">
        <v>2</v>
      </c>
      <c r="O43" s="9" t="n">
        <v>579</v>
      </c>
      <c r="P43" s="9" t="n">
        <v>0</v>
      </c>
      <c r="Q43" s="9" t="n">
        <v>10</v>
      </c>
      <c r="R43" s="10" t="n">
        <v>1169</v>
      </c>
      <c r="S43" s="10" t="n">
        <v>0</v>
      </c>
      <c r="T43" s="10" t="n">
        <v>0</v>
      </c>
      <c r="U43" s="10" t="n">
        <v>1169</v>
      </c>
      <c r="V43" s="10" t="n">
        <v>0</v>
      </c>
    </row>
    <row r="44">
      <c r="A44" s="7" t="n">
        <v>42</v>
      </c>
      <c r="B44" s="8" t="inlineStr">
        <is>
          <t>Polling Station 42</t>
        </is>
      </c>
      <c r="C44" s="9" t="n">
        <v>42</v>
      </c>
      <c r="D44" s="9" t="n">
        <v>0</v>
      </c>
      <c r="E44" s="9" t="n">
        <v>60</v>
      </c>
      <c r="F44" s="9" t="n">
        <v>340</v>
      </c>
      <c r="G44" s="9" t="n">
        <v>1</v>
      </c>
      <c r="H44" s="9" t="n">
        <v>23</v>
      </c>
      <c r="I44" s="9" t="n">
        <v>1</v>
      </c>
      <c r="J44" s="9" t="n">
        <v>0</v>
      </c>
      <c r="K44" s="9" t="n">
        <v>1</v>
      </c>
      <c r="L44" s="9" t="n">
        <v>0</v>
      </c>
      <c r="M44" s="9" t="n">
        <v>0</v>
      </c>
      <c r="N44" s="9" t="n">
        <v>3</v>
      </c>
      <c r="O44" s="9" t="n">
        <v>729</v>
      </c>
      <c r="P44" s="9" t="n">
        <v>0</v>
      </c>
      <c r="Q44" s="9" t="n">
        <v>10</v>
      </c>
      <c r="R44" s="10" t="n">
        <v>1210</v>
      </c>
      <c r="S44" s="10" t="n">
        <v>0</v>
      </c>
      <c r="T44" s="10" t="n">
        <v>0</v>
      </c>
      <c r="U44" s="10" t="n">
        <v>1210</v>
      </c>
      <c r="V44" s="10" t="n">
        <v>0</v>
      </c>
    </row>
    <row r="45">
      <c r="A45" s="7" t="n">
        <v>43</v>
      </c>
      <c r="B45" s="8" t="inlineStr">
        <is>
          <t>Polling Station 43</t>
        </is>
      </c>
      <c r="C45" s="9" t="n">
        <v>43</v>
      </c>
      <c r="D45" s="9" t="n">
        <v>0</v>
      </c>
      <c r="E45" s="9" t="n">
        <v>149</v>
      </c>
      <c r="F45" s="9" t="n">
        <v>121</v>
      </c>
      <c r="G45" s="9" t="n">
        <v>0</v>
      </c>
      <c r="H45" s="9" t="n">
        <v>2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1</v>
      </c>
      <c r="O45" s="9" t="n">
        <v>273</v>
      </c>
      <c r="P45" s="9" t="n">
        <v>0</v>
      </c>
      <c r="Q45" s="9" t="n">
        <v>2</v>
      </c>
      <c r="R45" s="10" t="n">
        <v>591</v>
      </c>
      <c r="S45" s="10" t="n">
        <v>0</v>
      </c>
      <c r="T45" s="10" t="n">
        <v>0</v>
      </c>
      <c r="U45" s="10" t="n">
        <v>591</v>
      </c>
      <c r="V45" s="10" t="n">
        <v>0</v>
      </c>
    </row>
    <row r="46">
      <c r="A46" s="7" t="n">
        <v>44</v>
      </c>
      <c r="B46" s="8" t="inlineStr">
        <is>
          <t>Polling Station 44</t>
        </is>
      </c>
      <c r="C46" s="9" t="n">
        <v>44</v>
      </c>
      <c r="D46" s="9" t="n">
        <v>0</v>
      </c>
      <c r="E46" s="9" t="n">
        <v>229</v>
      </c>
      <c r="F46" s="9" t="n">
        <v>230</v>
      </c>
      <c r="G46" s="9" t="n">
        <v>0</v>
      </c>
      <c r="H46" s="9" t="n">
        <v>2</v>
      </c>
      <c r="I46" s="9" t="n">
        <v>0</v>
      </c>
      <c r="J46" s="9" t="n">
        <v>0</v>
      </c>
      <c r="K46" s="9" t="n">
        <v>2</v>
      </c>
      <c r="L46" s="9" t="n">
        <v>0</v>
      </c>
      <c r="M46" s="9" t="n">
        <v>0</v>
      </c>
      <c r="N46" s="9" t="n">
        <v>8</v>
      </c>
      <c r="O46" s="9" t="n">
        <v>473</v>
      </c>
      <c r="P46" s="9" t="n">
        <v>0</v>
      </c>
      <c r="Q46" s="9" t="n">
        <v>0</v>
      </c>
      <c r="R46" s="10" t="n">
        <v>988</v>
      </c>
      <c r="S46" s="10" t="n">
        <v>0</v>
      </c>
      <c r="T46" s="10" t="n">
        <v>0</v>
      </c>
      <c r="U46" s="10" t="n">
        <v>988</v>
      </c>
      <c r="V46" s="10" t="n">
        <v>0</v>
      </c>
    </row>
    <row r="47">
      <c r="A47" s="7" t="n">
        <v>45</v>
      </c>
      <c r="B47" s="8" t="inlineStr">
        <is>
          <t>Polling Station 45</t>
        </is>
      </c>
      <c r="C47" s="9" t="n">
        <v>45</v>
      </c>
      <c r="D47" s="9" t="n">
        <v>0</v>
      </c>
      <c r="E47" s="9" t="n">
        <v>284</v>
      </c>
      <c r="F47" s="9" t="n">
        <v>220</v>
      </c>
      <c r="G47" s="9" t="n">
        <v>0</v>
      </c>
      <c r="H47" s="9" t="n">
        <v>3</v>
      </c>
      <c r="I47" s="9" t="n">
        <v>0</v>
      </c>
      <c r="J47" s="9" t="n">
        <v>1</v>
      </c>
      <c r="K47" s="9" t="n">
        <v>2</v>
      </c>
      <c r="L47" s="9" t="n">
        <v>1</v>
      </c>
      <c r="M47" s="9" t="n">
        <v>0</v>
      </c>
      <c r="N47" s="9" t="n">
        <v>1</v>
      </c>
      <c r="O47" s="9" t="n">
        <v>512</v>
      </c>
      <c r="P47" s="9" t="n">
        <v>0</v>
      </c>
      <c r="Q47" s="9" t="n">
        <v>6</v>
      </c>
      <c r="R47" s="10" t="n">
        <v>1075</v>
      </c>
      <c r="S47" s="10" t="n">
        <v>0</v>
      </c>
      <c r="T47" s="10" t="n">
        <v>0</v>
      </c>
      <c r="U47" s="10" t="n">
        <v>1075</v>
      </c>
      <c r="V47" s="10" t="n">
        <v>0</v>
      </c>
    </row>
    <row r="48">
      <c r="A48" s="7" t="n">
        <v>46</v>
      </c>
      <c r="B48" s="8" t="inlineStr">
        <is>
          <t>Polling Station 46</t>
        </is>
      </c>
      <c r="C48" s="9" t="n">
        <v>46</v>
      </c>
      <c r="D48" s="9" t="n">
        <v>0</v>
      </c>
      <c r="E48" s="9" t="n">
        <v>348</v>
      </c>
      <c r="F48" s="9" t="n">
        <v>178</v>
      </c>
      <c r="G48" s="9" t="n">
        <v>4</v>
      </c>
      <c r="H48" s="9" t="n">
        <v>4</v>
      </c>
      <c r="I48" s="9" t="n">
        <v>0</v>
      </c>
      <c r="J48" s="9" t="n">
        <v>1</v>
      </c>
      <c r="K48" s="9" t="n">
        <v>0</v>
      </c>
      <c r="L48" s="9" t="n">
        <v>0</v>
      </c>
      <c r="M48" s="9" t="n">
        <v>0</v>
      </c>
      <c r="N48" s="9" t="n">
        <v>2</v>
      </c>
      <c r="O48" s="9" t="n">
        <v>534</v>
      </c>
      <c r="P48" s="9" t="n">
        <v>0</v>
      </c>
      <c r="Q48" s="9" t="n">
        <v>5</v>
      </c>
      <c r="R48" s="10" t="n">
        <v>1122</v>
      </c>
      <c r="S48" s="10" t="n">
        <v>0</v>
      </c>
      <c r="T48" s="10" t="n">
        <v>0</v>
      </c>
      <c r="U48" s="10" t="n">
        <v>1122</v>
      </c>
      <c r="V48" s="10" t="n">
        <v>0</v>
      </c>
    </row>
    <row r="49">
      <c r="A49" s="7" t="n">
        <v>47</v>
      </c>
      <c r="B49" s="8" t="inlineStr">
        <is>
          <t>Polling Station 47</t>
        </is>
      </c>
      <c r="C49" s="9" t="n">
        <v>47</v>
      </c>
      <c r="D49" s="9" t="n">
        <v>0</v>
      </c>
      <c r="E49" s="9" t="n">
        <v>373</v>
      </c>
      <c r="F49" s="9" t="n">
        <v>168</v>
      </c>
      <c r="G49" s="9" t="n">
        <v>1</v>
      </c>
      <c r="H49" s="9" t="n">
        <v>1</v>
      </c>
      <c r="I49" s="9" t="n">
        <v>0</v>
      </c>
      <c r="J49" s="9" t="n">
        <v>0</v>
      </c>
      <c r="K49" s="9" t="n">
        <v>2</v>
      </c>
      <c r="L49" s="9" t="n">
        <v>1</v>
      </c>
      <c r="M49" s="9" t="n">
        <v>0</v>
      </c>
      <c r="N49" s="9" t="n">
        <v>0</v>
      </c>
      <c r="O49" s="9" t="n">
        <v>547</v>
      </c>
      <c r="P49" s="9" t="n">
        <v>0</v>
      </c>
      <c r="Q49" s="9" t="n">
        <v>3</v>
      </c>
      <c r="R49" s="10" t="n">
        <v>1143</v>
      </c>
      <c r="S49" s="10" t="n">
        <v>0</v>
      </c>
      <c r="T49" s="10" t="n">
        <v>0</v>
      </c>
      <c r="U49" s="10" t="n">
        <v>1143</v>
      </c>
      <c r="V49" s="10" t="n">
        <v>0</v>
      </c>
    </row>
    <row r="50">
      <c r="A50" s="7" t="n">
        <v>48</v>
      </c>
      <c r="B50" s="8" t="inlineStr">
        <is>
          <t>Polling Station 48</t>
        </is>
      </c>
      <c r="C50" s="9" t="n">
        <v>8</v>
      </c>
      <c r="D50" s="9" t="n">
        <v>0</v>
      </c>
      <c r="E50" s="9" t="n">
        <v>291</v>
      </c>
      <c r="F50" s="9" t="n">
        <v>148</v>
      </c>
      <c r="G50" s="9" t="n">
        <v>2</v>
      </c>
      <c r="H50" s="9" t="n">
        <v>6</v>
      </c>
      <c r="I50" s="9" t="n">
        <v>0</v>
      </c>
      <c r="J50" s="9" t="n">
        <v>1</v>
      </c>
      <c r="K50" s="9" t="n">
        <v>0</v>
      </c>
      <c r="L50" s="9" t="n">
        <v>0</v>
      </c>
      <c r="M50" s="9" t="n">
        <v>4</v>
      </c>
      <c r="N50" s="9" t="n">
        <v>2</v>
      </c>
      <c r="O50" s="9" t="n">
        <v>451</v>
      </c>
      <c r="P50" s="9" t="n">
        <v>0</v>
      </c>
      <c r="Q50" s="9" t="n">
        <v>10</v>
      </c>
      <c r="R50" s="10" t="n">
        <v>923</v>
      </c>
      <c r="S50" s="10" t="n">
        <v>0</v>
      </c>
      <c r="T50" s="10" t="n">
        <v>0</v>
      </c>
      <c r="U50" s="10" t="n">
        <v>923</v>
      </c>
      <c r="V50" s="10" t="n">
        <v>0</v>
      </c>
    </row>
    <row r="51">
      <c r="A51" s="7" t="n">
        <v>49</v>
      </c>
      <c r="B51" s="8" t="inlineStr">
        <is>
          <t>Polling Station 49</t>
        </is>
      </c>
      <c r="C51" s="9" t="n">
        <v>49</v>
      </c>
      <c r="D51" s="9" t="n">
        <v>0</v>
      </c>
      <c r="E51" s="9" t="n">
        <v>349</v>
      </c>
      <c r="F51" s="9" t="n">
        <v>295</v>
      </c>
      <c r="G51" s="9" t="n">
        <v>3</v>
      </c>
      <c r="H51" s="9" t="n">
        <v>24</v>
      </c>
      <c r="I51" s="9" t="n">
        <v>0</v>
      </c>
      <c r="J51" s="9" t="n">
        <v>0</v>
      </c>
      <c r="K51" s="9" t="n">
        <v>6</v>
      </c>
      <c r="L51" s="9" t="n">
        <v>1</v>
      </c>
      <c r="M51" s="9" t="n">
        <v>0</v>
      </c>
      <c r="N51" s="9" t="n">
        <v>0</v>
      </c>
      <c r="O51" s="9" t="n">
        <v>678</v>
      </c>
      <c r="P51" s="9" t="n">
        <v>0</v>
      </c>
      <c r="Q51" s="9" t="n">
        <v>14</v>
      </c>
      <c r="R51" s="10" t="n">
        <v>1419</v>
      </c>
      <c r="S51" s="10" t="n">
        <v>0</v>
      </c>
      <c r="T51" s="10" t="n">
        <v>0</v>
      </c>
      <c r="U51" s="10" t="n">
        <v>1419</v>
      </c>
      <c r="V51" s="10" t="n">
        <v>0</v>
      </c>
    </row>
    <row r="52">
      <c r="A52" s="7" t="n">
        <v>50</v>
      </c>
      <c r="B52" s="8" t="inlineStr">
        <is>
          <t>Polling Station 50</t>
        </is>
      </c>
      <c r="C52" s="9" t="n">
        <v>0</v>
      </c>
      <c r="D52" s="9" t="n">
        <v>0</v>
      </c>
      <c r="E52" s="9" t="n">
        <v>114</v>
      </c>
      <c r="F52" s="9" t="n">
        <v>172</v>
      </c>
      <c r="G52" s="9" t="n">
        <v>0</v>
      </c>
      <c r="H52" s="9" t="n">
        <v>2</v>
      </c>
      <c r="I52" s="9" t="n">
        <v>0</v>
      </c>
      <c r="J52" s="9" t="n">
        <v>0</v>
      </c>
      <c r="K52" s="9" t="n">
        <v>1</v>
      </c>
      <c r="L52" s="9" t="n">
        <v>1</v>
      </c>
      <c r="M52" s="9" t="n">
        <v>0</v>
      </c>
      <c r="N52" s="9" t="n">
        <v>2</v>
      </c>
      <c r="O52" s="9" t="n">
        <v>293</v>
      </c>
      <c r="P52" s="9" t="n">
        <v>0</v>
      </c>
      <c r="Q52" s="9" t="n">
        <v>2</v>
      </c>
      <c r="R52" s="10" t="n">
        <v>587</v>
      </c>
      <c r="S52" s="10" t="n">
        <v>0</v>
      </c>
      <c r="T52" s="10" t="n">
        <v>0</v>
      </c>
      <c r="U52" s="10" t="n">
        <v>587</v>
      </c>
      <c r="V52" s="10" t="n">
        <v>0</v>
      </c>
    </row>
    <row r="53">
      <c r="A53" s="7" t="n">
        <v>51</v>
      </c>
      <c r="B53" s="8" t="inlineStr">
        <is>
          <t>Polling Station 51</t>
        </is>
      </c>
      <c r="C53" s="9" t="n">
        <v>5</v>
      </c>
      <c r="D53" s="9" t="n">
        <v>0</v>
      </c>
      <c r="E53" s="9" t="n">
        <v>213</v>
      </c>
      <c r="F53" s="9" t="n">
        <v>200</v>
      </c>
      <c r="G53" s="9" t="n">
        <v>1</v>
      </c>
      <c r="H53" s="9" t="n">
        <v>25</v>
      </c>
      <c r="I53" s="9" t="n">
        <v>0</v>
      </c>
      <c r="J53" s="9" t="n">
        <v>0</v>
      </c>
      <c r="K53" s="9" t="n">
        <v>1</v>
      </c>
      <c r="L53" s="9" t="n">
        <v>0</v>
      </c>
      <c r="M53" s="9" t="n">
        <v>1</v>
      </c>
      <c r="N53" s="9" t="n">
        <v>1</v>
      </c>
      <c r="O53" s="9" t="n">
        <v>442</v>
      </c>
      <c r="P53" s="9" t="n">
        <v>0</v>
      </c>
      <c r="Q53" s="9" t="n">
        <v>5</v>
      </c>
      <c r="R53" s="10" t="n">
        <v>894</v>
      </c>
      <c r="S53" s="10" t="n">
        <v>0</v>
      </c>
      <c r="T53" s="10" t="n">
        <v>0</v>
      </c>
      <c r="U53" s="10" t="n">
        <v>894</v>
      </c>
      <c r="V53" s="10" t="n">
        <v>0</v>
      </c>
    </row>
    <row r="54">
      <c r="A54" s="7" t="n">
        <v>52</v>
      </c>
      <c r="B54" s="8" t="inlineStr">
        <is>
          <t>Polling Station 52</t>
        </is>
      </c>
      <c r="C54" s="9" t="n">
        <v>2</v>
      </c>
      <c r="D54" s="9" t="n">
        <v>0</v>
      </c>
      <c r="E54" s="9" t="n">
        <v>282</v>
      </c>
      <c r="F54" s="9" t="n">
        <v>309</v>
      </c>
      <c r="G54" s="9" t="n">
        <v>0</v>
      </c>
      <c r="H54" s="9" t="n">
        <v>16</v>
      </c>
      <c r="I54" s="9" t="n">
        <v>0</v>
      </c>
      <c r="J54" s="9" t="n">
        <v>0</v>
      </c>
      <c r="K54" s="9" t="n">
        <v>4</v>
      </c>
      <c r="L54" s="9" t="n">
        <v>0</v>
      </c>
      <c r="M54" s="9" t="n">
        <v>0</v>
      </c>
      <c r="N54" s="9" t="n">
        <v>4</v>
      </c>
      <c r="O54" s="9" t="n">
        <v>597</v>
      </c>
      <c r="P54" s="9" t="n">
        <v>0</v>
      </c>
      <c r="Q54" s="9" t="n">
        <v>6</v>
      </c>
      <c r="R54" s="10" t="n">
        <v>1220</v>
      </c>
      <c r="S54" s="10" t="n">
        <v>0</v>
      </c>
      <c r="T54" s="10" t="n">
        <v>0</v>
      </c>
      <c r="U54" s="10" t="n">
        <v>1220</v>
      </c>
      <c r="V54" s="10" t="n">
        <v>0</v>
      </c>
    </row>
    <row r="55">
      <c r="A55" s="7" t="n">
        <v>53</v>
      </c>
      <c r="B55" s="8" t="inlineStr">
        <is>
          <t>Polling Station 53</t>
        </is>
      </c>
      <c r="C55" s="9" t="n">
        <v>53</v>
      </c>
      <c r="D55" s="9" t="n">
        <v>0</v>
      </c>
      <c r="E55" s="9" t="n">
        <v>406</v>
      </c>
      <c r="F55" s="9" t="n">
        <v>6</v>
      </c>
      <c r="G55" s="9" t="n">
        <v>0</v>
      </c>
      <c r="H55" s="9" t="n">
        <v>0</v>
      </c>
      <c r="I55" s="9" t="n">
        <v>4</v>
      </c>
      <c r="J55" s="9" t="n">
        <v>0</v>
      </c>
      <c r="K55" s="9" t="n">
        <v>0</v>
      </c>
      <c r="L55" s="9" t="n">
        <v>1</v>
      </c>
      <c r="M55" s="9" t="n">
        <v>0</v>
      </c>
      <c r="N55" s="9" t="n">
        <v>0</v>
      </c>
      <c r="O55" s="9" t="n">
        <v>497</v>
      </c>
      <c r="P55" s="9" t="n">
        <v>0</v>
      </c>
      <c r="Q55" s="9" t="n">
        <v>5</v>
      </c>
      <c r="R55" s="10" t="n">
        <v>972</v>
      </c>
      <c r="S55" s="10" t="n">
        <v>0</v>
      </c>
      <c r="T55" s="10" t="n">
        <v>0</v>
      </c>
      <c r="U55" s="10" t="n">
        <v>972</v>
      </c>
      <c r="V55" s="10" t="n">
        <v>0</v>
      </c>
    </row>
    <row r="56">
      <c r="A56" s="7" t="n">
        <v>54</v>
      </c>
      <c r="B56" s="8" t="inlineStr">
        <is>
          <t>Polling Station 54</t>
        </is>
      </c>
      <c r="C56" s="9" t="n">
        <v>54</v>
      </c>
      <c r="D56" s="9" t="n">
        <v>0</v>
      </c>
      <c r="E56" s="9" t="n">
        <v>397</v>
      </c>
      <c r="F56" s="9" t="n">
        <v>231</v>
      </c>
      <c r="G56" s="9" t="n">
        <v>0</v>
      </c>
      <c r="H56" s="9" t="n">
        <v>0</v>
      </c>
      <c r="I56" s="9" t="n">
        <v>0</v>
      </c>
      <c r="J56" s="9" t="n">
        <v>3</v>
      </c>
      <c r="K56" s="9" t="n">
        <v>6</v>
      </c>
      <c r="L56" s="9" t="n">
        <v>3</v>
      </c>
      <c r="M56" s="9" t="n">
        <v>6</v>
      </c>
      <c r="N56" s="9" t="n">
        <v>28</v>
      </c>
      <c r="O56" s="9" t="n">
        <v>68</v>
      </c>
      <c r="P56" s="9" t="n">
        <v>0</v>
      </c>
      <c r="Q56" s="9" t="n">
        <v>24</v>
      </c>
      <c r="R56" s="10" t="n">
        <v>820</v>
      </c>
      <c r="S56" s="10" t="n">
        <v>0</v>
      </c>
      <c r="T56" s="10" t="n">
        <v>0</v>
      </c>
      <c r="U56" s="10" t="n">
        <v>820</v>
      </c>
      <c r="V56" s="10" t="n">
        <v>0</v>
      </c>
    </row>
    <row r="57">
      <c r="A57" s="7" t="n">
        <v>55</v>
      </c>
      <c r="B57" s="8" t="inlineStr">
        <is>
          <t>Polling Station 55</t>
        </is>
      </c>
      <c r="C57" s="9" t="n">
        <v>55</v>
      </c>
      <c r="D57" s="9" t="n">
        <v>0</v>
      </c>
      <c r="E57" s="9" t="n">
        <v>499</v>
      </c>
      <c r="F57" s="9" t="n">
        <v>254</v>
      </c>
      <c r="G57" s="9" t="n">
        <v>5</v>
      </c>
      <c r="H57" s="9" t="n">
        <v>12</v>
      </c>
      <c r="I57" s="9" t="n">
        <v>0</v>
      </c>
      <c r="J57" s="9" t="n">
        <v>0</v>
      </c>
      <c r="K57" s="9" t="n">
        <v>5</v>
      </c>
      <c r="L57" s="9" t="n">
        <v>2</v>
      </c>
      <c r="M57" s="9" t="n">
        <v>1</v>
      </c>
      <c r="N57" s="9" t="n">
        <v>12</v>
      </c>
      <c r="O57" s="9" t="n">
        <v>793</v>
      </c>
      <c r="P57" s="9" t="n">
        <v>0</v>
      </c>
      <c r="Q57" s="9" t="n">
        <v>12</v>
      </c>
      <c r="R57" s="10" t="n">
        <v>1650</v>
      </c>
      <c r="S57" s="10" t="n">
        <v>0</v>
      </c>
      <c r="T57" s="10" t="n">
        <v>0</v>
      </c>
      <c r="U57" s="10" t="n">
        <v>1650</v>
      </c>
      <c r="V57" s="10" t="n">
        <v>0</v>
      </c>
    </row>
    <row r="58">
      <c r="A58" s="7" t="n">
        <v>56</v>
      </c>
      <c r="B58" s="8" t="inlineStr">
        <is>
          <t>Polling Station 56</t>
        </is>
      </c>
      <c r="C58" s="9" t="n">
        <v>56</v>
      </c>
      <c r="D58" s="9" t="n">
        <v>0</v>
      </c>
      <c r="E58" s="9" t="n">
        <v>391</v>
      </c>
      <c r="F58" s="9" t="n">
        <v>187</v>
      </c>
      <c r="G58" s="9" t="n">
        <v>4</v>
      </c>
      <c r="H58" s="9" t="n">
        <v>0</v>
      </c>
      <c r="I58" s="9" t="n">
        <v>0</v>
      </c>
      <c r="J58" s="9" t="n">
        <v>0</v>
      </c>
      <c r="K58" s="9" t="n">
        <v>5</v>
      </c>
      <c r="L58" s="9" t="n">
        <v>1</v>
      </c>
      <c r="M58" s="9" t="n">
        <v>1</v>
      </c>
      <c r="N58" s="9" t="n">
        <v>8</v>
      </c>
      <c r="O58" s="9" t="n">
        <v>570</v>
      </c>
      <c r="P58" s="9" t="n">
        <v>0</v>
      </c>
      <c r="Q58" s="9" t="n">
        <v>16</v>
      </c>
      <c r="R58" s="10" t="n">
        <v>1239</v>
      </c>
      <c r="S58" s="10" t="n">
        <v>0</v>
      </c>
      <c r="T58" s="10" t="n">
        <v>0</v>
      </c>
      <c r="U58" s="10" t="n">
        <v>1239</v>
      </c>
      <c r="V58" s="10" t="n">
        <v>0</v>
      </c>
    </row>
    <row r="59">
      <c r="A59" s="7" t="n">
        <v>57</v>
      </c>
      <c r="B59" s="8" t="inlineStr">
        <is>
          <t>Polling Station 57</t>
        </is>
      </c>
      <c r="C59" s="9" t="n">
        <v>0</v>
      </c>
      <c r="D59" s="9" t="n">
        <v>0</v>
      </c>
      <c r="E59" s="9" t="n">
        <v>431</v>
      </c>
      <c r="F59" s="9" t="n">
        <v>173</v>
      </c>
      <c r="G59" s="9" t="n">
        <v>4</v>
      </c>
      <c r="H59" s="9" t="n">
        <v>6</v>
      </c>
      <c r="I59" s="9" t="n">
        <v>0</v>
      </c>
      <c r="J59" s="9" t="n">
        <v>0</v>
      </c>
      <c r="K59" s="9" t="n">
        <v>0</v>
      </c>
      <c r="L59" s="9" t="n">
        <v>3</v>
      </c>
      <c r="M59" s="9" t="n">
        <v>6</v>
      </c>
      <c r="N59" s="9" t="n">
        <v>15</v>
      </c>
      <c r="O59" s="9" t="n">
        <v>659</v>
      </c>
      <c r="P59" s="9" t="n">
        <v>0</v>
      </c>
      <c r="Q59" s="9" t="n">
        <v>9</v>
      </c>
      <c r="R59" s="10" t="n">
        <v>1306</v>
      </c>
      <c r="S59" s="10" t="n">
        <v>0</v>
      </c>
      <c r="T59" s="10" t="n">
        <v>0</v>
      </c>
      <c r="U59" s="10" t="n">
        <v>1306</v>
      </c>
      <c r="V59" s="10" t="n">
        <v>0</v>
      </c>
    </row>
    <row r="60">
      <c r="A60" s="7" t="n">
        <v>58</v>
      </c>
      <c r="B60" s="8" t="inlineStr">
        <is>
          <t>Polling Station 58</t>
        </is>
      </c>
      <c r="C60" s="9" t="n">
        <v>58</v>
      </c>
      <c r="D60" s="9" t="n">
        <v>0</v>
      </c>
      <c r="E60" s="9" t="n">
        <v>281</v>
      </c>
      <c r="F60" s="9" t="n">
        <v>326</v>
      </c>
      <c r="G60" s="9" t="n">
        <v>8</v>
      </c>
      <c r="H60" s="9" t="n">
        <v>14</v>
      </c>
      <c r="I60" s="9" t="n">
        <v>3</v>
      </c>
      <c r="J60" s="9" t="n">
        <v>1</v>
      </c>
      <c r="K60" s="9" t="n">
        <v>2</v>
      </c>
      <c r="L60" s="9" t="n">
        <v>0</v>
      </c>
      <c r="M60" s="9" t="n">
        <v>3</v>
      </c>
      <c r="N60" s="9" t="n">
        <v>7</v>
      </c>
      <c r="O60" s="9" t="n">
        <v>645</v>
      </c>
      <c r="P60" s="9" t="n">
        <v>0</v>
      </c>
      <c r="Q60" s="9" t="n">
        <v>10</v>
      </c>
      <c r="R60" s="10" t="n">
        <v>1358</v>
      </c>
      <c r="S60" s="10" t="n">
        <v>0</v>
      </c>
      <c r="T60" s="10" t="n">
        <v>0</v>
      </c>
      <c r="U60" s="10" t="n">
        <v>1358</v>
      </c>
      <c r="V60" s="10" t="n">
        <v>0</v>
      </c>
    </row>
    <row r="61">
      <c r="A61" s="7" t="n">
        <v>59</v>
      </c>
      <c r="B61" s="8" t="inlineStr">
        <is>
          <t>Polling Station 59</t>
        </is>
      </c>
      <c r="C61" s="9" t="n">
        <v>59</v>
      </c>
      <c r="D61" s="9" t="n">
        <v>0</v>
      </c>
      <c r="E61" s="9" t="n">
        <v>296</v>
      </c>
      <c r="F61" s="9" t="n">
        <v>155</v>
      </c>
      <c r="G61" s="9" t="n">
        <v>4</v>
      </c>
      <c r="H61" s="9" t="n">
        <v>7</v>
      </c>
      <c r="I61" s="9" t="n">
        <v>1</v>
      </c>
      <c r="J61" s="9" t="n">
        <v>1</v>
      </c>
      <c r="K61" s="9" t="n">
        <v>0</v>
      </c>
      <c r="L61" s="9" t="n">
        <v>1</v>
      </c>
      <c r="M61" s="9" t="n">
        <v>0</v>
      </c>
      <c r="N61" s="9" t="n">
        <v>8</v>
      </c>
      <c r="O61" s="9" t="n">
        <v>490</v>
      </c>
      <c r="P61" s="9" t="n">
        <v>0</v>
      </c>
      <c r="Q61" s="9" t="n">
        <v>10</v>
      </c>
      <c r="R61" s="10" t="n">
        <v>1032</v>
      </c>
      <c r="S61" s="10" t="n">
        <v>0</v>
      </c>
      <c r="T61" s="10" t="n">
        <v>0</v>
      </c>
      <c r="U61" s="10" t="n">
        <v>1032</v>
      </c>
      <c r="V61" s="10" t="n">
        <v>0</v>
      </c>
    </row>
    <row r="62">
      <c r="A62" s="7" t="n">
        <v>60</v>
      </c>
      <c r="B62" s="8" t="inlineStr">
        <is>
          <t>Polling Station 60</t>
        </is>
      </c>
      <c r="C62" s="9" t="n">
        <v>60</v>
      </c>
      <c r="D62" s="9" t="n">
        <v>0</v>
      </c>
      <c r="E62" s="9" t="n">
        <v>435</v>
      </c>
      <c r="F62" s="9" t="n">
        <v>383</v>
      </c>
      <c r="G62" s="9" t="n">
        <v>9</v>
      </c>
      <c r="H62" s="9" t="n">
        <v>18</v>
      </c>
      <c r="I62" s="9" t="n">
        <v>1</v>
      </c>
      <c r="J62" s="9" t="n">
        <v>0</v>
      </c>
      <c r="K62" s="9" t="n">
        <v>6</v>
      </c>
      <c r="L62" s="9" t="n">
        <v>3</v>
      </c>
      <c r="M62" s="9" t="n">
        <v>3</v>
      </c>
      <c r="N62" s="9" t="n">
        <v>20</v>
      </c>
      <c r="O62" s="9" t="n">
        <v>878</v>
      </c>
      <c r="P62" s="9" t="n">
        <v>0</v>
      </c>
      <c r="Q62" s="9" t="n">
        <v>18</v>
      </c>
      <c r="R62" s="10" t="n">
        <v>1834</v>
      </c>
      <c r="S62" s="10" t="n">
        <v>0</v>
      </c>
      <c r="T62" s="10" t="n">
        <v>0</v>
      </c>
      <c r="U62" s="10" t="n">
        <v>1834</v>
      </c>
      <c r="V62" s="10" t="n">
        <v>0</v>
      </c>
    </row>
    <row r="63">
      <c r="A63" s="7" t="n">
        <v>61</v>
      </c>
      <c r="B63" s="8" t="inlineStr">
        <is>
          <t>Polling Station 61</t>
        </is>
      </c>
      <c r="C63" s="9" t="n">
        <v>6</v>
      </c>
      <c r="D63" s="9" t="n">
        <v>0</v>
      </c>
      <c r="E63" s="9" t="n">
        <v>191</v>
      </c>
      <c r="F63" s="9" t="n">
        <v>229</v>
      </c>
      <c r="G63" s="9" t="n">
        <v>3</v>
      </c>
      <c r="H63" s="9" t="n">
        <v>3</v>
      </c>
      <c r="I63" s="9" t="n">
        <v>0</v>
      </c>
      <c r="J63" s="9" t="n">
        <v>1</v>
      </c>
      <c r="K63" s="9" t="n">
        <v>4</v>
      </c>
      <c r="L63" s="9" t="n">
        <v>2</v>
      </c>
      <c r="M63" s="9" t="n">
        <v>2</v>
      </c>
      <c r="N63" s="9" t="n">
        <v>12</v>
      </c>
      <c r="O63" s="9" t="n">
        <v>447</v>
      </c>
      <c r="P63" s="9" t="n">
        <v>0</v>
      </c>
      <c r="Q63" s="9" t="n">
        <v>7</v>
      </c>
      <c r="R63" s="10" t="n">
        <v>907</v>
      </c>
      <c r="S63" s="10" t="n">
        <v>0</v>
      </c>
      <c r="T63" s="10" t="n">
        <v>0</v>
      </c>
      <c r="U63" s="10" t="n">
        <v>907</v>
      </c>
      <c r="V63" s="10" t="n">
        <v>0</v>
      </c>
    </row>
    <row r="64">
      <c r="A64" s="7" t="n">
        <v>62</v>
      </c>
      <c r="B64" s="8" t="inlineStr">
        <is>
          <t>Polling Station 62</t>
        </is>
      </c>
      <c r="C64" s="9" t="n">
        <v>6</v>
      </c>
      <c r="D64" s="9" t="n">
        <v>0</v>
      </c>
      <c r="E64" s="9" t="n">
        <v>229</v>
      </c>
      <c r="F64" s="9" t="n">
        <v>219</v>
      </c>
      <c r="G64" s="9" t="n">
        <v>6</v>
      </c>
      <c r="H64" s="9" t="n">
        <v>10</v>
      </c>
      <c r="I64" s="9" t="n">
        <v>1</v>
      </c>
      <c r="J64" s="9" t="n">
        <v>1</v>
      </c>
      <c r="K64" s="9" t="n">
        <v>5</v>
      </c>
      <c r="L64" s="9" t="n">
        <v>0</v>
      </c>
      <c r="M64" s="9" t="n">
        <v>5</v>
      </c>
      <c r="N64" s="9" t="n">
        <v>13</v>
      </c>
      <c r="O64" s="9" t="n">
        <v>488</v>
      </c>
      <c r="P64" s="9" t="n">
        <v>0</v>
      </c>
      <c r="Q64" s="9" t="n">
        <v>6</v>
      </c>
      <c r="R64" s="10" t="n">
        <v>989</v>
      </c>
      <c r="S64" s="10" t="n">
        <v>0</v>
      </c>
      <c r="T64" s="10" t="n">
        <v>0</v>
      </c>
      <c r="U64" s="10" t="n">
        <v>989</v>
      </c>
      <c r="V64" s="10" t="n">
        <v>0</v>
      </c>
    </row>
    <row r="65">
      <c r="A65" s="7" t="n">
        <v>63</v>
      </c>
      <c r="B65" s="8" t="inlineStr">
        <is>
          <t>Polling Station 63</t>
        </is>
      </c>
      <c r="C65" s="9" t="n">
        <v>6</v>
      </c>
      <c r="D65" s="9" t="n">
        <v>0</v>
      </c>
      <c r="E65" s="9" t="n">
        <v>370</v>
      </c>
      <c r="F65" s="9" t="n">
        <v>145</v>
      </c>
      <c r="G65" s="9" t="n">
        <v>1</v>
      </c>
      <c r="H65" s="9" t="n">
        <v>8</v>
      </c>
      <c r="I65" s="9" t="n">
        <v>0</v>
      </c>
      <c r="J65" s="9" t="n">
        <v>0</v>
      </c>
      <c r="K65" s="9" t="n">
        <v>6</v>
      </c>
      <c r="L65" s="9" t="n">
        <v>1</v>
      </c>
      <c r="M65" s="9" t="n">
        <v>1</v>
      </c>
      <c r="N65" s="9" t="n">
        <v>12</v>
      </c>
      <c r="O65" s="9" t="n">
        <v>544</v>
      </c>
      <c r="P65" s="9" t="n">
        <v>0</v>
      </c>
      <c r="Q65" s="9" t="n">
        <v>8</v>
      </c>
      <c r="R65" s="10" t="n">
        <v>1102</v>
      </c>
      <c r="S65" s="10" t="n">
        <v>0</v>
      </c>
      <c r="T65" s="10" t="n">
        <v>0</v>
      </c>
      <c r="U65" s="10" t="n">
        <v>1102</v>
      </c>
      <c r="V65" s="10" t="n">
        <v>0</v>
      </c>
    </row>
    <row r="66">
      <c r="A66" s="7" t="n">
        <v>64</v>
      </c>
      <c r="B66" s="8" t="inlineStr">
        <is>
          <t>Polling Station 64</t>
        </is>
      </c>
      <c r="C66" s="9" t="n">
        <v>6</v>
      </c>
      <c r="D66" s="9" t="n">
        <v>0</v>
      </c>
      <c r="E66" s="9" t="n">
        <v>313</v>
      </c>
      <c r="F66" s="9" t="n">
        <v>230</v>
      </c>
      <c r="G66" s="9" t="n">
        <v>6</v>
      </c>
      <c r="H66" s="9" t="n">
        <v>5</v>
      </c>
      <c r="I66" s="9" t="n">
        <v>0</v>
      </c>
      <c r="J66" s="9" t="n">
        <v>0</v>
      </c>
      <c r="K66" s="9" t="n">
        <v>3</v>
      </c>
      <c r="L66" s="9" t="n">
        <v>1</v>
      </c>
      <c r="M66" s="9" t="n">
        <v>1</v>
      </c>
      <c r="N66" s="9" t="n">
        <v>18</v>
      </c>
      <c r="O66" s="9" t="n">
        <v>877</v>
      </c>
      <c r="P66" s="9" t="n">
        <v>0</v>
      </c>
      <c r="Q66" s="9" t="n">
        <v>3</v>
      </c>
      <c r="R66" s="10" t="n">
        <v>1463</v>
      </c>
      <c r="S66" s="10" t="n">
        <v>0</v>
      </c>
      <c r="T66" s="10" t="n">
        <v>0</v>
      </c>
      <c r="U66" s="10" t="n">
        <v>1463</v>
      </c>
      <c r="V66" s="10" t="n">
        <v>0</v>
      </c>
    </row>
    <row r="67">
      <c r="A67" s="7" t="n">
        <v>65</v>
      </c>
      <c r="B67" s="8" t="inlineStr">
        <is>
          <t>Polling Station 65</t>
        </is>
      </c>
      <c r="C67" s="9" t="n">
        <v>65</v>
      </c>
      <c r="D67" s="9" t="n">
        <v>0</v>
      </c>
      <c r="E67" s="9" t="n">
        <v>125</v>
      </c>
      <c r="F67" s="9" t="n">
        <v>288</v>
      </c>
      <c r="G67" s="9" t="n">
        <v>5</v>
      </c>
      <c r="H67" s="9" t="n">
        <v>0</v>
      </c>
      <c r="I67" s="9" t="n">
        <v>0</v>
      </c>
      <c r="J67" s="9" t="n">
        <v>2</v>
      </c>
      <c r="K67" s="9" t="n">
        <v>2</v>
      </c>
      <c r="L67" s="9" t="n">
        <v>0</v>
      </c>
      <c r="M67" s="9" t="n">
        <v>0</v>
      </c>
      <c r="N67" s="9" t="n">
        <v>3</v>
      </c>
      <c r="O67" s="9" t="n">
        <v>425</v>
      </c>
      <c r="P67" s="9" t="n">
        <v>0</v>
      </c>
      <c r="Q67" s="9" t="n">
        <v>8</v>
      </c>
      <c r="R67" s="10" t="n">
        <v>923</v>
      </c>
      <c r="S67" s="10" t="n">
        <v>0</v>
      </c>
      <c r="T67" s="10" t="n">
        <v>0</v>
      </c>
      <c r="U67" s="10" t="n">
        <v>923</v>
      </c>
      <c r="V67" s="10" t="n">
        <v>0</v>
      </c>
    </row>
    <row r="68">
      <c r="A68" s="7" t="n">
        <v>66</v>
      </c>
      <c r="B68" s="8" t="inlineStr">
        <is>
          <t>Polling Station 66</t>
        </is>
      </c>
      <c r="C68" s="9" t="n">
        <v>66</v>
      </c>
      <c r="D68" s="9" t="n">
        <v>0</v>
      </c>
      <c r="E68" s="9" t="n">
        <v>490</v>
      </c>
      <c r="F68" s="9" t="n">
        <v>244</v>
      </c>
      <c r="G68" s="9" t="n">
        <v>5</v>
      </c>
      <c r="H68" s="9" t="n">
        <v>4</v>
      </c>
      <c r="I68" s="9" t="n">
        <v>3</v>
      </c>
      <c r="J68" s="9" t="n">
        <v>0</v>
      </c>
      <c r="K68" s="9" t="n">
        <v>0</v>
      </c>
      <c r="L68" s="9" t="n">
        <v>2</v>
      </c>
      <c r="M68" s="9" t="n">
        <v>2</v>
      </c>
      <c r="N68" s="9" t="n">
        <v>23</v>
      </c>
      <c r="O68" s="9" t="n">
        <v>781</v>
      </c>
      <c r="P68" s="9" t="n">
        <v>0</v>
      </c>
      <c r="Q68" s="9" t="n">
        <v>18</v>
      </c>
      <c r="R68" s="10" t="n">
        <v>1638</v>
      </c>
      <c r="S68" s="10" t="n">
        <v>0</v>
      </c>
      <c r="T68" s="10" t="n">
        <v>0</v>
      </c>
      <c r="U68" s="10" t="n">
        <v>1638</v>
      </c>
      <c r="V68" s="10" t="n">
        <v>0</v>
      </c>
    </row>
    <row r="69">
      <c r="A69" s="7" t="n">
        <v>67</v>
      </c>
      <c r="B69" s="8" t="inlineStr">
        <is>
          <t>Polling Station 67</t>
        </is>
      </c>
      <c r="C69" s="9" t="n">
        <v>67</v>
      </c>
      <c r="D69" s="9" t="n">
        <v>0</v>
      </c>
      <c r="E69" s="9" t="n">
        <v>305</v>
      </c>
      <c r="F69" s="9" t="n">
        <v>217</v>
      </c>
      <c r="G69" s="9" t="n">
        <v>1</v>
      </c>
      <c r="H69" s="9" t="n">
        <v>2</v>
      </c>
      <c r="I69" s="9" t="n">
        <v>3</v>
      </c>
      <c r="J69" s="9" t="n">
        <v>0</v>
      </c>
      <c r="K69" s="9" t="n">
        <v>6</v>
      </c>
      <c r="L69" s="9" t="n">
        <v>1</v>
      </c>
      <c r="M69" s="9" t="n">
        <v>0</v>
      </c>
      <c r="N69" s="9" t="n">
        <v>0</v>
      </c>
      <c r="O69" s="9" t="n">
        <v>546</v>
      </c>
      <c r="P69" s="9" t="n">
        <v>0</v>
      </c>
      <c r="Q69" s="9" t="n">
        <v>7</v>
      </c>
      <c r="R69" s="10" t="n">
        <v>1155</v>
      </c>
      <c r="S69" s="10" t="n">
        <v>0</v>
      </c>
      <c r="T69" s="10" t="n">
        <v>0</v>
      </c>
      <c r="U69" s="10" t="n">
        <v>1155</v>
      </c>
      <c r="V69" s="10" t="n">
        <v>0</v>
      </c>
    </row>
    <row r="70">
      <c r="A70" s="7" t="n">
        <v>68</v>
      </c>
      <c r="B70" s="8" t="inlineStr">
        <is>
          <t>Polling Station 68</t>
        </is>
      </c>
      <c r="C70" s="9" t="n">
        <v>68</v>
      </c>
      <c r="D70" s="9" t="n">
        <v>0</v>
      </c>
      <c r="E70" s="9" t="n">
        <v>480</v>
      </c>
      <c r="F70" s="9" t="n">
        <v>277</v>
      </c>
      <c r="G70" s="9" t="n">
        <v>3</v>
      </c>
      <c r="H70" s="9" t="n">
        <v>3</v>
      </c>
      <c r="I70" s="9" t="n">
        <v>2</v>
      </c>
      <c r="J70" s="9" t="n">
        <v>1</v>
      </c>
      <c r="K70" s="9" t="n">
        <v>3</v>
      </c>
      <c r="L70" s="9" t="n">
        <v>1</v>
      </c>
      <c r="M70" s="9" t="n">
        <v>0</v>
      </c>
      <c r="N70" s="9" t="n">
        <v>16</v>
      </c>
      <c r="O70" s="9" t="n">
        <v>786</v>
      </c>
      <c r="P70" s="9" t="n">
        <v>0</v>
      </c>
      <c r="Q70" s="9" t="n">
        <v>17</v>
      </c>
      <c r="R70" s="10" t="n">
        <v>1657</v>
      </c>
      <c r="S70" s="10" t="n">
        <v>0</v>
      </c>
      <c r="T70" s="10" t="n">
        <v>0</v>
      </c>
      <c r="U70" s="10" t="n">
        <v>1657</v>
      </c>
      <c r="V70" s="10" t="n">
        <v>0</v>
      </c>
    </row>
    <row r="71">
      <c r="A71" s="7" t="n">
        <v>69</v>
      </c>
      <c r="B71" s="8" t="inlineStr">
        <is>
          <t>Polling Station 69</t>
        </is>
      </c>
      <c r="C71" s="9" t="n">
        <v>69</v>
      </c>
      <c r="D71" s="9" t="n">
        <v>0</v>
      </c>
      <c r="E71" s="9" t="n">
        <v>355</v>
      </c>
      <c r="F71" s="9" t="n">
        <v>263</v>
      </c>
      <c r="G71" s="9" t="n">
        <v>2</v>
      </c>
      <c r="H71" s="9" t="n">
        <v>2</v>
      </c>
      <c r="I71" s="9" t="n">
        <v>1</v>
      </c>
      <c r="J71" s="9" t="n">
        <v>3</v>
      </c>
      <c r="K71" s="9" t="n">
        <v>5</v>
      </c>
      <c r="L71" s="9" t="n">
        <v>0</v>
      </c>
      <c r="M71" s="9" t="n">
        <v>3</v>
      </c>
      <c r="N71" s="9" t="n">
        <v>9</v>
      </c>
      <c r="O71" s="9" t="n">
        <v>643</v>
      </c>
      <c r="P71" s="9" t="n">
        <v>0</v>
      </c>
      <c r="Q71" s="9" t="n">
        <v>1</v>
      </c>
      <c r="R71" s="10" t="n">
        <v>1356</v>
      </c>
      <c r="S71" s="10" t="n">
        <v>0</v>
      </c>
      <c r="T71" s="10" t="n">
        <v>0</v>
      </c>
      <c r="U71" s="10" t="n">
        <v>1356</v>
      </c>
      <c r="V71" s="10" t="n">
        <v>0</v>
      </c>
    </row>
    <row r="72">
      <c r="A72" s="7" t="n">
        <v>70</v>
      </c>
      <c r="B72" s="8" t="inlineStr">
        <is>
          <t>Polling Station 70</t>
        </is>
      </c>
      <c r="C72" s="9" t="n">
        <v>70</v>
      </c>
      <c r="D72" s="9" t="n">
        <v>0</v>
      </c>
      <c r="E72" s="9" t="n">
        <v>254</v>
      </c>
      <c r="F72" s="9" t="n">
        <v>90</v>
      </c>
      <c r="G72" s="9" t="n">
        <v>2</v>
      </c>
      <c r="H72" s="9" t="n">
        <v>5</v>
      </c>
      <c r="I72" s="9" t="n">
        <v>2</v>
      </c>
      <c r="J72" s="9" t="n">
        <v>0</v>
      </c>
      <c r="K72" s="9" t="n">
        <v>3</v>
      </c>
      <c r="L72" s="9" t="n">
        <v>0</v>
      </c>
      <c r="M72" s="9" t="n">
        <v>1</v>
      </c>
      <c r="N72" s="9" t="n">
        <v>8</v>
      </c>
      <c r="O72" s="9" t="n">
        <v>365</v>
      </c>
      <c r="P72" s="9" t="n">
        <v>0</v>
      </c>
      <c r="Q72" s="9" t="n">
        <v>4</v>
      </c>
      <c r="R72" s="10" t="n">
        <v>804</v>
      </c>
      <c r="S72" s="10" t="n">
        <v>0</v>
      </c>
      <c r="T72" s="10" t="n">
        <v>0</v>
      </c>
      <c r="U72" s="10" t="n">
        <v>804</v>
      </c>
      <c r="V72" s="10" t="n">
        <v>0</v>
      </c>
    </row>
    <row r="73">
      <c r="A73" s="7" t="n">
        <v>71</v>
      </c>
      <c r="B73" s="8" t="inlineStr">
        <is>
          <t>Polling Station 71</t>
        </is>
      </c>
      <c r="C73" s="9" t="n">
        <v>0</v>
      </c>
      <c r="D73" s="9" t="n">
        <v>0</v>
      </c>
      <c r="E73" s="9" t="n">
        <v>609</v>
      </c>
      <c r="F73" s="9" t="n">
        <v>215</v>
      </c>
      <c r="G73" s="9" t="n">
        <v>4</v>
      </c>
      <c r="H73" s="9" t="n">
        <v>4</v>
      </c>
      <c r="I73" s="9" t="n">
        <v>0</v>
      </c>
      <c r="J73" s="9" t="n">
        <v>0</v>
      </c>
      <c r="K73" s="9" t="n">
        <v>8</v>
      </c>
      <c r="L73" s="9" t="n">
        <v>1</v>
      </c>
      <c r="M73" s="9" t="n">
        <v>1</v>
      </c>
      <c r="N73" s="9" t="n">
        <v>15</v>
      </c>
      <c r="O73" s="9" t="n">
        <v>857</v>
      </c>
      <c r="P73" s="9" t="n">
        <v>0</v>
      </c>
      <c r="Q73" s="9" t="n">
        <v>16</v>
      </c>
      <c r="R73" s="10" t="n">
        <v>1730</v>
      </c>
      <c r="S73" s="10" t="n">
        <v>0</v>
      </c>
      <c r="T73" s="10" t="n">
        <v>0</v>
      </c>
      <c r="U73" s="10" t="n">
        <v>1730</v>
      </c>
      <c r="V73" s="10" t="n">
        <v>0</v>
      </c>
    </row>
    <row r="74">
      <c r="A74" s="7" t="n">
        <v>72</v>
      </c>
      <c r="B74" s="8" t="inlineStr">
        <is>
          <t>Polling Station 72</t>
        </is>
      </c>
      <c r="C74" s="9" t="n">
        <v>72</v>
      </c>
      <c r="D74" s="9" t="n">
        <v>0</v>
      </c>
      <c r="E74" s="9" t="n">
        <v>615</v>
      </c>
      <c r="F74" s="9" t="n">
        <v>183</v>
      </c>
      <c r="G74" s="9" t="n">
        <v>4</v>
      </c>
      <c r="H74" s="9" t="n">
        <v>1</v>
      </c>
      <c r="I74" s="9" t="n">
        <v>0</v>
      </c>
      <c r="J74" s="9" t="n">
        <v>1</v>
      </c>
      <c r="K74" s="9" t="n">
        <v>8</v>
      </c>
      <c r="L74" s="9" t="n">
        <v>0</v>
      </c>
      <c r="M74" s="9" t="n">
        <v>0</v>
      </c>
      <c r="N74" s="9" t="n">
        <v>25</v>
      </c>
      <c r="O74" s="9" t="n">
        <v>837</v>
      </c>
      <c r="P74" s="9" t="n">
        <v>0</v>
      </c>
      <c r="Q74" s="9" t="n">
        <v>15</v>
      </c>
      <c r="R74" s="10" t="n">
        <v>1761</v>
      </c>
      <c r="S74" s="10" t="n">
        <v>0</v>
      </c>
      <c r="T74" s="10" t="n">
        <v>0</v>
      </c>
      <c r="U74" s="10" t="n">
        <v>1761</v>
      </c>
      <c r="V74" s="10" t="n">
        <v>0</v>
      </c>
    </row>
    <row r="75">
      <c r="A75" s="7" t="n">
        <v>73</v>
      </c>
      <c r="B75" s="8" t="inlineStr">
        <is>
          <t>Polling Station 73</t>
        </is>
      </c>
      <c r="C75" s="9" t="n">
        <v>73</v>
      </c>
      <c r="D75" s="9" t="n">
        <v>0</v>
      </c>
      <c r="E75" s="9" t="n">
        <v>335</v>
      </c>
      <c r="F75" s="9" t="n">
        <v>173</v>
      </c>
      <c r="G75" s="9" t="n">
        <v>3</v>
      </c>
      <c r="H75" s="9" t="n">
        <v>15</v>
      </c>
      <c r="I75" s="9" t="n">
        <v>0</v>
      </c>
      <c r="J75" s="9" t="n">
        <v>5</v>
      </c>
      <c r="K75" s="9" t="n">
        <v>3</v>
      </c>
      <c r="L75" s="9" t="n">
        <v>2</v>
      </c>
      <c r="M75" s="9" t="n">
        <v>2</v>
      </c>
      <c r="N75" s="9" t="n">
        <v>0</v>
      </c>
      <c r="O75" s="9" t="n">
        <v>549</v>
      </c>
      <c r="P75" s="9" t="n">
        <v>0</v>
      </c>
      <c r="Q75" s="9" t="n">
        <v>10</v>
      </c>
      <c r="R75" s="10" t="n">
        <v>1170</v>
      </c>
      <c r="S75" s="10" t="n">
        <v>0</v>
      </c>
      <c r="T75" s="10" t="n">
        <v>0</v>
      </c>
      <c r="U75" s="10" t="n">
        <v>1170</v>
      </c>
      <c r="V75" s="10" t="n">
        <v>0</v>
      </c>
    </row>
    <row r="76">
      <c r="A76" s="7" t="n">
        <v>74</v>
      </c>
      <c r="B76" s="8" t="inlineStr">
        <is>
          <t>Polling Station 74</t>
        </is>
      </c>
      <c r="C76" s="9" t="n">
        <v>74</v>
      </c>
      <c r="D76" s="9" t="n">
        <v>0</v>
      </c>
      <c r="E76" s="9" t="n">
        <v>381</v>
      </c>
      <c r="F76" s="9" t="n">
        <v>150</v>
      </c>
      <c r="G76" s="9" t="n">
        <v>6</v>
      </c>
      <c r="H76" s="9" t="n">
        <v>1</v>
      </c>
      <c r="I76" s="9" t="n">
        <v>0</v>
      </c>
      <c r="J76" s="9" t="n">
        <v>1</v>
      </c>
      <c r="K76" s="9" t="n">
        <v>3</v>
      </c>
      <c r="L76" s="9" t="n">
        <v>1</v>
      </c>
      <c r="M76" s="9" t="n">
        <v>0</v>
      </c>
      <c r="N76" s="9" t="n">
        <v>9</v>
      </c>
      <c r="O76" s="9" t="n">
        <v>554</v>
      </c>
      <c r="P76" s="9" t="n">
        <v>0</v>
      </c>
      <c r="Q76" s="9" t="n">
        <v>12</v>
      </c>
      <c r="R76" s="10" t="n">
        <v>1192</v>
      </c>
      <c r="S76" s="10" t="n">
        <v>0</v>
      </c>
      <c r="T76" s="10" t="n">
        <v>0</v>
      </c>
      <c r="U76" s="10" t="n">
        <v>1192</v>
      </c>
      <c r="V76" s="10" t="n">
        <v>0</v>
      </c>
    </row>
    <row r="77">
      <c r="A77" s="7" t="n">
        <v>75</v>
      </c>
      <c r="B77" s="8" t="inlineStr">
        <is>
          <t>Polling Station 75</t>
        </is>
      </c>
      <c r="C77" s="9" t="n">
        <v>75</v>
      </c>
      <c r="D77" s="9" t="n">
        <v>0</v>
      </c>
      <c r="E77" s="9" t="n">
        <v>256</v>
      </c>
      <c r="F77" s="9" t="n">
        <v>125</v>
      </c>
      <c r="G77" s="9" t="n">
        <v>1</v>
      </c>
      <c r="H77" s="9" t="n">
        <v>8</v>
      </c>
      <c r="I77" s="9" t="n">
        <v>0</v>
      </c>
      <c r="J77" s="9" t="n">
        <v>0</v>
      </c>
      <c r="K77" s="9" t="n">
        <v>0</v>
      </c>
      <c r="L77" s="9" t="n">
        <v>1</v>
      </c>
      <c r="M77" s="9" t="n">
        <v>1</v>
      </c>
      <c r="N77" s="9" t="n">
        <v>5</v>
      </c>
      <c r="O77" s="9" t="n">
        <v>397</v>
      </c>
      <c r="P77" s="9" t="n">
        <v>0</v>
      </c>
      <c r="Q77" s="9" t="n">
        <v>12</v>
      </c>
      <c r="R77" s="10" t="n">
        <v>881</v>
      </c>
      <c r="S77" s="10" t="n">
        <v>0</v>
      </c>
      <c r="T77" s="10" t="n">
        <v>0</v>
      </c>
      <c r="U77" s="10" t="n">
        <v>881</v>
      </c>
      <c r="V77" s="10" t="n">
        <v>0</v>
      </c>
    </row>
    <row r="78">
      <c r="A78" s="7" t="n">
        <v>76</v>
      </c>
      <c r="B78" s="8" t="inlineStr">
        <is>
          <t>Polling Station 76</t>
        </is>
      </c>
      <c r="C78" s="9" t="n">
        <v>76</v>
      </c>
      <c r="D78" s="9" t="n">
        <v>0</v>
      </c>
      <c r="E78" s="9" t="n">
        <v>316</v>
      </c>
      <c r="F78" s="9" t="n">
        <v>166</v>
      </c>
      <c r="G78" s="9" t="n">
        <v>4</v>
      </c>
      <c r="H78" s="9" t="n">
        <v>7</v>
      </c>
      <c r="I78" s="9" t="n">
        <v>1</v>
      </c>
      <c r="J78" s="9" t="n">
        <v>1</v>
      </c>
      <c r="K78" s="9" t="n">
        <v>4</v>
      </c>
      <c r="L78" s="9" t="n">
        <v>0</v>
      </c>
      <c r="M78" s="9" t="n">
        <v>0</v>
      </c>
      <c r="N78" s="9" t="n">
        <v>8</v>
      </c>
      <c r="O78" s="9" t="n">
        <v>507</v>
      </c>
      <c r="P78" s="9" t="n">
        <v>0</v>
      </c>
      <c r="Q78" s="9" t="n">
        <v>6</v>
      </c>
      <c r="R78" s="10" t="n">
        <v>1096</v>
      </c>
      <c r="S78" s="10" t="n">
        <v>0</v>
      </c>
      <c r="T78" s="10" t="n">
        <v>0</v>
      </c>
      <c r="U78" s="10" t="n">
        <v>1096</v>
      </c>
      <c r="V78" s="10" t="n">
        <v>0</v>
      </c>
    </row>
    <row r="79">
      <c r="A79" s="7" t="n">
        <v>77</v>
      </c>
      <c r="B79" s="8" t="inlineStr">
        <is>
          <t>Polling Station 77</t>
        </is>
      </c>
      <c r="C79" s="9" t="n">
        <v>7</v>
      </c>
      <c r="D79" s="9" t="n">
        <v>0</v>
      </c>
      <c r="E79" s="9" t="n">
        <v>361</v>
      </c>
      <c r="F79" s="9" t="n">
        <v>312</v>
      </c>
      <c r="G79" s="9" t="n">
        <v>4</v>
      </c>
      <c r="H79" s="9" t="n">
        <v>1</v>
      </c>
      <c r="I79" s="9" t="n">
        <v>1</v>
      </c>
      <c r="J79" s="9" t="n">
        <v>1</v>
      </c>
      <c r="K79" s="9" t="n">
        <v>5</v>
      </c>
      <c r="L79" s="9" t="n">
        <v>1</v>
      </c>
      <c r="M79" s="9" t="n">
        <v>2</v>
      </c>
      <c r="N79" s="9" t="n">
        <v>12</v>
      </c>
      <c r="O79" s="9" t="n">
        <v>710</v>
      </c>
      <c r="P79" s="9" t="n">
        <v>0</v>
      </c>
      <c r="Q79" s="9" t="n">
        <v>2</v>
      </c>
      <c r="R79" s="10" t="n">
        <v>1419</v>
      </c>
      <c r="S79" s="10" t="n">
        <v>0</v>
      </c>
      <c r="T79" s="10" t="n">
        <v>0</v>
      </c>
      <c r="U79" s="10" t="n">
        <v>1419</v>
      </c>
      <c r="V79" s="10" t="n">
        <v>0</v>
      </c>
    </row>
    <row r="80">
      <c r="A80" s="7" t="n">
        <v>78</v>
      </c>
      <c r="B80" s="8" t="inlineStr">
        <is>
          <t>Polling Station 78</t>
        </is>
      </c>
      <c r="C80" s="9" t="n">
        <v>78</v>
      </c>
      <c r="D80" s="9" t="n">
        <v>0</v>
      </c>
      <c r="E80" s="9" t="n">
        <v>245</v>
      </c>
      <c r="F80" s="9" t="n">
        <v>217</v>
      </c>
      <c r="G80" s="9" t="n">
        <v>7</v>
      </c>
      <c r="H80" s="9" t="n">
        <v>3</v>
      </c>
      <c r="I80" s="9" t="n">
        <v>1</v>
      </c>
      <c r="J80" s="9" t="n">
        <v>0</v>
      </c>
      <c r="K80" s="9" t="n">
        <v>4</v>
      </c>
      <c r="L80" s="9" t="n">
        <v>2</v>
      </c>
      <c r="M80" s="9" t="n">
        <v>1</v>
      </c>
      <c r="N80" s="9" t="n">
        <v>0</v>
      </c>
      <c r="O80" s="9" t="n">
        <v>491</v>
      </c>
      <c r="P80" s="9" t="n">
        <v>0</v>
      </c>
      <c r="Q80" s="9" t="n">
        <v>14</v>
      </c>
      <c r="R80" s="10" t="n">
        <v>1063</v>
      </c>
      <c r="S80" s="10" t="n">
        <v>0</v>
      </c>
      <c r="T80" s="10" t="n">
        <v>0</v>
      </c>
      <c r="U80" s="10" t="n">
        <v>1063</v>
      </c>
      <c r="V80" s="10" t="n">
        <v>0</v>
      </c>
    </row>
    <row r="81">
      <c r="A81" s="7" t="n">
        <v>79</v>
      </c>
      <c r="B81" s="8" t="inlineStr">
        <is>
          <t>Polling Station 79</t>
        </is>
      </c>
      <c r="C81" s="9" t="n">
        <v>79</v>
      </c>
      <c r="D81" s="9" t="n">
        <v>0</v>
      </c>
      <c r="E81" s="9" t="n">
        <v>223</v>
      </c>
      <c r="F81" s="9" t="n">
        <v>196</v>
      </c>
      <c r="G81" s="9" t="n">
        <v>2</v>
      </c>
      <c r="H81" s="9" t="n">
        <v>39</v>
      </c>
      <c r="I81" s="9" t="n">
        <v>0</v>
      </c>
      <c r="J81" s="9" t="n">
        <v>1</v>
      </c>
      <c r="K81" s="9" t="n">
        <v>5</v>
      </c>
      <c r="L81" s="9" t="n">
        <v>1</v>
      </c>
      <c r="M81" s="9" t="n">
        <v>3</v>
      </c>
      <c r="N81" s="9" t="n">
        <v>0</v>
      </c>
      <c r="O81" s="9" t="n">
        <v>481</v>
      </c>
      <c r="P81" s="9" t="n">
        <v>0</v>
      </c>
      <c r="Q81" s="9" t="n">
        <v>5</v>
      </c>
      <c r="R81" s="10" t="n">
        <v>1035</v>
      </c>
      <c r="S81" s="10" t="n">
        <v>0</v>
      </c>
      <c r="T81" s="10" t="n">
        <v>0</v>
      </c>
      <c r="U81" s="10" t="n">
        <v>1035</v>
      </c>
      <c r="V81" s="10" t="n">
        <v>0</v>
      </c>
    </row>
    <row r="82">
      <c r="A82" s="7" t="n">
        <v>80</v>
      </c>
      <c r="B82" s="8" t="inlineStr">
        <is>
          <t>|Mamidalapalli</t>
        </is>
      </c>
      <c r="C82" s="9" t="n">
        <v>392</v>
      </c>
      <c r="D82" s="9" t="n">
        <v>420</v>
      </c>
      <c r="E82" s="9" t="n">
        <v>6</v>
      </c>
      <c r="F82" s="9" t="n">
        <v>4</v>
      </c>
      <c r="G82" s="9" t="n">
        <v>2</v>
      </c>
      <c r="H82" s="9" t="n">
        <v>2</v>
      </c>
      <c r="I82" s="9" t="n">
        <v>7</v>
      </c>
      <c r="J82" s="9" t="n">
        <v>1</v>
      </c>
      <c r="K82" s="9" t="n">
        <v>6</v>
      </c>
      <c r="L82" s="9" t="n">
        <v>20</v>
      </c>
      <c r="M82" s="9" t="n">
        <v>910</v>
      </c>
      <c r="N82" s="9" t="n">
        <v>0</v>
      </c>
      <c r="O82" s="9" t="n">
        <v>16</v>
      </c>
      <c r="P82" s="9" t="n">
        <v>926</v>
      </c>
      <c r="Q82" s="9" t="n">
        <v>0</v>
      </c>
      <c r="R82" s="10" t="n">
        <v>2712</v>
      </c>
      <c r="S82" s="10" t="n">
        <v>0</v>
      </c>
      <c r="T82" s="10" t="n">
        <v>0</v>
      </c>
      <c r="U82" s="10" t="n">
        <v>2712</v>
      </c>
      <c r="V82" s="10" t="n">
        <v>0</v>
      </c>
    </row>
    <row r="83">
      <c r="A83" s="7" t="n">
        <v>81</v>
      </c>
      <c r="B83" s="8" t="inlineStr">
        <is>
          <t>|Mamidalapalli</t>
        </is>
      </c>
      <c r="C83" s="9" t="n">
        <v>254</v>
      </c>
      <c r="D83" s="9" t="n">
        <v>142</v>
      </c>
      <c r="E83" s="9" t="n">
        <v>1</v>
      </c>
      <c r="F83" s="9" t="n">
        <v>17</v>
      </c>
      <c r="G83" s="9" t="n">
        <v>0</v>
      </c>
      <c r="H83" s="9" t="n">
        <v>4</v>
      </c>
      <c r="I83" s="9" t="n">
        <v>6</v>
      </c>
      <c r="J83" s="9" t="n">
        <v>0</v>
      </c>
      <c r="K83" s="9" t="n">
        <v>2</v>
      </c>
      <c r="L83" s="9" t="n">
        <v>9</v>
      </c>
      <c r="M83" s="9" t="n">
        <v>435</v>
      </c>
      <c r="N83" s="9" t="n">
        <v>0</v>
      </c>
      <c r="O83" s="9" t="n">
        <v>7</v>
      </c>
      <c r="P83" s="9" t="n">
        <v>442</v>
      </c>
      <c r="Q83" s="9" t="n">
        <v>0</v>
      </c>
      <c r="R83" s="10" t="n">
        <v>1319</v>
      </c>
      <c r="S83" s="10" t="n">
        <v>0</v>
      </c>
      <c r="T83" s="10" t="n">
        <v>0</v>
      </c>
      <c r="U83" s="10" t="n">
        <v>1319</v>
      </c>
      <c r="V83" s="10" t="n">
        <v>0</v>
      </c>
    </row>
    <row r="84">
      <c r="A84" s="7" t="n">
        <v>82</v>
      </c>
      <c r="B84" s="8" t="inlineStr">
        <is>
          <t>|Mamidalapalli</t>
        </is>
      </c>
      <c r="C84" s="9" t="n">
        <v>163</v>
      </c>
      <c r="D84" s="9" t="n">
        <v>243</v>
      </c>
      <c r="E84" s="9" t="n">
        <v>10</v>
      </c>
      <c r="F84" s="9" t="n">
        <v>25</v>
      </c>
      <c r="G84" s="9" t="n">
        <v>0</v>
      </c>
      <c r="H84" s="9" t="n">
        <v>2</v>
      </c>
      <c r="I84" s="9" t="n">
        <v>2</v>
      </c>
      <c r="J84" s="9" t="n">
        <v>1</v>
      </c>
      <c r="K84" s="9" t="n">
        <v>2</v>
      </c>
      <c r="L84" s="9" t="n">
        <v>4</v>
      </c>
      <c r="M84" s="9" t="n">
        <v>452</v>
      </c>
      <c r="N84" s="9" t="n">
        <v>0</v>
      </c>
      <c r="O84" s="9" t="n">
        <v>12</v>
      </c>
      <c r="P84" s="9" t="n">
        <v>464</v>
      </c>
      <c r="Q84" s="9" t="n">
        <v>0</v>
      </c>
      <c r="R84" s="10" t="n">
        <v>1380</v>
      </c>
      <c r="S84" s="10" t="n">
        <v>0</v>
      </c>
      <c r="T84" s="10" t="n">
        <v>0</v>
      </c>
      <c r="U84" s="10" t="n">
        <v>1380</v>
      </c>
      <c r="V84" s="10" t="n">
        <v>0</v>
      </c>
    </row>
    <row r="85">
      <c r="A85" s="7" t="n">
        <v>83</v>
      </c>
      <c r="B85" s="8" t="inlineStr">
        <is>
          <t>|Challoor</t>
        </is>
      </c>
      <c r="C85" s="9" t="n">
        <v>494</v>
      </c>
      <c r="D85" s="9" t="n">
        <v>335</v>
      </c>
      <c r="E85" s="9" t="n">
        <v>6</v>
      </c>
      <c r="F85" s="9" t="n">
        <v>15</v>
      </c>
      <c r="G85" s="9" t="n">
        <v>1</v>
      </c>
      <c r="H85" s="9" t="n">
        <v>1</v>
      </c>
      <c r="I85" s="9" t="n">
        <v>3</v>
      </c>
      <c r="J85" s="9" t="n">
        <v>1</v>
      </c>
      <c r="K85" s="9" t="n">
        <v>4</v>
      </c>
      <c r="L85" s="9" t="n">
        <v>10</v>
      </c>
      <c r="M85" s="9" t="n">
        <v>870</v>
      </c>
      <c r="N85" s="9" t="n">
        <v>0</v>
      </c>
      <c r="O85" s="9" t="n">
        <v>14</v>
      </c>
      <c r="P85" s="9" t="n">
        <v>881</v>
      </c>
      <c r="Q85" s="9" t="n">
        <v>0</v>
      </c>
      <c r="R85" s="10" t="n">
        <v>2635</v>
      </c>
      <c r="S85" s="10" t="n">
        <v>0</v>
      </c>
      <c r="T85" s="10" t="n">
        <v>0</v>
      </c>
      <c r="U85" s="10" t="n">
        <v>2635</v>
      </c>
      <c r="V85" s="10" t="n">
        <v>0</v>
      </c>
    </row>
    <row r="86">
      <c r="A86" s="7" t="n">
        <v>84</v>
      </c>
      <c r="B86" s="8" t="inlineStr">
        <is>
          <t>|Challoor</t>
        </is>
      </c>
      <c r="C86" s="9" t="n">
        <v>675</v>
      </c>
      <c r="D86" s="9" t="n">
        <v>260</v>
      </c>
      <c r="E86" s="9" t="n">
        <v>3</v>
      </c>
      <c r="F86" s="9" t="n">
        <v>23</v>
      </c>
      <c r="G86" s="9" t="n">
        <v>2</v>
      </c>
      <c r="H86" s="9" t="n">
        <v>0</v>
      </c>
      <c r="I86" s="9" t="n">
        <v>13</v>
      </c>
      <c r="J86" s="9" t="n">
        <v>0</v>
      </c>
      <c r="K86" s="9" t="n">
        <v>3</v>
      </c>
      <c r="L86" s="9" t="n">
        <v>14</v>
      </c>
      <c r="M86" s="9" t="n">
        <v>993</v>
      </c>
      <c r="N86" s="9" t="n">
        <v>0</v>
      </c>
      <c r="O86" s="9" t="n">
        <v>20</v>
      </c>
      <c r="P86" s="9" t="n">
        <v>1013</v>
      </c>
      <c r="Q86" s="9" t="n">
        <v>0</v>
      </c>
      <c r="R86" s="10" t="n">
        <v>3019</v>
      </c>
      <c r="S86" s="10" t="n">
        <v>0</v>
      </c>
      <c r="T86" s="10" t="n">
        <v>0</v>
      </c>
      <c r="U86" s="10" t="n">
        <v>3019</v>
      </c>
      <c r="V86" s="10" t="n">
        <v>0</v>
      </c>
    </row>
    <row r="87">
      <c r="A87" s="7" t="n">
        <v>85</v>
      </c>
      <c r="B87" s="8" t="inlineStr">
        <is>
          <t>|Challoor</t>
        </is>
      </c>
      <c r="C87" s="9" t="n">
        <v>412</v>
      </c>
      <c r="D87" s="9" t="n">
        <v>228</v>
      </c>
      <c r="E87" s="9" t="n">
        <v>6</v>
      </c>
      <c r="F87" s="9" t="n">
        <v>12</v>
      </c>
      <c r="G87" s="9" t="n">
        <v>0</v>
      </c>
      <c r="H87" s="9" t="n">
        <v>0</v>
      </c>
      <c r="I87" s="9" t="n">
        <v>6</v>
      </c>
      <c r="J87" s="9" t="n">
        <v>4</v>
      </c>
      <c r="K87" s="9" t="n">
        <v>2</v>
      </c>
      <c r="L87" s="9" t="n">
        <v>16</v>
      </c>
      <c r="M87" s="9" t="n">
        <v>683</v>
      </c>
      <c r="N87" s="9" t="n">
        <v>0</v>
      </c>
      <c r="O87" s="9" t="n">
        <v>9</v>
      </c>
      <c r="P87" s="9" t="n">
        <v>692</v>
      </c>
      <c r="Q87" s="9" t="n">
        <v>0</v>
      </c>
      <c r="R87" s="10" t="n">
        <v>2070</v>
      </c>
      <c r="S87" s="10" t="n">
        <v>0</v>
      </c>
      <c r="T87" s="10" t="n">
        <v>0</v>
      </c>
      <c r="U87" s="10" t="n">
        <v>2070</v>
      </c>
      <c r="V87" s="10" t="n">
        <v>0</v>
      </c>
    </row>
    <row r="88">
      <c r="A88" s="7" t="n">
        <v>86</v>
      </c>
      <c r="B88" s="8" t="inlineStr">
        <is>
          <t>!ppalapali.
H/o Challoor</t>
        </is>
      </c>
      <c r="C88" s="9" t="n">
        <v>359</v>
      </c>
      <c r="D88" s="9" t="n">
        <v>201</v>
      </c>
      <c r="E88" s="9" t="n">
        <v>3</v>
      </c>
      <c r="F88" s="9" t="n">
        <v>3</v>
      </c>
      <c r="G88" s="9" t="n">
        <v>0</v>
      </c>
      <c r="H88" s="9" t="n">
        <v>1</v>
      </c>
      <c r="I88" s="9" t="n">
        <v>3</v>
      </c>
      <c r="J88" s="9" t="n">
        <v>4</v>
      </c>
      <c r="K88" s="9" t="n">
        <v>6</v>
      </c>
      <c r="L88" s="9" t="n">
        <v>16</v>
      </c>
      <c r="M88" s="9" t="n">
        <v>597</v>
      </c>
      <c r="N88" s="9" t="n">
        <v>0</v>
      </c>
      <c r="O88" s="9" t="n">
        <v>12</v>
      </c>
      <c r="P88" s="9" t="n">
        <v>609</v>
      </c>
      <c r="Q88" s="9" t="n">
        <v>0</v>
      </c>
      <c r="R88" s="10" t="n">
        <v>1814</v>
      </c>
      <c r="S88" s="10" t="n">
        <v>0</v>
      </c>
      <c r="T88" s="10" t="n">
        <v>0</v>
      </c>
      <c r="U88" s="10" t="n">
        <v>1814</v>
      </c>
      <c r="V88" s="10" t="n">
        <v>0</v>
      </c>
    </row>
    <row r="89">
      <c r="A89" s="7" t="n">
        <v>87</v>
      </c>
      <c r="B89" s="8" t="inlineStr">
        <is>
          <t>|Korkal</t>
        </is>
      </c>
      <c r="C89" s="9" t="n">
        <v>453</v>
      </c>
      <c r="D89" s="9" t="n">
        <v>232</v>
      </c>
      <c r="E89" s="9" t="n">
        <v>6</v>
      </c>
      <c r="F89" s="9" t="n">
        <v>0</v>
      </c>
      <c r="G89" s="9" t="n">
        <v>0</v>
      </c>
      <c r="H89" s="9" t="n">
        <v>0</v>
      </c>
      <c r="I89" s="9" t="n">
        <v>6</v>
      </c>
      <c r="J89" s="9" t="n">
        <v>0</v>
      </c>
      <c r="K89" s="9" t="n">
        <v>0</v>
      </c>
      <c r="L89" s="9" t="n">
        <v>1</v>
      </c>
      <c r="M89" s="9" t="n">
        <v>716</v>
      </c>
      <c r="N89" s="9" t="n">
        <v>0</v>
      </c>
      <c r="O89" s="9" t="n">
        <v>26</v>
      </c>
      <c r="P89" s="9" t="n">
        <v>742</v>
      </c>
      <c r="Q89" s="9" t="n">
        <v>0</v>
      </c>
      <c r="R89" s="10" t="n">
        <v>2182</v>
      </c>
      <c r="S89" s="10" t="n">
        <v>0</v>
      </c>
      <c r="T89" s="10" t="n">
        <v>0</v>
      </c>
      <c r="U89" s="10" t="n">
        <v>2182</v>
      </c>
      <c r="V89" s="10" t="n">
        <v>0</v>
      </c>
    </row>
    <row r="90">
      <c r="A90" s="7" t="n">
        <v>88</v>
      </c>
      <c r="B90" s="8" t="inlineStr">
        <is>
          <t>|Korkal</t>
        </is>
      </c>
      <c r="C90" s="9" t="n">
        <v>459</v>
      </c>
      <c r="D90" s="9" t="n">
        <v>171</v>
      </c>
      <c r="E90" s="9" t="n">
        <v>2</v>
      </c>
      <c r="F90" s="9" t="n">
        <v>7</v>
      </c>
      <c r="G90" s="9" t="n">
        <v>1</v>
      </c>
      <c r="H90" s="9" t="n">
        <v>0</v>
      </c>
      <c r="I90" s="9" t="n">
        <v>1</v>
      </c>
      <c r="J90" s="9" t="n">
        <v>1</v>
      </c>
      <c r="K90" s="9" t="n">
        <v>1</v>
      </c>
      <c r="L90" s="9" t="n">
        <v>1</v>
      </c>
      <c r="M90" s="9" t="n">
        <v>654</v>
      </c>
      <c r="N90" s="9" t="n">
        <v>0</v>
      </c>
      <c r="O90" s="9" t="n">
        <v>8</v>
      </c>
      <c r="P90" s="9" t="n">
        <v>662</v>
      </c>
      <c r="Q90" s="9" t="n">
        <v>0</v>
      </c>
      <c r="R90" s="10" t="n">
        <v>1968</v>
      </c>
      <c r="S90" s="10" t="n">
        <v>0</v>
      </c>
      <c r="T90" s="10" t="n">
        <v>0</v>
      </c>
      <c r="U90" s="10" t="n">
        <v>1968</v>
      </c>
      <c r="V90" s="10" t="n">
        <v>0</v>
      </c>
    </row>
    <row r="91">
      <c r="A91" s="7" t="n">
        <v>89</v>
      </c>
      <c r="B91" s="8" t="inlineStr">
        <is>
          <t>|Mallareddypalli</t>
        </is>
      </c>
      <c r="C91" s="9" t="n">
        <v>271</v>
      </c>
      <c r="D91" s="9" t="n">
        <v>162</v>
      </c>
      <c r="E91" s="9" t="n">
        <v>2</v>
      </c>
      <c r="F91" s="9" t="n">
        <v>3</v>
      </c>
      <c r="G91" s="9" t="n">
        <v>0</v>
      </c>
      <c r="H91" s="9" t="n">
        <v>0</v>
      </c>
      <c r="I91" s="9" t="n">
        <v>1</v>
      </c>
      <c r="J91" s="9" t="n">
        <v>1</v>
      </c>
      <c r="K91" s="9" t="n">
        <v>2</v>
      </c>
      <c r="L91" s="9" t="n">
        <v>6</v>
      </c>
      <c r="M91" s="9" t="n">
        <v>448</v>
      </c>
      <c r="N91" s="9" t="n">
        <v>0</v>
      </c>
      <c r="O91" s="9" t="n">
        <v>10</v>
      </c>
      <c r="P91" s="9" t="n">
        <v>458</v>
      </c>
      <c r="Q91" s="9" t="n">
        <v>0</v>
      </c>
      <c r="R91" s="10" t="n">
        <v>1364</v>
      </c>
      <c r="S91" s="10" t="n">
        <v>0</v>
      </c>
      <c r="T91" s="10" t="n">
        <v>0</v>
      </c>
      <c r="U91" s="10" t="n">
        <v>1364</v>
      </c>
      <c r="V91" s="10" t="n">
        <v>0</v>
      </c>
    </row>
    <row r="92">
      <c r="A92" s="7" t="n">
        <v>90</v>
      </c>
      <c r="B92" s="8" t="inlineStr">
        <is>
          <t>|Mallareddypalli</t>
        </is>
      </c>
      <c r="C92" s="9" t="n">
        <v>347</v>
      </c>
      <c r="D92" s="9" t="n">
        <v>228</v>
      </c>
      <c r="E92" s="9" t="n">
        <v>3</v>
      </c>
      <c r="F92" s="9" t="n">
        <v>0</v>
      </c>
      <c r="G92" s="9" t="n">
        <v>1</v>
      </c>
      <c r="H92" s="9" t="n">
        <v>3</v>
      </c>
      <c r="I92" s="9" t="n">
        <v>5</v>
      </c>
      <c r="J92" s="9" t="n">
        <v>1</v>
      </c>
      <c r="K92" s="9" t="n">
        <v>2</v>
      </c>
      <c r="L92" s="9" t="n">
        <v>15</v>
      </c>
      <c r="M92" s="9" t="n">
        <v>606</v>
      </c>
      <c r="N92" s="9" t="n">
        <v>0</v>
      </c>
      <c r="O92" s="9" t="n">
        <v>7</v>
      </c>
      <c r="P92" s="9" t="n">
        <v>623</v>
      </c>
      <c r="Q92" s="9" t="n">
        <v>0</v>
      </c>
      <c r="R92" s="10" t="n">
        <v>1841</v>
      </c>
      <c r="S92" s="10" t="n">
        <v>0</v>
      </c>
      <c r="T92" s="10" t="n">
        <v>0</v>
      </c>
      <c r="U92" s="10" t="n">
        <v>1841</v>
      </c>
      <c r="V92" s="10" t="n">
        <v>0</v>
      </c>
    </row>
    <row r="93">
      <c r="A93" s="7" t="n">
        <v>91</v>
      </c>
      <c r="B93" s="8" t="inlineStr">
        <is>
          <t>|Deshaipalli</t>
        </is>
      </c>
      <c r="C93" s="9" t="n">
        <v>544</v>
      </c>
      <c r="D93" s="9" t="n">
        <v>306</v>
      </c>
      <c r="E93" s="9" t="n">
        <v>6</v>
      </c>
      <c r="F93" s="9" t="n">
        <v>7</v>
      </c>
      <c r="G93" s="9" t="n">
        <v>0</v>
      </c>
      <c r="H93" s="9" t="n">
        <v>0</v>
      </c>
      <c r="I93" s="9" t="n">
        <v>1</v>
      </c>
      <c r="J93" s="9" t="n">
        <v>0</v>
      </c>
      <c r="K93" s="9" t="n">
        <v>0</v>
      </c>
      <c r="L93" s="9" t="n">
        <v>10</v>
      </c>
      <c r="M93" s="9" t="n">
        <v>874</v>
      </c>
      <c r="N93" s="9" t="n">
        <v>0</v>
      </c>
      <c r="O93" s="9" t="n">
        <v>5</v>
      </c>
      <c r="P93" s="9" t="n">
        <v>879</v>
      </c>
      <c r="Q93" s="9" t="n">
        <v>0</v>
      </c>
      <c r="R93" s="10" t="n">
        <v>2632</v>
      </c>
      <c r="S93" s="10" t="n">
        <v>0</v>
      </c>
      <c r="T93" s="10" t="n">
        <v>0</v>
      </c>
      <c r="U93" s="10" t="n">
        <v>2632</v>
      </c>
      <c r="V93" s="10" t="n">
        <v>0</v>
      </c>
    </row>
    <row r="94">
      <c r="A94" s="7" t="n">
        <v>92</v>
      </c>
      <c r="B94" s="8" t="inlineStr">
        <is>
          <t>|Kondapaka</t>
        </is>
      </c>
      <c r="C94" s="9" t="n">
        <v>247</v>
      </c>
      <c r="D94" s="9" t="n">
        <v>286</v>
      </c>
      <c r="E94" s="9" t="n">
        <v>3</v>
      </c>
      <c r="F94" s="9" t="n">
        <v>7</v>
      </c>
      <c r="G94" s="9" t="n">
        <v>2</v>
      </c>
      <c r="H94" s="9" t="n">
        <v>0</v>
      </c>
      <c r="I94" s="9" t="n">
        <v>3</v>
      </c>
      <c r="J94" s="9" t="n">
        <v>0</v>
      </c>
      <c r="K94" s="9" t="n">
        <v>1</v>
      </c>
      <c r="L94" s="9" t="n">
        <v>4</v>
      </c>
      <c r="M94" s="9" t="n">
        <v>553</v>
      </c>
      <c r="N94" s="9" t="n">
        <v>0</v>
      </c>
      <c r="O94" s="9" t="n">
        <v>1</v>
      </c>
      <c r="P94" s="9" t="n">
        <v>564</v>
      </c>
      <c r="Q94" s="9" t="n">
        <v>0</v>
      </c>
      <c r="R94" s="10" t="n">
        <v>1671</v>
      </c>
      <c r="S94" s="10" t="n">
        <v>0</v>
      </c>
      <c r="T94" s="10" t="n">
        <v>0</v>
      </c>
      <c r="U94" s="10" t="n">
        <v>1671</v>
      </c>
      <c r="V94" s="10" t="n">
        <v>0</v>
      </c>
    </row>
    <row r="95">
      <c r="A95" s="7" t="n">
        <v>93</v>
      </c>
      <c r="B95" s="8" t="inlineStr">
        <is>
          <t>|Kondapaka</t>
        </is>
      </c>
      <c r="C95" s="9" t="n">
        <v>234</v>
      </c>
      <c r="D95" s="9" t="n">
        <v>199</v>
      </c>
      <c r="E95" s="9" t="n">
        <v>6</v>
      </c>
      <c r="F95" s="9" t="n">
        <v>2</v>
      </c>
      <c r="G95" s="9" t="n">
        <v>0</v>
      </c>
      <c r="H95" s="9" t="n">
        <v>0</v>
      </c>
      <c r="I95" s="9" t="n">
        <v>1</v>
      </c>
      <c r="J95" s="9" t="n">
        <v>0</v>
      </c>
      <c r="K95" s="9" t="n">
        <v>0</v>
      </c>
      <c r="L95" s="9" t="n">
        <v>6</v>
      </c>
      <c r="M95" s="9" t="n">
        <v>448</v>
      </c>
      <c r="N95" s="9" t="n">
        <v>0</v>
      </c>
      <c r="O95" s="9" t="n">
        <v>5</v>
      </c>
      <c r="P95" s="9" t="n">
        <v>453</v>
      </c>
      <c r="Q95" s="9" t="n">
        <v>0</v>
      </c>
      <c r="R95" s="10" t="n">
        <v>1354</v>
      </c>
      <c r="S95" s="10" t="n">
        <v>0</v>
      </c>
      <c r="T95" s="10" t="n">
        <v>0</v>
      </c>
      <c r="U95" s="10" t="n">
        <v>1354</v>
      </c>
      <c r="V95" s="10" t="n">
        <v>0</v>
      </c>
    </row>
    <row r="96">
      <c r="A96" s="7" t="n">
        <v>94</v>
      </c>
      <c r="B96" s="8" t="inlineStr">
        <is>
          <t>|Sriramulapeta</t>
        </is>
      </c>
      <c r="C96" s="9" t="n">
        <v>404</v>
      </c>
      <c r="D96" s="9" t="n">
        <v>263</v>
      </c>
      <c r="E96" s="9" t="n">
        <v>5</v>
      </c>
      <c r="F96" s="9" t="n">
        <v>2</v>
      </c>
      <c r="G96" s="9" t="n">
        <v>0</v>
      </c>
      <c r="H96" s="9" t="n">
        <v>0</v>
      </c>
      <c r="I96" s="9" t="n">
        <v>2</v>
      </c>
      <c r="J96" s="9" t="n">
        <v>0</v>
      </c>
      <c r="K96" s="9" t="n">
        <v>1</v>
      </c>
      <c r="L96" s="9" t="n">
        <v>12</v>
      </c>
      <c r="M96" s="9" t="n">
        <v>689</v>
      </c>
      <c r="N96" s="9" t="n">
        <v>0</v>
      </c>
      <c r="O96" s="9" t="n">
        <v>5</v>
      </c>
      <c r="P96" s="9" t="n">
        <v>694</v>
      </c>
      <c r="Q96" s="9" t="n">
        <v>0</v>
      </c>
      <c r="R96" s="10" t="n">
        <v>2077</v>
      </c>
      <c r="S96" s="10" t="n">
        <v>0</v>
      </c>
      <c r="T96" s="10" t="n">
        <v>0</v>
      </c>
      <c r="U96" s="10" t="n">
        <v>2077</v>
      </c>
      <c r="V96" s="10" t="n">
        <v>0</v>
      </c>
    </row>
    <row r="97">
      <c r="A97" s="7" t="n">
        <v>95</v>
      </c>
      <c r="B97" s="8" t="inlineStr">
        <is>
          <t>|Himmathnagar</t>
        </is>
      </c>
      <c r="C97" s="9" t="n">
        <v>0</v>
      </c>
      <c r="D97" s="9" t="n">
        <v>320</v>
      </c>
      <c r="E97" s="9" t="n">
        <v>2</v>
      </c>
      <c r="F97" s="9" t="n">
        <v>5</v>
      </c>
      <c r="G97" s="9" t="n">
        <v>1</v>
      </c>
      <c r="H97" s="9" t="n">
        <v>1</v>
      </c>
      <c r="I97" s="9" t="n">
        <v>5</v>
      </c>
      <c r="J97" s="9" t="n">
        <v>0</v>
      </c>
      <c r="K97" s="9" t="n">
        <v>0</v>
      </c>
      <c r="L97" s="9" t="n">
        <v>23</v>
      </c>
      <c r="M97" s="9" t="n">
        <v>825</v>
      </c>
      <c r="N97" s="9" t="n">
        <v>0</v>
      </c>
      <c r="O97" s="9" t="n">
        <v>7</v>
      </c>
      <c r="P97" s="9" t="n">
        <v>842</v>
      </c>
      <c r="Q97" s="9" t="n">
        <v>0</v>
      </c>
      <c r="R97" s="10" t="n">
        <v>2031</v>
      </c>
      <c r="S97" s="10" t="n">
        <v>0</v>
      </c>
      <c r="T97" s="10" t="n">
        <v>0</v>
      </c>
      <c r="U97" s="10" t="n">
        <v>2031</v>
      </c>
      <c r="V97" s="10" t="n">
        <v>0</v>
      </c>
    </row>
    <row r="98">
      <c r="A98" s="7" t="n">
        <v>96</v>
      </c>
      <c r="B98" s="8" t="inlineStr">
        <is>
          <t>|Pothireddypalli</t>
        </is>
      </c>
      <c r="C98" s="9" t="n">
        <v>459</v>
      </c>
      <c r="D98" s="9" t="n">
        <v>265</v>
      </c>
      <c r="E98" s="9" t="n">
        <v>2</v>
      </c>
      <c r="F98" s="9" t="n">
        <v>10</v>
      </c>
      <c r="G98" s="9" t="n">
        <v>2</v>
      </c>
      <c r="H98" s="9" t="n">
        <v>1</v>
      </c>
      <c r="I98" s="9" t="n">
        <v>10</v>
      </c>
      <c r="J98" s="9" t="n">
        <v>4</v>
      </c>
      <c r="K98" s="9" t="n">
        <v>0</v>
      </c>
      <c r="L98" s="9" t="n">
        <v>18</v>
      </c>
      <c r="M98" s="9" t="n">
        <v>774</v>
      </c>
      <c r="N98" s="9" t="n">
        <v>0</v>
      </c>
      <c r="O98" s="9" t="n">
        <v>2</v>
      </c>
      <c r="P98" s="9" t="n">
        <v>795</v>
      </c>
      <c r="Q98" s="9" t="n">
        <v>0</v>
      </c>
      <c r="R98" s="10" t="n">
        <v>2342</v>
      </c>
      <c r="S98" s="10" t="n">
        <v>0</v>
      </c>
      <c r="T98" s="10" t="n">
        <v>0</v>
      </c>
      <c r="U98" s="10" t="n">
        <v>2342</v>
      </c>
      <c r="V98" s="10" t="n">
        <v>0</v>
      </c>
    </row>
    <row r="99">
      <c r="A99" s="7" t="n">
        <v>97</v>
      </c>
      <c r="B99" s="8" t="inlineStr">
        <is>
          <t>|Pothireddypalli</t>
        </is>
      </c>
      <c r="C99" s="9" t="n">
        <v>376</v>
      </c>
      <c r="D99" s="9" t="n">
        <v>296</v>
      </c>
      <c r="E99" s="9" t="n">
        <v>8</v>
      </c>
      <c r="F99" s="9" t="n">
        <v>15</v>
      </c>
      <c r="G99" s="9" t="n">
        <v>3</v>
      </c>
      <c r="H99" s="9" t="n">
        <v>3</v>
      </c>
      <c r="I99" s="9" t="n">
        <v>7</v>
      </c>
      <c r="J99" s="9" t="n">
        <v>0</v>
      </c>
      <c r="K99" s="9" t="n">
        <v>0</v>
      </c>
      <c r="L99" s="9" t="n">
        <v>16</v>
      </c>
      <c r="M99" s="9" t="n">
        <v>724</v>
      </c>
      <c r="N99" s="9" t="n">
        <v>0</v>
      </c>
      <c r="O99" s="9" t="n">
        <v>10</v>
      </c>
      <c r="P99" s="9" t="n">
        <v>734</v>
      </c>
      <c r="Q99" s="9" t="n">
        <v>0</v>
      </c>
      <c r="R99" s="10" t="n">
        <v>2192</v>
      </c>
      <c r="S99" s="10" t="n">
        <v>0</v>
      </c>
      <c r="T99" s="10" t="n">
        <v>0</v>
      </c>
      <c r="U99" s="10" t="n">
        <v>2192</v>
      </c>
      <c r="V99" s="10" t="n">
        <v>0</v>
      </c>
    </row>
    <row r="100">
      <c r="A100" s="7" t="n">
        <v>98</v>
      </c>
      <c r="B100" s="8" t="inlineStr">
        <is>
          <t>|Veenavanka</t>
        </is>
      </c>
      <c r="C100" s="9" t="n">
        <v>76</v>
      </c>
      <c r="D100" s="9" t="n">
        <v>357</v>
      </c>
      <c r="E100" s="9" t="n">
        <v>2</v>
      </c>
      <c r="F100" s="9" t="n">
        <v>3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2</v>
      </c>
      <c r="M100" s="9" t="n">
        <v>441</v>
      </c>
      <c r="N100" s="9" t="n">
        <v>0</v>
      </c>
      <c r="O100" s="9" t="n">
        <v>3</v>
      </c>
      <c r="P100" s="9" t="n">
        <v>44</v>
      </c>
      <c r="Q100" s="9" t="n">
        <v>0</v>
      </c>
      <c r="R100" s="10" t="n">
        <v>928</v>
      </c>
      <c r="S100" s="10" t="n">
        <v>0</v>
      </c>
      <c r="T100" s="10" t="n">
        <v>0</v>
      </c>
      <c r="U100" s="10" t="n">
        <v>928</v>
      </c>
      <c r="V100" s="10" t="n">
        <v>0</v>
      </c>
    </row>
    <row r="101">
      <c r="A101" s="7" t="n">
        <v>99</v>
      </c>
      <c r="B101" s="8" t="inlineStr">
        <is>
          <t>|Veenavanka</t>
        </is>
      </c>
      <c r="C101" s="9" t="n">
        <v>215</v>
      </c>
      <c r="D101" s="9" t="n">
        <v>449</v>
      </c>
      <c r="E101" s="9" t="n">
        <v>2</v>
      </c>
      <c r="F101" s="9" t="n">
        <v>10</v>
      </c>
      <c r="G101" s="9" t="n">
        <v>2</v>
      </c>
      <c r="H101" s="9" t="n">
        <v>5</v>
      </c>
      <c r="I101" s="9" t="n">
        <v>1</v>
      </c>
      <c r="J101" s="9" t="n">
        <v>2</v>
      </c>
      <c r="K101" s="9" t="n">
        <v>5</v>
      </c>
      <c r="L101" s="9" t="n">
        <v>1</v>
      </c>
      <c r="M101" s="9" t="n">
        <v>702</v>
      </c>
      <c r="N101" s="9" t="n">
        <v>0</v>
      </c>
      <c r="O101" s="9" t="n">
        <v>29</v>
      </c>
      <c r="P101" s="9" t="n">
        <v>731</v>
      </c>
      <c r="Q101" s="9" t="n">
        <v>0</v>
      </c>
      <c r="R101" s="10" t="n">
        <v>2154</v>
      </c>
      <c r="S101" s="10" t="n">
        <v>0</v>
      </c>
      <c r="T101" s="10" t="n">
        <v>0</v>
      </c>
      <c r="U101" s="10" t="n">
        <v>2154</v>
      </c>
      <c r="V101" s="10" t="n">
        <v>0</v>
      </c>
    </row>
    <row r="102">
      <c r="A102" s="7" t="n">
        <v>100</v>
      </c>
      <c r="B102" s="8" t="inlineStr">
        <is>
          <t>|Veenavanka</t>
        </is>
      </c>
      <c r="C102" s="9" t="n">
        <v>312</v>
      </c>
      <c r="D102" s="9" t="n">
        <v>296</v>
      </c>
      <c r="E102" s="9" t="n">
        <v>8</v>
      </c>
      <c r="F102" s="9" t="n">
        <v>6</v>
      </c>
      <c r="G102" s="9" t="n">
        <v>0</v>
      </c>
      <c r="H102" s="9" t="n">
        <v>0</v>
      </c>
      <c r="I102" s="9" t="n">
        <v>2</v>
      </c>
      <c r="J102" s="9" t="n">
        <v>0</v>
      </c>
      <c r="K102" s="9" t="n">
        <v>0</v>
      </c>
      <c r="L102" s="9" t="n">
        <v>12</v>
      </c>
      <c r="M102" s="9" t="n">
        <v>637</v>
      </c>
      <c r="N102" s="9" t="n">
        <v>0</v>
      </c>
      <c r="O102" s="9" t="n">
        <v>19</v>
      </c>
      <c r="P102" s="9" t="n">
        <v>656</v>
      </c>
      <c r="Q102" s="9" t="n">
        <v>0</v>
      </c>
      <c r="R102" s="10" t="n">
        <v>1948</v>
      </c>
      <c r="S102" s="10" t="n">
        <v>0</v>
      </c>
      <c r="T102" s="10" t="n">
        <v>0</v>
      </c>
      <c r="U102" s="10" t="n">
        <v>1948</v>
      </c>
      <c r="V102" s="10" t="n">
        <v>0</v>
      </c>
    </row>
    <row r="103">
      <c r="A103" s="7" t="n">
        <v>101</v>
      </c>
      <c r="B103" s="8" t="inlineStr">
        <is>
          <t>|Veenavanka</t>
        </is>
      </c>
      <c r="C103" s="9" t="n">
        <v>148</v>
      </c>
      <c r="D103" s="9" t="n">
        <v>225</v>
      </c>
      <c r="E103" s="9" t="n">
        <v>5</v>
      </c>
      <c r="F103" s="9" t="n">
        <v>2</v>
      </c>
      <c r="G103" s="9" t="n">
        <v>1</v>
      </c>
      <c r="H103" s="9" t="n">
        <v>1</v>
      </c>
      <c r="I103" s="9" t="n">
        <v>3</v>
      </c>
      <c r="J103" s="9" t="n">
        <v>2</v>
      </c>
      <c r="K103" s="9" t="n">
        <v>0</v>
      </c>
      <c r="L103" s="9" t="n">
        <v>3</v>
      </c>
      <c r="M103" s="9" t="n">
        <v>390</v>
      </c>
      <c r="N103" s="9" t="n">
        <v>0</v>
      </c>
      <c r="O103" s="9" t="n">
        <v>4</v>
      </c>
      <c r="P103" s="9" t="n">
        <v>394</v>
      </c>
      <c r="Q103" s="9" t="n">
        <v>0</v>
      </c>
      <c r="R103" s="10" t="n">
        <v>1178</v>
      </c>
      <c r="S103" s="10" t="n">
        <v>0</v>
      </c>
      <c r="T103" s="10" t="n">
        <v>0</v>
      </c>
      <c r="U103" s="10" t="n">
        <v>1178</v>
      </c>
      <c r="V103" s="10" t="n">
        <v>0</v>
      </c>
    </row>
    <row r="104">
      <c r="A104" s="7" t="n">
        <v>102</v>
      </c>
      <c r="B104" s="8" t="inlineStr">
        <is>
          <t>|Lasmakkapalli
H/o Veenavanka</t>
        </is>
      </c>
      <c r="C104" s="9" t="n">
        <v>239</v>
      </c>
      <c r="D104" s="9" t="n">
        <v>209</v>
      </c>
      <c r="E104" s="9" t="n">
        <v>2</v>
      </c>
      <c r="F104" s="9" t="n">
        <v>4</v>
      </c>
      <c r="G104" s="9" t="n">
        <v>2</v>
      </c>
      <c r="H104" s="9" t="n">
        <v>0</v>
      </c>
      <c r="I104" s="9" t="n">
        <v>0</v>
      </c>
      <c r="J104" s="9" t="n">
        <v>0</v>
      </c>
      <c r="K104" s="9" t="n">
        <v>1</v>
      </c>
      <c r="L104" s="9" t="n">
        <v>10</v>
      </c>
      <c r="M104" s="9" t="n">
        <v>467</v>
      </c>
      <c r="N104" s="9" t="n">
        <v>0</v>
      </c>
      <c r="O104" s="9" t="n">
        <v>0</v>
      </c>
      <c r="P104" s="9" t="n">
        <v>467</v>
      </c>
      <c r="Q104" s="9" t="n">
        <v>0</v>
      </c>
      <c r="R104" s="10" t="n">
        <v>1401</v>
      </c>
      <c r="S104" s="10" t="n">
        <v>0</v>
      </c>
      <c r="T104" s="10" t="n">
        <v>0</v>
      </c>
      <c r="U104" s="10" t="n">
        <v>1401</v>
      </c>
      <c r="V104" s="10" t="n">
        <v>0</v>
      </c>
    </row>
    <row r="105">
      <c r="A105" s="7" t="n">
        <v>103</v>
      </c>
      <c r="B105" s="8" t="inlineStr">
        <is>
          <t>|Ramakrishnapur
Papen</t>
        </is>
      </c>
      <c r="C105" s="9" t="n">
        <v>171</v>
      </c>
      <c r="D105" s="9" t="n">
        <v>141</v>
      </c>
      <c r="E105" s="9" t="n">
        <v>0</v>
      </c>
      <c r="F105" s="9" t="n">
        <v>2</v>
      </c>
      <c r="G105" s="9" t="n">
        <v>0</v>
      </c>
      <c r="H105" s="9" t="n">
        <v>3</v>
      </c>
      <c r="I105" s="9" t="n">
        <v>1</v>
      </c>
      <c r="J105" s="9" t="n">
        <v>0</v>
      </c>
      <c r="K105" s="9" t="n">
        <v>1</v>
      </c>
      <c r="L105" s="9" t="n">
        <v>2</v>
      </c>
      <c r="M105" s="9" t="n">
        <v>321</v>
      </c>
      <c r="N105" s="9" t="n">
        <v>0</v>
      </c>
      <c r="O105" s="9" t="n">
        <v>0</v>
      </c>
      <c r="P105" s="9" t="n">
        <v>321</v>
      </c>
      <c r="Q105" s="9" t="n">
        <v>0</v>
      </c>
      <c r="R105" s="10" t="n">
        <v>963</v>
      </c>
      <c r="S105" s="10" t="n">
        <v>0</v>
      </c>
      <c r="T105" s="10" t="n">
        <v>0</v>
      </c>
      <c r="U105" s="10" t="n">
        <v>963</v>
      </c>
      <c r="V105" s="10" t="n">
        <v>0</v>
      </c>
    </row>
    <row r="106">
      <c r="A106" s="7" t="n">
        <v>104</v>
      </c>
      <c r="B106" s="8" t="inlineStr">
        <is>
          <t>|Narsinagapoor</t>
        </is>
      </c>
      <c r="C106" s="9" t="n">
        <v>335</v>
      </c>
      <c r="D106" s="9" t="n">
        <v>494</v>
      </c>
      <c r="E106" s="9" t="n">
        <v>4</v>
      </c>
      <c r="F106" s="9" t="n">
        <v>7</v>
      </c>
      <c r="G106" s="9" t="n">
        <v>2</v>
      </c>
      <c r="H106" s="9" t="n">
        <v>3</v>
      </c>
      <c r="I106" s="9" t="n">
        <v>4</v>
      </c>
      <c r="J106" s="9" t="n">
        <v>1</v>
      </c>
      <c r="K106" s="9" t="n">
        <v>4</v>
      </c>
      <c r="L106" s="9" t="n">
        <v>27</v>
      </c>
      <c r="M106" s="9" t="n">
        <v>881</v>
      </c>
      <c r="N106" s="9" t="n">
        <v>0</v>
      </c>
      <c r="O106" s="9" t="n">
        <v>14</v>
      </c>
      <c r="P106" s="9" t="n">
        <v>895</v>
      </c>
      <c r="Q106" s="9" t="n">
        <v>0</v>
      </c>
      <c r="R106" s="10" t="n">
        <v>2671</v>
      </c>
      <c r="S106" s="10" t="n">
        <v>0</v>
      </c>
      <c r="T106" s="10" t="n">
        <v>0</v>
      </c>
      <c r="U106" s="10" t="n">
        <v>2671</v>
      </c>
      <c r="V106" s="10" t="n">
        <v>0</v>
      </c>
    </row>
    <row r="107">
      <c r="A107" s="7" t="n">
        <v>105</v>
      </c>
      <c r="B107" s="8" t="inlineStr">
        <is>
          <t>|Narsinagapoor</t>
        </is>
      </c>
      <c r="C107" s="9" t="n">
        <v>196</v>
      </c>
      <c r="D107" s="9" t="n">
        <v>261</v>
      </c>
      <c r="E107" s="9" t="n">
        <v>5</v>
      </c>
      <c r="F107" s="9" t="n">
        <v>5</v>
      </c>
      <c r="G107" s="9" t="n">
        <v>2</v>
      </c>
      <c r="H107" s="9" t="n">
        <v>1</v>
      </c>
      <c r="I107" s="9" t="n">
        <v>2</v>
      </c>
      <c r="J107" s="9" t="n">
        <v>1</v>
      </c>
      <c r="K107" s="9" t="n">
        <v>4</v>
      </c>
      <c r="L107" s="9" t="n">
        <v>3</v>
      </c>
      <c r="M107" s="9" t="n">
        <v>480</v>
      </c>
      <c r="N107" s="9" t="n">
        <v>0</v>
      </c>
      <c r="O107" s="9" t="n">
        <v>1</v>
      </c>
      <c r="P107" s="9" t="n">
        <v>481</v>
      </c>
      <c r="Q107" s="9" t="n">
        <v>0</v>
      </c>
      <c r="R107" s="10" t="n">
        <v>1442</v>
      </c>
      <c r="S107" s="10" t="n">
        <v>0</v>
      </c>
      <c r="T107" s="10" t="n">
        <v>0</v>
      </c>
      <c r="U107" s="10" t="n">
        <v>1442</v>
      </c>
      <c r="V107" s="10" t="n">
        <v>0</v>
      </c>
    </row>
    <row r="108">
      <c r="A108" s="7" t="n">
        <v>106</v>
      </c>
      <c r="B108" s="8" t="inlineStr">
        <is>
          <t>|Narsingapoor</t>
        </is>
      </c>
      <c r="C108" s="9" t="n">
        <v>207</v>
      </c>
      <c r="D108" s="9" t="n">
        <v>227</v>
      </c>
      <c r="E108" s="9" t="n">
        <v>13</v>
      </c>
      <c r="F108" s="9" t="n">
        <v>3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5</v>
      </c>
      <c r="M108" s="9" t="n">
        <v>456</v>
      </c>
      <c r="N108" s="9" t="n">
        <v>0</v>
      </c>
      <c r="O108" s="9" t="n">
        <v>7</v>
      </c>
      <c r="P108" s="9" t="n">
        <v>473</v>
      </c>
      <c r="Q108" s="9" t="n">
        <v>0</v>
      </c>
      <c r="R108" s="10" t="n">
        <v>1391</v>
      </c>
      <c r="S108" s="10" t="n">
        <v>0</v>
      </c>
      <c r="T108" s="10" t="n">
        <v>0</v>
      </c>
      <c r="U108" s="10" t="n">
        <v>1391</v>
      </c>
      <c r="V108" s="10" t="n">
        <v>0</v>
      </c>
    </row>
    <row r="109">
      <c r="A109" s="7" t="n">
        <v>107</v>
      </c>
      <c r="B109" s="8" t="inlineStr">
        <is>
          <t>|Reddipalli</t>
        </is>
      </c>
      <c r="C109" s="9" t="n">
        <v>271</v>
      </c>
      <c r="D109" s="9" t="n">
        <v>494</v>
      </c>
      <c r="E109" s="9" t="n">
        <v>6</v>
      </c>
      <c r="F109" s="9" t="n">
        <v>6</v>
      </c>
      <c r="G109" s="9" t="n">
        <v>3</v>
      </c>
      <c r="H109" s="9" t="n">
        <v>1</v>
      </c>
      <c r="I109" s="9" t="n">
        <v>6</v>
      </c>
      <c r="J109" s="9" t="n">
        <v>2</v>
      </c>
      <c r="K109" s="9" t="n">
        <v>1</v>
      </c>
      <c r="L109" s="9" t="n">
        <v>10</v>
      </c>
      <c r="M109" s="9" t="n">
        <v>800</v>
      </c>
      <c r="N109" s="9" t="n">
        <v>0</v>
      </c>
      <c r="O109" s="9" t="n">
        <v>8</v>
      </c>
      <c r="P109" s="9" t="n">
        <v>808</v>
      </c>
      <c r="Q109" s="9" t="n">
        <v>0</v>
      </c>
      <c r="R109" s="10" t="n">
        <v>2416</v>
      </c>
      <c r="S109" s="10" t="n">
        <v>0</v>
      </c>
      <c r="T109" s="10" t="n">
        <v>0</v>
      </c>
      <c r="U109" s="10" t="n">
        <v>2416</v>
      </c>
      <c r="V109" s="10" t="n">
        <v>0</v>
      </c>
    </row>
    <row r="110">
      <c r="A110" s="7" t="n">
        <v>108</v>
      </c>
      <c r="B110" s="8" t="inlineStr">
        <is>
          <t>|Reddypalli</t>
        </is>
      </c>
      <c r="C110" s="9" t="n">
        <v>291</v>
      </c>
      <c r="D110" s="9" t="n">
        <v>341</v>
      </c>
      <c r="E110" s="9" t="n">
        <v>7</v>
      </c>
      <c r="F110" s="9" t="n">
        <v>4</v>
      </c>
      <c r="G110" s="9" t="n">
        <v>1</v>
      </c>
      <c r="H110" s="9" t="n">
        <v>1</v>
      </c>
      <c r="I110" s="9" t="n">
        <v>0</v>
      </c>
      <c r="J110" s="9" t="n">
        <v>4</v>
      </c>
      <c r="K110" s="9" t="n">
        <v>4</v>
      </c>
      <c r="L110" s="9" t="n">
        <v>10</v>
      </c>
      <c r="M110" s="9" t="n">
        <v>657</v>
      </c>
      <c r="N110" s="9" t="n">
        <v>0</v>
      </c>
      <c r="O110" s="9" t="n">
        <v>26</v>
      </c>
      <c r="P110" s="9" t="n">
        <v>683</v>
      </c>
      <c r="Q110" s="9" t="n">
        <v>0</v>
      </c>
      <c r="R110" s="10" t="n">
        <v>2029</v>
      </c>
      <c r="S110" s="10" t="n">
        <v>0</v>
      </c>
      <c r="T110" s="10" t="n">
        <v>0</v>
      </c>
      <c r="U110" s="10" t="n">
        <v>2029</v>
      </c>
      <c r="V110" s="10" t="n">
        <v>0</v>
      </c>
    </row>
    <row r="111">
      <c r="A111" s="7" t="n">
        <v>109</v>
      </c>
      <c r="B111" s="8" t="inlineStr">
        <is>
          <t>|Brahmanapalli</t>
        </is>
      </c>
      <c r="C111" s="9" t="n">
        <v>175</v>
      </c>
      <c r="D111" s="9" t="n">
        <v>256</v>
      </c>
      <c r="E111" s="9" t="n">
        <v>5</v>
      </c>
      <c r="F111" s="9" t="n">
        <v>5</v>
      </c>
      <c r="G111" s="9" t="n">
        <v>1</v>
      </c>
      <c r="H111" s="9" t="n">
        <v>1</v>
      </c>
      <c r="I111" s="9" t="n">
        <v>4</v>
      </c>
      <c r="J111" s="9" t="n">
        <v>1</v>
      </c>
      <c r="K111" s="9" t="n">
        <v>4</v>
      </c>
      <c r="L111" s="9" t="n">
        <v>10</v>
      </c>
      <c r="M111" s="9" t="n">
        <v>462</v>
      </c>
      <c r="N111" s="9" t="n">
        <v>0</v>
      </c>
      <c r="O111" s="9" t="n">
        <v>6</v>
      </c>
      <c r="P111" s="9" t="n">
        <v>468</v>
      </c>
      <c r="Q111" s="9" t="n">
        <v>0</v>
      </c>
      <c r="R111" s="10" t="n">
        <v>1398</v>
      </c>
      <c r="S111" s="10" t="n">
        <v>0</v>
      </c>
      <c r="T111" s="10" t="n">
        <v>0</v>
      </c>
      <c r="U111" s="10" t="n">
        <v>1398</v>
      </c>
      <c r="V111" s="10" t="n">
        <v>0</v>
      </c>
    </row>
    <row r="112">
      <c r="A112" s="7" t="n">
        <v>110</v>
      </c>
      <c r="B112" s="8" t="inlineStr">
        <is>
          <t>|Ghanmukla</t>
        </is>
      </c>
      <c r="C112" s="9" t="n">
        <v>388</v>
      </c>
      <c r="D112" s="9" t="n">
        <v>347</v>
      </c>
      <c r="E112" s="9" t="n">
        <v>5</v>
      </c>
      <c r="F112" s="9" t="n">
        <v>6</v>
      </c>
      <c r="G112" s="9" t="n">
        <v>1</v>
      </c>
      <c r="H112" s="9" t="n">
        <v>2</v>
      </c>
      <c r="I112" s="9" t="n">
        <v>4</v>
      </c>
      <c r="J112" s="9" t="n">
        <v>3</v>
      </c>
      <c r="K112" s="9" t="n">
        <v>3</v>
      </c>
      <c r="L112" s="9" t="n">
        <v>10</v>
      </c>
      <c r="M112" s="9" t="n">
        <v>769</v>
      </c>
      <c r="N112" s="9" t="n">
        <v>0</v>
      </c>
      <c r="O112" s="9" t="n">
        <v>9</v>
      </c>
      <c r="P112" s="9" t="n">
        <v>778</v>
      </c>
      <c r="Q112" s="9" t="n">
        <v>0</v>
      </c>
      <c r="R112" s="10" t="n">
        <v>2325</v>
      </c>
      <c r="S112" s="10" t="n">
        <v>0</v>
      </c>
      <c r="T112" s="10" t="n">
        <v>0</v>
      </c>
      <c r="U112" s="10" t="n">
        <v>2325</v>
      </c>
      <c r="V112" s="10" t="n">
        <v>0</v>
      </c>
    </row>
    <row r="113">
      <c r="A113" s="7" t="n">
        <v>111</v>
      </c>
      <c r="B113" s="8" t="inlineStr">
        <is>
          <t>|Ghanmukla</t>
        </is>
      </c>
      <c r="C113" s="9" t="n">
        <v>492</v>
      </c>
      <c r="D113" s="9" t="n">
        <v>391</v>
      </c>
      <c r="E113" s="9" t="n">
        <v>10</v>
      </c>
      <c r="F113" s="9" t="n">
        <v>4</v>
      </c>
      <c r="G113" s="9" t="n">
        <v>0</v>
      </c>
      <c r="H113" s="9" t="n">
        <v>0</v>
      </c>
      <c r="I113" s="9" t="n">
        <v>3</v>
      </c>
      <c r="J113" s="9" t="n">
        <v>1</v>
      </c>
      <c r="K113" s="9" t="n">
        <v>2</v>
      </c>
      <c r="L113" s="9" t="n">
        <v>15</v>
      </c>
      <c r="M113" s="9" t="n">
        <v>918</v>
      </c>
      <c r="N113" s="9" t="n">
        <v>0</v>
      </c>
      <c r="O113" s="9" t="n">
        <v>16</v>
      </c>
      <c r="P113" s="9" t="n">
        <v>934</v>
      </c>
      <c r="Q113" s="9" t="n">
        <v>0</v>
      </c>
      <c r="R113" s="10" t="n">
        <v>2786</v>
      </c>
      <c r="S113" s="10" t="n">
        <v>0</v>
      </c>
      <c r="T113" s="10" t="n">
        <v>0</v>
      </c>
      <c r="U113" s="10" t="n">
        <v>2786</v>
      </c>
      <c r="V113" s="10" t="n">
        <v>0</v>
      </c>
    </row>
    <row r="114">
      <c r="A114" s="7" t="n">
        <v>112</v>
      </c>
      <c r="B114" s="8" t="inlineStr">
        <is>
          <t>|Mallannapalli.
Hig Ghanmukia</t>
        </is>
      </c>
      <c r="C114" s="9" t="n">
        <v>285</v>
      </c>
      <c r="D114" s="9" t="n">
        <v>115</v>
      </c>
      <c r="E114" s="9" t="n">
        <v>3</v>
      </c>
      <c r="F114" s="9" t="n">
        <v>3</v>
      </c>
      <c r="G114" s="9" t="n">
        <v>0</v>
      </c>
      <c r="H114" s="9" t="n">
        <v>1</v>
      </c>
      <c r="I114" s="9" t="n">
        <v>4</v>
      </c>
      <c r="J114" s="9" t="n">
        <v>1</v>
      </c>
      <c r="K114" s="9" t="n">
        <v>0</v>
      </c>
      <c r="L114" s="9" t="n">
        <v>9</v>
      </c>
      <c r="M114" s="9" t="n">
        <v>421</v>
      </c>
      <c r="N114" s="9" t="n">
        <v>0</v>
      </c>
      <c r="O114" s="9" t="n">
        <v>3</v>
      </c>
      <c r="P114" s="9" t="n">
        <v>424</v>
      </c>
      <c r="Q114" s="9" t="n">
        <v>0</v>
      </c>
      <c r="R114" s="10" t="n">
        <v>1269</v>
      </c>
      <c r="S114" s="10" t="n">
        <v>0</v>
      </c>
      <c r="T114" s="10" t="n">
        <v>0</v>
      </c>
      <c r="U114" s="10" t="n">
        <v>1269</v>
      </c>
      <c r="V114" s="10" t="n">
        <v>0</v>
      </c>
    </row>
    <row r="115">
      <c r="A115" s="7" t="n">
        <v>113</v>
      </c>
      <c r="B115" s="8" t="inlineStr">
        <is>
          <t>|Kistampet</t>
        </is>
      </c>
      <c r="C115" s="9" t="n">
        <v>260</v>
      </c>
      <c r="D115" s="9" t="n">
        <v>247</v>
      </c>
      <c r="E115" s="9" t="n">
        <v>1</v>
      </c>
      <c r="F115" s="9" t="n">
        <v>8</v>
      </c>
      <c r="G115" s="9" t="n">
        <v>0</v>
      </c>
      <c r="H115" s="9" t="n">
        <v>0</v>
      </c>
      <c r="I115" s="9" t="n">
        <v>1</v>
      </c>
      <c r="J115" s="9" t="n">
        <v>0</v>
      </c>
      <c r="K115" s="9" t="n">
        <v>0</v>
      </c>
      <c r="L115" s="9" t="n">
        <v>3</v>
      </c>
      <c r="M115" s="9" t="n">
        <v>520</v>
      </c>
      <c r="N115" s="9" t="n">
        <v>0</v>
      </c>
      <c r="O115" s="9" t="n">
        <v>4</v>
      </c>
      <c r="P115" s="9" t="n">
        <v>524</v>
      </c>
      <c r="Q115" s="9" t="n">
        <v>0</v>
      </c>
      <c r="R115" s="10" t="n">
        <v>1568</v>
      </c>
      <c r="S115" s="10" t="n">
        <v>0</v>
      </c>
      <c r="T115" s="10" t="n">
        <v>0</v>
      </c>
      <c r="U115" s="10" t="n">
        <v>1568</v>
      </c>
      <c r="V115" s="10" t="n">
        <v>0</v>
      </c>
    </row>
    <row r="116">
      <c r="A116" s="7" t="n">
        <v>114</v>
      </c>
      <c r="B116" s="8" t="inlineStr">
        <is>
          <t>|Bonthuaplli</t>
        </is>
      </c>
      <c r="C116" s="9" t="n">
        <v>499</v>
      </c>
      <c r="D116" s="9" t="n">
        <v>354</v>
      </c>
      <c r="E116" s="9" t="n">
        <v>7</v>
      </c>
      <c r="F116" s="9" t="n">
        <v>7</v>
      </c>
      <c r="G116" s="9" t="n">
        <v>1</v>
      </c>
      <c r="H116" s="9" t="n">
        <v>7</v>
      </c>
      <c r="I116" s="9" t="n">
        <v>7</v>
      </c>
      <c r="J116" s="9" t="n">
        <v>1</v>
      </c>
      <c r="K116" s="9" t="n">
        <v>1</v>
      </c>
      <c r="L116" s="9" t="n">
        <v>24</v>
      </c>
      <c r="M116" s="9" t="n">
        <v>908</v>
      </c>
      <c r="N116" s="9" t="n">
        <v>0</v>
      </c>
      <c r="O116" s="9" t="n">
        <v>12</v>
      </c>
      <c r="P116" s="9" t="n">
        <v>920</v>
      </c>
      <c r="Q116" s="9" t="n">
        <v>0</v>
      </c>
      <c r="R116" s="10" t="n">
        <v>2748</v>
      </c>
      <c r="S116" s="10" t="n">
        <v>0</v>
      </c>
      <c r="T116" s="10" t="n">
        <v>0</v>
      </c>
      <c r="U116" s="10" t="n">
        <v>2748</v>
      </c>
      <c r="V116" s="10" t="n">
        <v>0</v>
      </c>
    </row>
    <row r="117">
      <c r="A117" s="7" t="n">
        <v>115</v>
      </c>
      <c r="B117" s="8" t="inlineStr">
        <is>
          <t>|Elabaka</t>
        </is>
      </c>
      <c r="C117" s="9" t="n">
        <v>401</v>
      </c>
      <c r="D117" s="9" t="n">
        <v>328</v>
      </c>
      <c r="E117" s="9" t="n">
        <v>0</v>
      </c>
      <c r="F117" s="9" t="n">
        <v>42</v>
      </c>
      <c r="G117" s="9" t="n">
        <v>0</v>
      </c>
      <c r="H117" s="9" t="n">
        <v>1</v>
      </c>
      <c r="I117" s="9" t="n">
        <v>3</v>
      </c>
      <c r="J117" s="9" t="n">
        <v>0</v>
      </c>
      <c r="K117" s="9" t="n">
        <v>0</v>
      </c>
      <c r="L117" s="9" t="n">
        <v>7</v>
      </c>
      <c r="M117" s="9" t="n">
        <v>782</v>
      </c>
      <c r="N117" s="9" t="n">
        <v>0</v>
      </c>
      <c r="O117" s="9" t="n">
        <v>6</v>
      </c>
      <c r="P117" s="9" t="n">
        <v>788</v>
      </c>
      <c r="Q117" s="9" t="n">
        <v>0</v>
      </c>
      <c r="R117" s="10" t="n">
        <v>2358</v>
      </c>
      <c r="S117" s="10" t="n">
        <v>0</v>
      </c>
      <c r="T117" s="10" t="n">
        <v>0</v>
      </c>
      <c r="U117" s="10" t="n">
        <v>2358</v>
      </c>
      <c r="V117" s="10" t="n">
        <v>0</v>
      </c>
    </row>
    <row r="118">
      <c r="A118" s="7" t="n">
        <v>116</v>
      </c>
      <c r="B118" s="8" t="inlineStr">
        <is>
          <t>|Elabaka</t>
        </is>
      </c>
      <c r="C118" s="9" t="n">
        <v>423</v>
      </c>
      <c r="D118" s="9" t="n">
        <v>382</v>
      </c>
      <c r="E118" s="9" t="n">
        <v>9</v>
      </c>
      <c r="F118" s="9" t="n">
        <v>5</v>
      </c>
      <c r="G118" s="9" t="n">
        <v>4</v>
      </c>
      <c r="H118" s="9" t="n">
        <v>3</v>
      </c>
      <c r="I118" s="9" t="n">
        <v>12</v>
      </c>
      <c r="J118" s="9" t="n">
        <v>3</v>
      </c>
      <c r="K118" s="9" t="n">
        <v>4</v>
      </c>
      <c r="L118" s="9" t="n">
        <v>21</v>
      </c>
      <c r="M118" s="9" t="n">
        <v>866</v>
      </c>
      <c r="N118" s="9" t="n">
        <v>0</v>
      </c>
      <c r="O118" s="9" t="n">
        <v>28</v>
      </c>
      <c r="P118" s="9" t="n">
        <v>894</v>
      </c>
      <c r="Q118" s="9" t="n">
        <v>0</v>
      </c>
      <c r="R118" s="10" t="n">
        <v>2654</v>
      </c>
      <c r="S118" s="10" t="n">
        <v>0</v>
      </c>
      <c r="T118" s="10" t="n">
        <v>0</v>
      </c>
      <c r="U118" s="10" t="n">
        <v>2654</v>
      </c>
      <c r="V118" s="10" t="n">
        <v>0</v>
      </c>
    </row>
    <row r="119">
      <c r="A119" s="7" t="n">
        <v>117</v>
      </c>
      <c r="B119" s="8" t="inlineStr">
        <is>
          <t>|Gangaram</t>
        </is>
      </c>
      <c r="C119" s="9" t="n">
        <v>446</v>
      </c>
      <c r="D119" s="9" t="n">
        <v>186</v>
      </c>
      <c r="E119" s="9" t="n">
        <v>3</v>
      </c>
      <c r="F119" s="9" t="n">
        <v>6</v>
      </c>
      <c r="G119" s="9" t="n">
        <v>0</v>
      </c>
      <c r="H119" s="9" t="n">
        <v>1</v>
      </c>
      <c r="I119" s="9" t="n">
        <v>10</v>
      </c>
      <c r="J119" s="9" t="n">
        <v>0</v>
      </c>
      <c r="K119" s="9" t="n">
        <v>4</v>
      </c>
      <c r="L119" s="9" t="n">
        <v>23</v>
      </c>
      <c r="M119" s="9" t="n">
        <v>676</v>
      </c>
      <c r="N119" s="9" t="n">
        <v>0</v>
      </c>
      <c r="O119" s="9" t="n">
        <v>8</v>
      </c>
      <c r="P119" s="9" t="n">
        <v>684</v>
      </c>
      <c r="Q119" s="9" t="n">
        <v>0</v>
      </c>
      <c r="R119" s="10" t="n">
        <v>2047</v>
      </c>
      <c r="S119" s="10" t="n">
        <v>0</v>
      </c>
      <c r="T119" s="10" t="n">
        <v>0</v>
      </c>
      <c r="U119" s="10" t="n">
        <v>2047</v>
      </c>
      <c r="V119" s="10" t="n">
        <v>0</v>
      </c>
    </row>
    <row r="120">
      <c r="A120" s="7" t="n">
        <v>118</v>
      </c>
      <c r="B120" s="8" t="inlineStr">
        <is>
          <t>|Gnagaram</t>
        </is>
      </c>
      <c r="C120" s="9" t="n">
        <v>314</v>
      </c>
      <c r="D120" s="9" t="n">
        <v>261</v>
      </c>
      <c r="E120" s="9" t="n">
        <v>7</v>
      </c>
      <c r="F120" s="9" t="n">
        <v>5</v>
      </c>
      <c r="G120" s="9" t="n">
        <v>3</v>
      </c>
      <c r="H120" s="9" t="n">
        <v>2</v>
      </c>
      <c r="I120" s="9" t="n">
        <v>0</v>
      </c>
      <c r="J120" s="9" t="n">
        <v>0</v>
      </c>
      <c r="K120" s="9" t="n">
        <v>2</v>
      </c>
      <c r="L120" s="9" t="n">
        <v>7</v>
      </c>
      <c r="M120" s="9" t="n">
        <v>608</v>
      </c>
      <c r="N120" s="9" t="n">
        <v>0</v>
      </c>
      <c r="O120" s="9" t="n">
        <v>4</v>
      </c>
      <c r="P120" s="9" t="n">
        <v>612</v>
      </c>
      <c r="Q120" s="9" t="n">
        <v>0</v>
      </c>
      <c r="R120" s="10" t="n">
        <v>1825</v>
      </c>
      <c r="S120" s="10" t="n">
        <v>0</v>
      </c>
      <c r="T120" s="10" t="n">
        <v>0</v>
      </c>
      <c r="U120" s="10" t="n">
        <v>1825</v>
      </c>
      <c r="V120" s="10" t="n">
        <v>0</v>
      </c>
    </row>
    <row r="121">
      <c r="A121" s="7" t="n">
        <v>119</v>
      </c>
      <c r="B121" s="8" t="inlineStr">
        <is>
          <t>|Kanaparthi</t>
        </is>
      </c>
      <c r="C121" s="9" t="n">
        <v>221</v>
      </c>
      <c r="D121" s="9" t="n">
        <v>160</v>
      </c>
      <c r="E121" s="9" t="n">
        <v>1</v>
      </c>
      <c r="F121" s="9" t="n">
        <v>3</v>
      </c>
      <c r="G121" s="9" t="n">
        <v>2</v>
      </c>
      <c r="H121" s="9" t="n">
        <v>0</v>
      </c>
      <c r="I121" s="9" t="n">
        <v>2</v>
      </c>
      <c r="J121" s="9" t="n">
        <v>0</v>
      </c>
      <c r="K121" s="9" t="n">
        <v>0</v>
      </c>
      <c r="L121" s="9" t="n">
        <v>5</v>
      </c>
      <c r="M121" s="9" t="n">
        <v>394</v>
      </c>
      <c r="N121" s="9" t="n">
        <v>0</v>
      </c>
      <c r="O121" s="9" t="n">
        <v>8</v>
      </c>
      <c r="P121" s="9" t="n">
        <v>402</v>
      </c>
      <c r="Q121" s="9" t="n">
        <v>0</v>
      </c>
      <c r="R121" s="10" t="n">
        <v>1198</v>
      </c>
      <c r="S121" s="10" t="n">
        <v>0</v>
      </c>
      <c r="T121" s="10" t="n">
        <v>0</v>
      </c>
      <c r="U121" s="10" t="n">
        <v>1198</v>
      </c>
      <c r="V121" s="10" t="n">
        <v>0</v>
      </c>
    </row>
    <row r="122">
      <c r="A122" s="7" t="n">
        <v>120</v>
      </c>
      <c r="B122" s="8" t="inlineStr">
        <is>
          <t>|Kanaparthi</t>
        </is>
      </c>
      <c r="C122" s="9" t="n">
        <v>283</v>
      </c>
      <c r="D122" s="9" t="n">
        <v>267</v>
      </c>
      <c r="E122" s="9" t="n">
        <v>3</v>
      </c>
      <c r="F122" s="9" t="n">
        <v>6</v>
      </c>
      <c r="G122" s="9" t="n">
        <v>1</v>
      </c>
      <c r="H122" s="9" t="n">
        <v>1</v>
      </c>
      <c r="I122" s="9" t="n">
        <v>2</v>
      </c>
      <c r="J122" s="9" t="n">
        <v>0</v>
      </c>
      <c r="K122" s="9" t="n">
        <v>1</v>
      </c>
      <c r="L122" s="9" t="n">
        <v>8</v>
      </c>
      <c r="M122" s="9" t="n">
        <v>872</v>
      </c>
      <c r="N122" s="9" t="n">
        <v>0</v>
      </c>
      <c r="O122" s="9" t="n">
        <v>4</v>
      </c>
      <c r="P122" s="9" t="n">
        <v>576</v>
      </c>
      <c r="Q122" s="9" t="n">
        <v>0</v>
      </c>
      <c r="R122" s="10" t="n">
        <v>2024</v>
      </c>
      <c r="S122" s="10" t="n">
        <v>0</v>
      </c>
      <c r="T122" s="10" t="n">
        <v>0</v>
      </c>
      <c r="U122" s="10" t="n">
        <v>2024</v>
      </c>
      <c r="V122" s="10" t="n">
        <v>0</v>
      </c>
    </row>
    <row r="123">
      <c r="A123" s="7" t="n">
        <v>121</v>
      </c>
      <c r="B123" s="8" t="inlineStr">
        <is>
          <t>|Bethigal</t>
        </is>
      </c>
      <c r="C123" s="9" t="n">
        <v>481</v>
      </c>
      <c r="D123" s="9" t="n">
        <v>285</v>
      </c>
      <c r="E123" s="9" t="n">
        <v>6</v>
      </c>
      <c r="F123" s="9" t="n">
        <v>6</v>
      </c>
      <c r="G123" s="9" t="n">
        <v>1</v>
      </c>
      <c r="H123" s="9" t="n">
        <v>0</v>
      </c>
      <c r="I123" s="9" t="n">
        <v>4</v>
      </c>
      <c r="J123" s="9" t="n">
        <v>1</v>
      </c>
      <c r="K123" s="9" t="n">
        <v>2</v>
      </c>
      <c r="L123" s="9" t="n">
        <v>12</v>
      </c>
      <c r="M123" s="9" t="n">
        <v>798</v>
      </c>
      <c r="N123" s="9" t="n">
        <v>0</v>
      </c>
      <c r="O123" s="9" t="n">
        <v>8</v>
      </c>
      <c r="P123" s="9" t="n">
        <v>806</v>
      </c>
      <c r="Q123" s="9" t="n">
        <v>0</v>
      </c>
      <c r="R123" s="10" t="n">
        <v>2410</v>
      </c>
      <c r="S123" s="10" t="n">
        <v>0</v>
      </c>
      <c r="T123" s="10" t="n">
        <v>0</v>
      </c>
      <c r="U123" s="10" t="n">
        <v>2410</v>
      </c>
      <c r="V123" s="10" t="n">
        <v>0</v>
      </c>
    </row>
    <row r="124">
      <c r="A124" s="7" t="n">
        <v>122</v>
      </c>
      <c r="B124" s="8" t="inlineStr">
        <is>
          <t>|Bethigal</t>
        </is>
      </c>
      <c r="C124" s="9" t="n">
        <v>568</v>
      </c>
      <c r="D124" s="9" t="n">
        <v>336</v>
      </c>
      <c r="E124" s="9" t="n">
        <v>2</v>
      </c>
      <c r="F124" s="9" t="n">
        <v>6</v>
      </c>
      <c r="G124" s="9" t="n">
        <v>1</v>
      </c>
      <c r="H124" s="9" t="n">
        <v>1</v>
      </c>
      <c r="I124" s="9" t="n">
        <v>9</v>
      </c>
      <c r="J124" s="9" t="n">
        <v>2</v>
      </c>
      <c r="K124" s="9" t="n">
        <v>2</v>
      </c>
      <c r="L124" s="9" t="n">
        <v>18</v>
      </c>
      <c r="M124" s="9" t="n">
        <v>945</v>
      </c>
      <c r="N124" s="9" t="n">
        <v>0</v>
      </c>
      <c r="O124" s="9" t="n">
        <v>14</v>
      </c>
      <c r="P124" s="9" t="n">
        <v>959</v>
      </c>
      <c r="Q124" s="9" t="n">
        <v>0</v>
      </c>
      <c r="R124" s="10" t="n">
        <v>2863</v>
      </c>
      <c r="S124" s="10" t="n">
        <v>0</v>
      </c>
      <c r="T124" s="10" t="n">
        <v>0</v>
      </c>
      <c r="U124" s="10" t="n">
        <v>2863</v>
      </c>
      <c r="V124" s="10" t="n">
        <v>0</v>
      </c>
    </row>
    <row r="125">
      <c r="A125" s="7" t="n">
        <v>123</v>
      </c>
      <c r="B125" s="8" t="inlineStr">
        <is>
          <t>|Valbhapoor (PB)</t>
        </is>
      </c>
      <c r="C125" s="9" t="n">
        <v>483</v>
      </c>
      <c r="D125" s="9" t="n">
        <v>204</v>
      </c>
      <c r="E125" s="9" t="n">
        <v>7</v>
      </c>
      <c r="F125" s="9" t="n">
        <v>5</v>
      </c>
      <c r="G125" s="9" t="n">
        <v>1</v>
      </c>
      <c r="H125" s="9" t="n">
        <v>1</v>
      </c>
      <c r="I125" s="9" t="n">
        <v>8</v>
      </c>
      <c r="J125" s="9" t="n">
        <v>1</v>
      </c>
      <c r="K125" s="9" t="n">
        <v>4</v>
      </c>
      <c r="L125" s="9" t="n">
        <v>12</v>
      </c>
      <c r="M125" s="9" t="n">
        <v>726</v>
      </c>
      <c r="N125" s="9" t="n">
        <v>0</v>
      </c>
      <c r="O125" s="9" t="n">
        <v>20</v>
      </c>
      <c r="P125" s="9" t="n">
        <v>746</v>
      </c>
      <c r="Q125" s="9" t="n">
        <v>0</v>
      </c>
      <c r="R125" s="10" t="n">
        <v>2218</v>
      </c>
      <c r="S125" s="10" t="n">
        <v>0</v>
      </c>
      <c r="T125" s="10" t="n">
        <v>0</v>
      </c>
      <c r="U125" s="10" t="n">
        <v>2218</v>
      </c>
      <c r="V125" s="10" t="n">
        <v>0</v>
      </c>
    </row>
    <row r="126">
      <c r="A126" s="7" t="n">
        <v>124</v>
      </c>
      <c r="B126" s="8" t="inlineStr">
        <is>
          <t>|Valbhapoor (PB)</t>
        </is>
      </c>
      <c r="C126" s="9" t="n">
        <v>629</v>
      </c>
      <c r="D126" s="9" t="n">
        <v>287</v>
      </c>
      <c r="E126" s="9" t="n">
        <v>3</v>
      </c>
      <c r="F126" s="9" t="n">
        <v>8</v>
      </c>
      <c r="G126" s="9" t="n">
        <v>2</v>
      </c>
      <c r="H126" s="9" t="n">
        <v>0</v>
      </c>
      <c r="I126" s="9" t="n">
        <v>5</v>
      </c>
      <c r="J126" s="9" t="n">
        <v>0</v>
      </c>
      <c r="K126" s="9" t="n">
        <v>1</v>
      </c>
      <c r="L126" s="9" t="n">
        <v>8</v>
      </c>
      <c r="M126" s="9" t="n">
        <v>943</v>
      </c>
      <c r="N126" s="9" t="n">
        <v>0</v>
      </c>
      <c r="O126" s="9" t="n">
        <v>1</v>
      </c>
      <c r="P126" s="9" t="n">
        <v>954</v>
      </c>
      <c r="Q126" s="9" t="n">
        <v>0</v>
      </c>
      <c r="R126" s="10" t="n">
        <v>2841</v>
      </c>
      <c r="S126" s="10" t="n">
        <v>0</v>
      </c>
      <c r="T126" s="10" t="n">
        <v>0</v>
      </c>
      <c r="U126" s="10" t="n">
        <v>2841</v>
      </c>
      <c r="V126" s="10" t="n">
        <v>0</v>
      </c>
    </row>
    <row r="127">
      <c r="A127" s="7" t="n">
        <v>125</v>
      </c>
      <c r="B127" s="8" t="inlineStr">
        <is>
          <t>|Vilasagar</t>
        </is>
      </c>
      <c r="C127" s="9" t="n">
        <v>762</v>
      </c>
      <c r="D127" s="9" t="n">
        <v>196</v>
      </c>
      <c r="E127" s="9" t="n">
        <v>3</v>
      </c>
      <c r="F127" s="9" t="n">
        <v>5</v>
      </c>
      <c r="G127" s="9" t="n">
        <v>3</v>
      </c>
      <c r="H127" s="9" t="n">
        <v>0</v>
      </c>
      <c r="I127" s="9" t="n">
        <v>7</v>
      </c>
      <c r="J127" s="9" t="n">
        <v>4</v>
      </c>
      <c r="K127" s="9" t="n">
        <v>2</v>
      </c>
      <c r="L127" s="9" t="n">
        <v>13</v>
      </c>
      <c r="M127" s="9" t="n">
        <v>995</v>
      </c>
      <c r="N127" s="9" t="n">
        <v>0</v>
      </c>
      <c r="O127" s="9" t="n">
        <v>0</v>
      </c>
      <c r="P127" s="9" t="n">
        <v>1006</v>
      </c>
      <c r="Q127" s="9" t="n">
        <v>0</v>
      </c>
      <c r="R127" s="10" t="n">
        <v>2996</v>
      </c>
      <c r="S127" s="10" t="n">
        <v>0</v>
      </c>
      <c r="T127" s="10" t="n">
        <v>0</v>
      </c>
      <c r="U127" s="10" t="n">
        <v>2996</v>
      </c>
      <c r="V127" s="10" t="n">
        <v>0</v>
      </c>
    </row>
    <row r="128">
      <c r="A128" s="7" t="n">
        <v>126</v>
      </c>
      <c r="B128" s="8" t="inlineStr">
        <is>
          <t>|Thanugula</t>
        </is>
      </c>
      <c r="C128" s="9" t="n">
        <v>358</v>
      </c>
      <c r="D128" s="9" t="n">
        <v>258</v>
      </c>
      <c r="E128" s="9" t="n">
        <v>4</v>
      </c>
      <c r="F128" s="9" t="n">
        <v>8</v>
      </c>
      <c r="G128" s="9" t="n">
        <v>1</v>
      </c>
      <c r="H128" s="9" t="n">
        <v>0</v>
      </c>
      <c r="I128" s="9" t="n">
        <v>4</v>
      </c>
      <c r="J128" s="9" t="n">
        <v>2</v>
      </c>
      <c r="K128" s="9" t="n">
        <v>0</v>
      </c>
      <c r="L128" s="9" t="n">
        <v>21</v>
      </c>
      <c r="M128" s="9" t="n">
        <v>657</v>
      </c>
      <c r="N128" s="9" t="n">
        <v>0</v>
      </c>
      <c r="O128" s="9" t="n">
        <v>0</v>
      </c>
      <c r="P128" s="9" t="n">
        <v>668</v>
      </c>
      <c r="Q128" s="9" t="n">
        <v>0</v>
      </c>
      <c r="R128" s="10" t="n">
        <v>1981</v>
      </c>
      <c r="S128" s="10" t="n">
        <v>0</v>
      </c>
      <c r="T128" s="10" t="n">
        <v>0</v>
      </c>
      <c r="U128" s="10" t="n">
        <v>1981</v>
      </c>
      <c r="V128" s="10" t="n">
        <v>0</v>
      </c>
    </row>
    <row r="129">
      <c r="A129" s="7" t="n">
        <v>127</v>
      </c>
      <c r="B129" s="8" t="inlineStr">
        <is>
          <t>|Thanugula</t>
        </is>
      </c>
      <c r="C129" s="9" t="n">
        <v>584</v>
      </c>
      <c r="D129" s="9" t="n">
        <v>242</v>
      </c>
      <c r="E129" s="9" t="n">
        <v>8</v>
      </c>
      <c r="F129" s="9" t="n">
        <v>6</v>
      </c>
      <c r="G129" s="9" t="n">
        <v>6</v>
      </c>
      <c r="H129" s="9" t="n">
        <v>1</v>
      </c>
      <c r="I129" s="9" t="n">
        <v>5</v>
      </c>
      <c r="J129" s="9" t="n">
        <v>1</v>
      </c>
      <c r="K129" s="9" t="n">
        <v>3</v>
      </c>
      <c r="L129" s="9" t="n">
        <v>12</v>
      </c>
      <c r="M129" s="9" t="n">
        <v>868</v>
      </c>
      <c r="N129" s="9" t="n">
        <v>0</v>
      </c>
      <c r="O129" s="9" t="n">
        <v>28</v>
      </c>
      <c r="P129" s="9" t="n">
        <v>896</v>
      </c>
      <c r="Q129" s="9" t="n">
        <v>0</v>
      </c>
      <c r="R129" s="10" t="n">
        <v>2660</v>
      </c>
      <c r="S129" s="10" t="n">
        <v>0</v>
      </c>
      <c r="T129" s="10" t="n">
        <v>0</v>
      </c>
      <c r="U129" s="10" t="n">
        <v>2660</v>
      </c>
      <c r="V129" s="10" t="n">
        <v>0</v>
      </c>
    </row>
    <row r="130">
      <c r="A130" s="7" t="n">
        <v>128</v>
      </c>
      <c r="B130" s="8" t="inlineStr">
        <is>
          <t>|Gandrapally</t>
        </is>
      </c>
      <c r="C130" s="9" t="n">
        <v>585</v>
      </c>
      <c r="D130" s="9" t="n">
        <v>333</v>
      </c>
      <c r="E130" s="9" t="n">
        <v>4</v>
      </c>
      <c r="F130" s="9" t="n">
        <v>6</v>
      </c>
      <c r="G130" s="9" t="n">
        <v>1</v>
      </c>
      <c r="H130" s="9" t="n">
        <v>2</v>
      </c>
      <c r="I130" s="9" t="n">
        <v>3</v>
      </c>
      <c r="J130" s="9" t="n">
        <v>1</v>
      </c>
      <c r="K130" s="9" t="n">
        <v>1</v>
      </c>
      <c r="L130" s="9" t="n">
        <v>9</v>
      </c>
      <c r="M130" s="9" t="n">
        <v>945</v>
      </c>
      <c r="N130" s="9" t="n">
        <v>0</v>
      </c>
      <c r="O130" s="9" t="n">
        <v>9</v>
      </c>
      <c r="P130" s="9" t="n">
        <v>954</v>
      </c>
      <c r="Q130" s="9" t="n">
        <v>0</v>
      </c>
      <c r="R130" s="10" t="n">
        <v>2853</v>
      </c>
      <c r="S130" s="10" t="n">
        <v>0</v>
      </c>
      <c r="T130" s="10" t="n">
        <v>0</v>
      </c>
      <c r="U130" s="10" t="n">
        <v>2853</v>
      </c>
      <c r="V130" s="10" t="n">
        <v>0</v>
      </c>
    </row>
    <row r="131">
      <c r="A131" s="7" t="n">
        <v>129</v>
      </c>
      <c r="B131" s="8" t="inlineStr">
        <is>
          <t>|Papakkapally h/o-
IVavilala</t>
        </is>
      </c>
      <c r="C131" s="9" t="n">
        <v>434</v>
      </c>
      <c r="D131" s="9" t="n">
        <v>231</v>
      </c>
      <c r="E131" s="9" t="n">
        <v>7</v>
      </c>
      <c r="F131" s="9" t="n">
        <v>1</v>
      </c>
      <c r="G131" s="9" t="n">
        <v>1</v>
      </c>
      <c r="H131" s="9" t="n">
        <v>1</v>
      </c>
      <c r="I131" s="9" t="n">
        <v>1</v>
      </c>
      <c r="J131" s="9" t="n">
        <v>1</v>
      </c>
      <c r="K131" s="9" t="n">
        <v>2</v>
      </c>
      <c r="L131" s="9" t="n">
        <v>23</v>
      </c>
      <c r="M131" s="9" t="n">
        <v>712</v>
      </c>
      <c r="N131" s="9" t="n">
        <v>0</v>
      </c>
      <c r="O131" s="9" t="n">
        <v>0</v>
      </c>
      <c r="P131" s="9" t="n">
        <v>723</v>
      </c>
      <c r="Q131" s="9" t="n">
        <v>0</v>
      </c>
      <c r="R131" s="10" t="n">
        <v>2137</v>
      </c>
      <c r="S131" s="10" t="n">
        <v>0</v>
      </c>
      <c r="T131" s="10" t="n">
        <v>0</v>
      </c>
      <c r="U131" s="10" t="n">
        <v>2137</v>
      </c>
      <c r="V131" s="10" t="n">
        <v>0</v>
      </c>
    </row>
    <row r="132">
      <c r="A132" s="7" t="n">
        <v>130</v>
      </c>
      <c r="B132" s="8" t="inlineStr">
        <is>
          <t>|Vavilala</t>
        </is>
      </c>
      <c r="C132" s="9" t="n">
        <v>286</v>
      </c>
      <c r="D132" s="9" t="n">
        <v>259</v>
      </c>
      <c r="E132" s="9" t="n">
        <v>3</v>
      </c>
      <c r="F132" s="9" t="n">
        <v>0</v>
      </c>
      <c r="G132" s="9" t="n">
        <v>1</v>
      </c>
      <c r="H132" s="9" t="n">
        <v>4</v>
      </c>
      <c r="I132" s="9" t="n">
        <v>3</v>
      </c>
      <c r="J132" s="9" t="n">
        <v>0</v>
      </c>
      <c r="K132" s="9" t="n">
        <v>0</v>
      </c>
      <c r="L132" s="9" t="n">
        <v>2</v>
      </c>
      <c r="M132" s="9" t="n">
        <v>558</v>
      </c>
      <c r="N132" s="9" t="n">
        <v>0</v>
      </c>
      <c r="O132" s="9" t="n">
        <v>13</v>
      </c>
      <c r="P132" s="9" t="n">
        <v>871</v>
      </c>
      <c r="Q132" s="9" t="n">
        <v>0</v>
      </c>
      <c r="R132" s="10" t="n">
        <v>2000</v>
      </c>
      <c r="S132" s="10" t="n">
        <v>0</v>
      </c>
      <c r="T132" s="10" t="n">
        <v>0</v>
      </c>
      <c r="U132" s="10" t="n">
        <v>2000</v>
      </c>
      <c r="V132" s="10" t="n">
        <v>0</v>
      </c>
    </row>
    <row r="133">
      <c r="A133" s="7" t="n">
        <v>131</v>
      </c>
      <c r="B133" s="8" t="inlineStr">
        <is>
          <t>|Vavilala</t>
        </is>
      </c>
      <c r="C133" s="9" t="n">
        <v>301</v>
      </c>
      <c r="D133" s="9" t="n">
        <v>137</v>
      </c>
      <c r="E133" s="9" t="n">
        <v>1</v>
      </c>
      <c r="F133" s="9" t="n">
        <v>3</v>
      </c>
      <c r="G133" s="9" t="n">
        <v>2</v>
      </c>
      <c r="H133" s="9" t="n">
        <v>1</v>
      </c>
      <c r="I133" s="9" t="n">
        <v>3</v>
      </c>
      <c r="J133" s="9" t="n">
        <v>0</v>
      </c>
      <c r="K133" s="9" t="n">
        <v>0</v>
      </c>
      <c r="L133" s="9" t="n">
        <v>13</v>
      </c>
      <c r="M133" s="9" t="n">
        <v>461</v>
      </c>
      <c r="N133" s="9" t="n">
        <v>0</v>
      </c>
      <c r="O133" s="9" t="n">
        <v>7</v>
      </c>
      <c r="P133" s="9" t="n">
        <v>478</v>
      </c>
      <c r="Q133" s="9" t="n">
        <v>0</v>
      </c>
      <c r="R133" s="10" t="n">
        <v>1407</v>
      </c>
      <c r="S133" s="10" t="n">
        <v>0</v>
      </c>
      <c r="T133" s="10" t="n">
        <v>0</v>
      </c>
      <c r="U133" s="10" t="n">
        <v>1407</v>
      </c>
      <c r="V133" s="10" t="n">
        <v>0</v>
      </c>
    </row>
    <row r="134">
      <c r="A134" s="7" t="n">
        <v>132</v>
      </c>
      <c r="B134" s="8" t="inlineStr">
        <is>
          <t>|Vavilala</t>
        </is>
      </c>
      <c r="C134" s="9" t="n">
        <v>487</v>
      </c>
      <c r="D134" s="9" t="n">
        <v>305</v>
      </c>
      <c r="E134" s="9" t="n">
        <v>4</v>
      </c>
      <c r="F134" s="9" t="n">
        <v>7</v>
      </c>
      <c r="G134" s="9" t="n">
        <v>4</v>
      </c>
      <c r="H134" s="9" t="n">
        <v>2</v>
      </c>
      <c r="I134" s="9" t="n">
        <v>3</v>
      </c>
      <c r="J134" s="9" t="n">
        <v>2</v>
      </c>
      <c r="K134" s="9" t="n">
        <v>5</v>
      </c>
      <c r="L134" s="9" t="n">
        <v>9</v>
      </c>
      <c r="M134" s="9" t="n">
        <v>828</v>
      </c>
      <c r="N134" s="9" t="n">
        <v>0</v>
      </c>
      <c r="O134" s="9" t="n">
        <v>18</v>
      </c>
      <c r="P134" s="9" t="n">
        <v>846</v>
      </c>
      <c r="Q134" s="9" t="n">
        <v>0</v>
      </c>
      <c r="R134" s="10" t="n">
        <v>2520</v>
      </c>
      <c r="S134" s="10" t="n">
        <v>0</v>
      </c>
      <c r="T134" s="10" t="n">
        <v>0</v>
      </c>
      <c r="U134" s="10" t="n">
        <v>2520</v>
      </c>
      <c r="V134" s="10" t="n">
        <v>0</v>
      </c>
    </row>
    <row r="135">
      <c r="A135" s="7" t="n">
        <v>133</v>
      </c>
      <c r="B135" s="8" t="inlineStr">
        <is>
          <t>|Naguram</t>
        </is>
      </c>
      <c r="C135" s="9" t="n">
        <v>414</v>
      </c>
      <c r="D135" s="9" t="n">
        <v>258</v>
      </c>
      <c r="E135" s="9" t="n">
        <v>6</v>
      </c>
      <c r="F135" s="9" t="n">
        <v>2</v>
      </c>
      <c r="G135" s="9" t="n">
        <v>1</v>
      </c>
      <c r="H135" s="9" t="n">
        <v>1</v>
      </c>
      <c r="I135" s="9" t="n">
        <v>8</v>
      </c>
      <c r="J135" s="9" t="n">
        <v>1</v>
      </c>
      <c r="K135" s="9" t="n">
        <v>2</v>
      </c>
      <c r="L135" s="9" t="n">
        <v>14</v>
      </c>
      <c r="M135" s="9" t="n">
        <v>707</v>
      </c>
      <c r="N135" s="9" t="n">
        <v>0</v>
      </c>
      <c r="O135" s="9" t="n">
        <v>4</v>
      </c>
      <c r="P135" s="9" t="n">
        <v>711</v>
      </c>
      <c r="Q135" s="9" t="n">
        <v>0</v>
      </c>
      <c r="R135" s="10" t="n">
        <v>2129</v>
      </c>
      <c r="S135" s="10" t="n">
        <v>0</v>
      </c>
      <c r="T135" s="10" t="n">
        <v>0</v>
      </c>
      <c r="U135" s="10" t="n">
        <v>2129</v>
      </c>
      <c r="V135" s="10" t="n">
        <v>0</v>
      </c>
    </row>
    <row r="136">
      <c r="A136" s="7" t="n">
        <v>134</v>
      </c>
      <c r="B136" s="8" t="inlineStr">
        <is>
          <t>|Nagaram</t>
        </is>
      </c>
      <c r="C136" s="9" t="n">
        <v>220</v>
      </c>
      <c r="D136" s="9" t="n">
        <v>75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4</v>
      </c>
      <c r="J136" s="9" t="n">
        <v>0</v>
      </c>
      <c r="K136" s="9" t="n">
        <v>0</v>
      </c>
      <c r="L136" s="9" t="n">
        <v>13</v>
      </c>
      <c r="M136" s="9" t="n">
        <v>312</v>
      </c>
      <c r="N136" s="9" t="n">
        <v>0</v>
      </c>
      <c r="O136" s="9" t="n">
        <v>4</v>
      </c>
      <c r="P136" s="9" t="n">
        <v>316</v>
      </c>
      <c r="Q136" s="9" t="n">
        <v>0</v>
      </c>
      <c r="R136" s="10" t="n">
        <v>944</v>
      </c>
      <c r="S136" s="10" t="n">
        <v>0</v>
      </c>
      <c r="T136" s="10" t="n">
        <v>0</v>
      </c>
      <c r="U136" s="10" t="n">
        <v>944</v>
      </c>
      <c r="V136" s="10" t="n">
        <v>0</v>
      </c>
    </row>
    <row r="137">
      <c r="A137" s="7" t="n">
        <v>135</v>
      </c>
      <c r="B137" s="8" t="inlineStr">
        <is>
          <t>|Vanthadupula</t>
        </is>
      </c>
      <c r="C137" s="9" t="n">
        <v>537</v>
      </c>
      <c r="D137" s="9" t="n">
        <v>254</v>
      </c>
      <c r="E137" s="9" t="n">
        <v>4</v>
      </c>
      <c r="F137" s="9" t="n">
        <v>6</v>
      </c>
      <c r="G137" s="9" t="n">
        <v>1</v>
      </c>
      <c r="H137" s="9" t="n">
        <v>6</v>
      </c>
      <c r="I137" s="9" t="n">
        <v>4</v>
      </c>
      <c r="J137" s="9" t="n">
        <v>0</v>
      </c>
      <c r="K137" s="9" t="n">
        <v>3</v>
      </c>
      <c r="L137" s="9" t="n">
        <v>8</v>
      </c>
      <c r="M137" s="9" t="n">
        <v>823</v>
      </c>
      <c r="N137" s="9" t="n">
        <v>0</v>
      </c>
      <c r="O137" s="9" t="n">
        <v>9</v>
      </c>
      <c r="P137" s="9" t="n">
        <v>832</v>
      </c>
      <c r="Q137" s="9" t="n">
        <v>0</v>
      </c>
      <c r="R137" s="10" t="n">
        <v>2487</v>
      </c>
      <c r="S137" s="10" t="n">
        <v>0</v>
      </c>
      <c r="T137" s="10" t="n">
        <v>0</v>
      </c>
      <c r="U137" s="10" t="n">
        <v>2487</v>
      </c>
      <c r="V137" s="10" t="n">
        <v>0</v>
      </c>
    </row>
    <row r="138">
      <c r="A138" s="7" t="n">
        <v>136</v>
      </c>
      <c r="B138" s="8" t="inlineStr">
        <is>
          <t>|Rachapally</t>
        </is>
      </c>
      <c r="C138" s="9" t="n">
        <v>522</v>
      </c>
      <c r="D138" s="9" t="n">
        <v>199</v>
      </c>
      <c r="E138" s="9" t="n">
        <v>6</v>
      </c>
      <c r="F138" s="9" t="n">
        <v>15</v>
      </c>
      <c r="G138" s="9" t="n">
        <v>4</v>
      </c>
      <c r="H138" s="9" t="n">
        <v>1</v>
      </c>
      <c r="I138" s="9" t="n">
        <v>12</v>
      </c>
      <c r="J138" s="9" t="n">
        <v>3</v>
      </c>
      <c r="K138" s="9" t="n">
        <v>7</v>
      </c>
      <c r="L138" s="9" t="n">
        <v>21</v>
      </c>
      <c r="M138" s="9" t="n">
        <v>790</v>
      </c>
      <c r="N138" s="9" t="n">
        <v>0</v>
      </c>
      <c r="O138" s="9" t="n">
        <v>32</v>
      </c>
      <c r="P138" s="9" t="n">
        <v>822</v>
      </c>
      <c r="Q138" s="9" t="n">
        <v>0</v>
      </c>
      <c r="R138" s="10" t="n">
        <v>2434</v>
      </c>
      <c r="S138" s="10" t="n">
        <v>0</v>
      </c>
      <c r="T138" s="10" t="n">
        <v>0</v>
      </c>
      <c r="U138" s="10" t="n">
        <v>2434</v>
      </c>
      <c r="V138" s="10" t="n">
        <v>0</v>
      </c>
    </row>
    <row r="139">
      <c r="A139" s="7" t="n">
        <v>137</v>
      </c>
      <c r="B139" s="8" t="inlineStr">
        <is>
          <t>|Rachapally</t>
        </is>
      </c>
      <c r="C139" s="9" t="n">
        <v>413</v>
      </c>
      <c r="D139" s="9" t="n">
        <v>170</v>
      </c>
      <c r="E139" s="9" t="n">
        <v>0</v>
      </c>
      <c r="F139" s="9" t="n">
        <v>0</v>
      </c>
      <c r="G139" s="9" t="n">
        <v>3</v>
      </c>
      <c r="H139" s="9" t="n">
        <v>4</v>
      </c>
      <c r="I139" s="9" t="n">
        <v>9</v>
      </c>
      <c r="J139" s="9" t="n">
        <v>1</v>
      </c>
      <c r="K139" s="9" t="n">
        <v>4</v>
      </c>
      <c r="L139" s="9" t="n">
        <v>14</v>
      </c>
      <c r="M139" s="9" t="n">
        <v>634</v>
      </c>
      <c r="N139" s="9" t="n">
        <v>0</v>
      </c>
      <c r="O139" s="9" t="n">
        <v>15</v>
      </c>
      <c r="P139" s="9" t="n">
        <v>649</v>
      </c>
      <c r="Q139" s="9" t="n">
        <v>0</v>
      </c>
      <c r="R139" s="10" t="n">
        <v>1916</v>
      </c>
      <c r="S139" s="10" t="n">
        <v>0</v>
      </c>
      <c r="T139" s="10" t="n">
        <v>0</v>
      </c>
      <c r="U139" s="10" t="n">
        <v>1916</v>
      </c>
      <c r="V139" s="10" t="n">
        <v>0</v>
      </c>
    </row>
    <row r="140">
      <c r="A140" s="7" t="n">
        <v>138</v>
      </c>
      <c r="B140" s="8" t="inlineStr">
        <is>
          <t>|Rachapally</t>
        </is>
      </c>
      <c r="C140" s="9" t="n">
        <v>437</v>
      </c>
      <c r="D140" s="9" t="n">
        <v>96</v>
      </c>
      <c r="E140" s="9" t="n">
        <v>6</v>
      </c>
      <c r="F140" s="9" t="n">
        <v>2</v>
      </c>
      <c r="G140" s="9" t="n">
        <v>0</v>
      </c>
      <c r="H140" s="9" t="n">
        <v>0</v>
      </c>
      <c r="I140" s="9" t="n">
        <v>6</v>
      </c>
      <c r="J140" s="9" t="n">
        <v>0</v>
      </c>
      <c r="K140" s="9" t="n">
        <v>3</v>
      </c>
      <c r="L140" s="9" t="n">
        <v>10</v>
      </c>
      <c r="M140" s="9" t="n">
        <v>560</v>
      </c>
      <c r="N140" s="9" t="n">
        <v>0</v>
      </c>
      <c r="O140" s="9" t="n">
        <v>5</v>
      </c>
      <c r="P140" s="9" t="n">
        <v>565</v>
      </c>
      <c r="Q140" s="9" t="n">
        <v>0</v>
      </c>
      <c r="R140" s="10" t="n">
        <v>1690</v>
      </c>
      <c r="S140" s="10" t="n">
        <v>0</v>
      </c>
      <c r="T140" s="10" t="n">
        <v>0</v>
      </c>
      <c r="U140" s="10" t="n">
        <v>1690</v>
      </c>
      <c r="V140" s="10" t="n">
        <v>0</v>
      </c>
    </row>
    <row r="141">
      <c r="A141" s="7" t="n">
        <v>139</v>
      </c>
      <c r="B141" s="8" t="inlineStr">
        <is>
          <t>|Bujunoor</t>
        </is>
      </c>
      <c r="C141" s="9" t="n">
        <v>600</v>
      </c>
      <c r="D141" s="9" t="n">
        <v>290</v>
      </c>
      <c r="E141" s="9" t="n">
        <v>6</v>
      </c>
      <c r="F141" s="9" t="n">
        <v>2</v>
      </c>
      <c r="G141" s="9" t="n">
        <v>0</v>
      </c>
      <c r="H141" s="9" t="n">
        <v>1</v>
      </c>
      <c r="I141" s="9" t="n">
        <v>3</v>
      </c>
      <c r="J141" s="9" t="n">
        <v>2</v>
      </c>
      <c r="K141" s="9" t="n">
        <v>4</v>
      </c>
      <c r="L141" s="9" t="n">
        <v>7</v>
      </c>
      <c r="M141" s="9" t="n">
        <v>925</v>
      </c>
      <c r="N141" s="9" t="n">
        <v>0</v>
      </c>
      <c r="O141" s="9" t="n">
        <v>19</v>
      </c>
      <c r="P141" s="9" t="n">
        <v>944</v>
      </c>
      <c r="Q141" s="9" t="n">
        <v>0</v>
      </c>
      <c r="R141" s="10" t="n">
        <v>2803</v>
      </c>
      <c r="S141" s="10" t="n">
        <v>0</v>
      </c>
      <c r="T141" s="10" t="n">
        <v>0</v>
      </c>
      <c r="U141" s="10" t="n">
        <v>2803</v>
      </c>
      <c r="V141" s="10" t="n">
        <v>0</v>
      </c>
    </row>
    <row r="142">
      <c r="A142" s="7" t="n">
        <v>140</v>
      </c>
      <c r="B142" s="8" t="inlineStr">
        <is>
          <t>|Bujunoor</t>
        </is>
      </c>
      <c r="C142" s="9" t="n">
        <v>337</v>
      </c>
      <c r="D142" s="9" t="n">
        <v>210</v>
      </c>
      <c r="E142" s="9" t="n">
        <v>8</v>
      </c>
      <c r="F142" s="9" t="n">
        <v>4</v>
      </c>
      <c r="G142" s="9" t="n">
        <v>2</v>
      </c>
      <c r="H142" s="9" t="n">
        <v>3</v>
      </c>
      <c r="I142" s="9" t="n">
        <v>9</v>
      </c>
      <c r="J142" s="9" t="n">
        <v>2</v>
      </c>
      <c r="K142" s="9" t="n">
        <v>2</v>
      </c>
      <c r="L142" s="9" t="n">
        <v>10</v>
      </c>
      <c r="M142" s="9" t="n">
        <v>587</v>
      </c>
      <c r="N142" s="9" t="n">
        <v>0</v>
      </c>
      <c r="O142" s="9" t="n">
        <v>5</v>
      </c>
      <c r="P142" s="9" t="n">
        <v>592</v>
      </c>
      <c r="Q142" s="9" t="n">
        <v>0</v>
      </c>
      <c r="R142" s="10" t="n">
        <v>1771</v>
      </c>
      <c r="S142" s="10" t="n">
        <v>0</v>
      </c>
      <c r="T142" s="10" t="n">
        <v>0</v>
      </c>
      <c r="U142" s="10" t="n">
        <v>1771</v>
      </c>
      <c r="V142" s="10" t="n">
        <v>0</v>
      </c>
    </row>
    <row r="143">
      <c r="A143" s="7" t="n">
        <v>141</v>
      </c>
      <c r="B143" s="8" t="inlineStr">
        <is>
          <t>|Seethampet</t>
        </is>
      </c>
      <c r="C143" s="9" t="n">
        <v>420</v>
      </c>
      <c r="D143" s="9" t="n">
        <v>262</v>
      </c>
      <c r="E143" s="9" t="n">
        <v>6</v>
      </c>
      <c r="F143" s="9" t="n">
        <v>2</v>
      </c>
      <c r="G143" s="9" t="n">
        <v>4</v>
      </c>
      <c r="H143" s="9" t="n">
        <v>4</v>
      </c>
      <c r="I143" s="9" t="n">
        <v>13</v>
      </c>
      <c r="J143" s="9" t="n">
        <v>7</v>
      </c>
      <c r="K143" s="9" t="n">
        <v>10</v>
      </c>
      <c r="L143" s="9" t="n">
        <v>25</v>
      </c>
      <c r="M143" s="9" t="n">
        <v>753</v>
      </c>
      <c r="N143" s="9" t="n">
        <v>0</v>
      </c>
      <c r="O143" s="9" t="n">
        <v>26</v>
      </c>
      <c r="P143" s="9" t="n">
        <v>779</v>
      </c>
      <c r="Q143" s="9" t="n">
        <v>0</v>
      </c>
      <c r="R143" s="10" t="n">
        <v>2311</v>
      </c>
      <c r="S143" s="10" t="n">
        <v>0</v>
      </c>
      <c r="T143" s="10" t="n">
        <v>0</v>
      </c>
      <c r="U143" s="10" t="n">
        <v>2311</v>
      </c>
      <c r="V143" s="10" t="n">
        <v>0</v>
      </c>
    </row>
    <row r="144">
      <c r="A144" s="7" t="n">
        <v>142</v>
      </c>
      <c r="B144" s="8" t="inlineStr">
        <is>
          <t>[Tekurthy</t>
        </is>
      </c>
      <c r="C144" s="9" t="n">
        <v>538</v>
      </c>
      <c r="D144" s="9" t="n">
        <v>166</v>
      </c>
      <c r="E144" s="9" t="n">
        <v>5</v>
      </c>
      <c r="F144" s="9" t="n">
        <v>9</v>
      </c>
      <c r="G144" s="9" t="n">
        <v>2</v>
      </c>
      <c r="H144" s="9" t="n">
        <v>0</v>
      </c>
      <c r="I144" s="9" t="n">
        <v>10</v>
      </c>
      <c r="J144" s="9" t="n">
        <v>0</v>
      </c>
      <c r="K144" s="9" t="n">
        <v>0</v>
      </c>
      <c r="L144" s="9" t="n">
        <v>10</v>
      </c>
      <c r="M144" s="9" t="n">
        <v>741</v>
      </c>
      <c r="N144" s="9" t="n">
        <v>0</v>
      </c>
      <c r="O144" s="9" t="n">
        <v>6</v>
      </c>
      <c r="P144" s="9" t="n">
        <v>747</v>
      </c>
      <c r="Q144" s="9" t="n">
        <v>0</v>
      </c>
      <c r="R144" s="10" t="n">
        <v>2234</v>
      </c>
      <c r="S144" s="10" t="n">
        <v>0</v>
      </c>
      <c r="T144" s="10" t="n">
        <v>0</v>
      </c>
      <c r="U144" s="10" t="n">
        <v>2234</v>
      </c>
      <c r="V144" s="10" t="n">
        <v>0</v>
      </c>
    </row>
    <row r="145">
      <c r="A145" s="7" t="n">
        <v>143</v>
      </c>
      <c r="B145" s="8" t="inlineStr">
        <is>
          <t>[Tekurthy</t>
        </is>
      </c>
      <c r="C145" s="9" t="n">
        <v>571</v>
      </c>
      <c r="D145" s="9" t="n">
        <v>133</v>
      </c>
      <c r="E145" s="9" t="n">
        <v>1</v>
      </c>
      <c r="F145" s="9" t="n">
        <v>4</v>
      </c>
      <c r="G145" s="9" t="n">
        <v>2</v>
      </c>
      <c r="H145" s="9" t="n">
        <v>2</v>
      </c>
      <c r="I145" s="9" t="n">
        <v>4</v>
      </c>
      <c r="J145" s="9" t="n">
        <v>0</v>
      </c>
      <c r="K145" s="9" t="n">
        <v>2</v>
      </c>
      <c r="L145" s="9" t="n">
        <v>10</v>
      </c>
      <c r="M145" s="9" t="n">
        <v>729</v>
      </c>
      <c r="N145" s="9" t="n">
        <v>0</v>
      </c>
      <c r="O145" s="9" t="n">
        <v>3</v>
      </c>
      <c r="P145" s="9" t="n">
        <v>732</v>
      </c>
      <c r="Q145" s="9" t="n">
        <v>0</v>
      </c>
      <c r="R145" s="10" t="n">
        <v>2193</v>
      </c>
      <c r="S145" s="10" t="n">
        <v>0</v>
      </c>
      <c r="T145" s="10" t="n">
        <v>0</v>
      </c>
      <c r="U145" s="10" t="n">
        <v>2193</v>
      </c>
      <c r="V145" s="10" t="n">
        <v>0</v>
      </c>
    </row>
    <row r="146">
      <c r="A146" s="7" t="n">
        <v>144</v>
      </c>
      <c r="B146" s="8" t="inlineStr">
        <is>
          <t>|Chinnakomati pally</t>
        </is>
      </c>
      <c r="C146" s="9" t="n">
        <v>667</v>
      </c>
      <c r="D146" s="9" t="n">
        <v>132</v>
      </c>
      <c r="E146" s="9" t="n">
        <v>0</v>
      </c>
      <c r="F146" s="9" t="n">
        <v>4</v>
      </c>
      <c r="G146" s="9" t="n">
        <v>0</v>
      </c>
      <c r="H146" s="9" t="n">
        <v>0</v>
      </c>
      <c r="I146" s="9" t="n">
        <v>6</v>
      </c>
      <c r="J146" s="9" t="n">
        <v>0</v>
      </c>
      <c r="K146" s="9" t="n">
        <v>1</v>
      </c>
      <c r="L146" s="9" t="n">
        <v>27</v>
      </c>
      <c r="M146" s="9" t="n">
        <v>837</v>
      </c>
      <c r="N146" s="9" t="n">
        <v>0</v>
      </c>
      <c r="O146" s="9" t="n">
        <v>18</v>
      </c>
      <c r="P146" s="9" t="n">
        <v>855</v>
      </c>
      <c r="Q146" s="9" t="n">
        <v>0</v>
      </c>
      <c r="R146" s="10" t="n">
        <v>2547</v>
      </c>
      <c r="S146" s="10" t="n">
        <v>0</v>
      </c>
      <c r="T146" s="10" t="n">
        <v>0</v>
      </c>
      <c r="U146" s="10" t="n">
        <v>2547</v>
      </c>
      <c r="V146" s="10" t="n">
        <v>0</v>
      </c>
    </row>
    <row r="147">
      <c r="A147" s="7" t="n">
        <v>145</v>
      </c>
      <c r="B147" s="8" t="inlineStr">
        <is>
          <t>|Bijigirisharif</t>
        </is>
      </c>
      <c r="C147" s="9" t="n">
        <v>387</v>
      </c>
      <c r="D147" s="9" t="n">
        <v>123</v>
      </c>
      <c r="E147" s="9" t="n">
        <v>5</v>
      </c>
      <c r="F147" s="9" t="n">
        <v>4</v>
      </c>
      <c r="G147" s="9" t="n">
        <v>4</v>
      </c>
      <c r="H147" s="9" t="n">
        <v>2</v>
      </c>
      <c r="I147" s="9" t="n">
        <v>4</v>
      </c>
      <c r="J147" s="9" t="n">
        <v>0</v>
      </c>
      <c r="K147" s="9" t="n">
        <v>1</v>
      </c>
      <c r="L147" s="9" t="n">
        <v>14</v>
      </c>
      <c r="M147" s="9" t="n">
        <v>544</v>
      </c>
      <c r="N147" s="9" t="n">
        <v>0</v>
      </c>
      <c r="O147" s="9" t="n">
        <v>4</v>
      </c>
      <c r="P147" s="9" t="n">
        <v>548</v>
      </c>
      <c r="Q147" s="9" t="n">
        <v>0</v>
      </c>
      <c r="R147" s="10" t="n">
        <v>1640</v>
      </c>
      <c r="S147" s="10" t="n">
        <v>0</v>
      </c>
      <c r="T147" s="10" t="n">
        <v>0</v>
      </c>
      <c r="U147" s="10" t="n">
        <v>1640</v>
      </c>
      <c r="V147" s="10" t="n">
        <v>0</v>
      </c>
    </row>
    <row r="148">
      <c r="A148" s="7" t="n">
        <v>146</v>
      </c>
      <c r="B148" s="8" t="inlineStr">
        <is>
          <t>Polling Station 146</t>
        </is>
      </c>
      <c r="C148" s="9" t="n">
        <v>8</v>
      </c>
      <c r="D148" s="9" t="n">
        <v>0</v>
      </c>
      <c r="E148" s="9" t="n">
        <v>383</v>
      </c>
      <c r="F148" s="9" t="n">
        <v>234</v>
      </c>
      <c r="G148" s="9" t="n">
        <v>22</v>
      </c>
      <c r="H148" s="9" t="n">
        <v>0</v>
      </c>
      <c r="I148" s="9" t="n">
        <v>2</v>
      </c>
      <c r="J148" s="9" t="n">
        <v>1</v>
      </c>
      <c r="K148" s="9" t="n">
        <v>5</v>
      </c>
      <c r="L148" s="9" t="n">
        <v>3</v>
      </c>
      <c r="M148" s="9" t="n">
        <v>4</v>
      </c>
      <c r="N148" s="9" t="n">
        <v>9</v>
      </c>
      <c r="O148" s="9" t="n">
        <v>665</v>
      </c>
      <c r="P148" s="9" t="n">
        <v>0</v>
      </c>
      <c r="Q148" s="9" t="n">
        <v>10</v>
      </c>
      <c r="R148" s="10" t="n">
        <v>1346</v>
      </c>
      <c r="S148" s="10" t="n">
        <v>0</v>
      </c>
      <c r="T148" s="10" t="n">
        <v>0</v>
      </c>
      <c r="U148" s="10" t="n">
        <v>1346</v>
      </c>
      <c r="V148" s="10" t="n">
        <v>0</v>
      </c>
    </row>
    <row r="149">
      <c r="A149" s="7" t="n">
        <v>147</v>
      </c>
      <c r="B149" s="8" t="inlineStr">
        <is>
          <t>Polling Station 147</t>
        </is>
      </c>
      <c r="C149" s="9" t="n">
        <v>147</v>
      </c>
      <c r="D149" s="9" t="n">
        <v>0</v>
      </c>
      <c r="E149" s="9" t="n">
        <v>614</v>
      </c>
      <c r="F149" s="9" t="n">
        <v>256</v>
      </c>
      <c r="G149" s="9" t="n">
        <v>4</v>
      </c>
      <c r="H149" s="9" t="n">
        <v>0</v>
      </c>
      <c r="I149" s="9" t="n">
        <v>1</v>
      </c>
      <c r="J149" s="9" t="n">
        <v>2</v>
      </c>
      <c r="K149" s="9" t="n">
        <v>4</v>
      </c>
      <c r="L149" s="9" t="n">
        <v>1</v>
      </c>
      <c r="M149" s="9" t="n">
        <v>0</v>
      </c>
      <c r="N149" s="9" t="n">
        <v>18</v>
      </c>
      <c r="O149" s="9" t="n">
        <v>900</v>
      </c>
      <c r="P149" s="9" t="n">
        <v>0</v>
      </c>
      <c r="Q149" s="9" t="n">
        <v>20</v>
      </c>
      <c r="R149" s="10" t="n">
        <v>1967</v>
      </c>
      <c r="S149" s="10" t="n">
        <v>0</v>
      </c>
      <c r="T149" s="10" t="n">
        <v>0</v>
      </c>
      <c r="U149" s="10" t="n">
        <v>1967</v>
      </c>
      <c r="V149" s="10" t="n">
        <v>0</v>
      </c>
    </row>
    <row r="150">
      <c r="A150" s="7" t="n">
        <v>148</v>
      </c>
      <c r="B150" s="8" t="inlineStr">
        <is>
          <t>Polling Station 148</t>
        </is>
      </c>
      <c r="C150" s="9" t="n">
        <v>148</v>
      </c>
      <c r="D150" s="9" t="n">
        <v>0</v>
      </c>
      <c r="E150" s="9" t="n">
        <v>286</v>
      </c>
      <c r="F150" s="9" t="n">
        <v>118</v>
      </c>
      <c r="G150" s="9" t="n">
        <v>1</v>
      </c>
      <c r="H150" s="9" t="n">
        <v>2</v>
      </c>
      <c r="I150" s="9" t="n">
        <v>1</v>
      </c>
      <c r="J150" s="9" t="n">
        <v>1</v>
      </c>
      <c r="K150" s="9" t="n">
        <v>2</v>
      </c>
      <c r="L150" s="9" t="n">
        <v>0</v>
      </c>
      <c r="M150" s="9" t="n">
        <v>0</v>
      </c>
      <c r="N150" s="9" t="n">
        <v>6</v>
      </c>
      <c r="O150" s="9" t="n">
        <v>418</v>
      </c>
      <c r="P150" s="9" t="n">
        <v>0</v>
      </c>
      <c r="Q150" s="9" t="n">
        <v>1</v>
      </c>
      <c r="R150" s="10" t="n">
        <v>984</v>
      </c>
      <c r="S150" s="10" t="n">
        <v>0</v>
      </c>
      <c r="T150" s="10" t="n">
        <v>0</v>
      </c>
      <c r="U150" s="10" t="n">
        <v>984</v>
      </c>
      <c r="V150" s="10" t="n">
        <v>0</v>
      </c>
    </row>
    <row r="151">
      <c r="A151" s="7" t="n">
        <v>149</v>
      </c>
      <c r="B151" s="8" t="inlineStr">
        <is>
          <t>Polling Station 149</t>
        </is>
      </c>
      <c r="C151" s="9" t="n">
        <v>149</v>
      </c>
      <c r="D151" s="9" t="n">
        <v>0</v>
      </c>
      <c r="E151" s="9" t="n">
        <v>601</v>
      </c>
      <c r="F151" s="9" t="n">
        <v>326</v>
      </c>
      <c r="G151" s="9" t="n">
        <v>6</v>
      </c>
      <c r="H151" s="9" t="n">
        <v>1</v>
      </c>
      <c r="I151" s="9" t="n">
        <v>2</v>
      </c>
      <c r="J151" s="9" t="n">
        <v>5</v>
      </c>
      <c r="K151" s="9" t="n">
        <v>12</v>
      </c>
      <c r="L151" s="9" t="n">
        <v>2</v>
      </c>
      <c r="M151" s="9" t="n">
        <v>4</v>
      </c>
      <c r="N151" s="9" t="n">
        <v>19</v>
      </c>
      <c r="O151" s="9" t="n">
        <v>988</v>
      </c>
      <c r="P151" s="9" t="n">
        <v>0</v>
      </c>
      <c r="Q151" s="9" t="n">
        <v>10</v>
      </c>
      <c r="R151" s="10" t="n">
        <v>2125</v>
      </c>
      <c r="S151" s="10" t="n">
        <v>0</v>
      </c>
      <c r="T151" s="10" t="n">
        <v>0</v>
      </c>
      <c r="U151" s="10" t="n">
        <v>2125</v>
      </c>
      <c r="V151" s="10" t="n">
        <v>0</v>
      </c>
    </row>
    <row r="152">
      <c r="A152" s="7" t="n">
        <v>150</v>
      </c>
      <c r="B152" s="8" t="inlineStr">
        <is>
          <t>Polling Station 150</t>
        </is>
      </c>
      <c r="C152" s="9" t="n">
        <v>150</v>
      </c>
      <c r="D152" s="9" t="n">
        <v>0</v>
      </c>
      <c r="E152" s="9" t="n">
        <v>325</v>
      </c>
      <c r="F152" s="9" t="n">
        <v>108</v>
      </c>
      <c r="G152" s="9" t="n">
        <v>1</v>
      </c>
      <c r="H152" s="9" t="n">
        <v>4</v>
      </c>
      <c r="I152" s="9" t="n">
        <v>0</v>
      </c>
      <c r="J152" s="9" t="n">
        <v>9</v>
      </c>
      <c r="K152" s="9" t="n">
        <v>3</v>
      </c>
      <c r="L152" s="9" t="n">
        <v>1</v>
      </c>
      <c r="M152" s="9" t="n">
        <v>0</v>
      </c>
      <c r="N152" s="9" t="n">
        <v>0</v>
      </c>
      <c r="O152" s="9" t="n">
        <v>458</v>
      </c>
      <c r="P152" s="9" t="n">
        <v>0</v>
      </c>
      <c r="Q152" s="9" t="n">
        <v>7</v>
      </c>
      <c r="R152" s="10" t="n">
        <v>1066</v>
      </c>
      <c r="S152" s="10" t="n">
        <v>0</v>
      </c>
      <c r="T152" s="10" t="n">
        <v>0</v>
      </c>
      <c r="U152" s="10" t="n">
        <v>1066</v>
      </c>
      <c r="V152" s="10" t="n">
        <v>0</v>
      </c>
    </row>
    <row r="153">
      <c r="A153" s="7" t="n">
        <v>151</v>
      </c>
      <c r="B153" s="8" t="inlineStr">
        <is>
          <t>Polling Station 151</t>
        </is>
      </c>
      <c r="C153" s="9" t="n">
        <v>151</v>
      </c>
      <c r="D153" s="9" t="n">
        <v>0</v>
      </c>
      <c r="E153" s="9" t="n">
        <v>418</v>
      </c>
      <c r="F153" s="9" t="n">
        <v>204</v>
      </c>
      <c r="G153" s="9" t="n">
        <v>8</v>
      </c>
      <c r="H153" s="9" t="n">
        <v>5</v>
      </c>
      <c r="I153" s="9" t="n">
        <v>2</v>
      </c>
      <c r="J153" s="9" t="n">
        <v>1</v>
      </c>
      <c r="K153" s="9" t="n">
        <v>5</v>
      </c>
      <c r="L153" s="9" t="n">
        <v>1</v>
      </c>
      <c r="M153" s="9" t="n">
        <v>0</v>
      </c>
      <c r="N153" s="9" t="n">
        <v>13</v>
      </c>
      <c r="O153" s="9" t="n">
        <v>657</v>
      </c>
      <c r="P153" s="9" t="n">
        <v>0</v>
      </c>
      <c r="Q153" s="9" t="n">
        <v>4</v>
      </c>
      <c r="R153" s="10" t="n">
        <v>1469</v>
      </c>
      <c r="S153" s="10" t="n">
        <v>0</v>
      </c>
      <c r="T153" s="10" t="n">
        <v>0</v>
      </c>
      <c r="U153" s="10" t="n">
        <v>1469</v>
      </c>
      <c r="V153" s="10" t="n">
        <v>0</v>
      </c>
    </row>
    <row r="154">
      <c r="A154" s="7" t="n">
        <v>152</v>
      </c>
      <c r="B154" s="8" t="inlineStr">
        <is>
          <t>Polling Station 152</t>
        </is>
      </c>
      <c r="C154" s="9" t="n">
        <v>182</v>
      </c>
      <c r="D154" s="9" t="n">
        <v>0</v>
      </c>
      <c r="E154" s="9" t="n">
        <v>534</v>
      </c>
      <c r="F154" s="9" t="n">
        <v>185</v>
      </c>
      <c r="G154" s="9" t="n">
        <v>3</v>
      </c>
      <c r="H154" s="9" t="n">
        <v>5</v>
      </c>
      <c r="I154" s="9" t="n">
        <v>3</v>
      </c>
      <c r="J154" s="9" t="n">
        <v>3</v>
      </c>
      <c r="K154" s="9" t="n">
        <v>2</v>
      </c>
      <c r="L154" s="9" t="n">
        <v>0</v>
      </c>
      <c r="M154" s="9" t="n">
        <v>4</v>
      </c>
      <c r="N154" s="9" t="n">
        <v>15</v>
      </c>
      <c r="O154" s="9" t="n">
        <v>757</v>
      </c>
      <c r="P154" s="9" t="n">
        <v>0</v>
      </c>
      <c r="Q154" s="9" t="n">
        <v>16</v>
      </c>
      <c r="R154" s="10" t="n">
        <v>1709</v>
      </c>
      <c r="S154" s="10" t="n">
        <v>0</v>
      </c>
      <c r="T154" s="10" t="n">
        <v>0</v>
      </c>
      <c r="U154" s="10" t="n">
        <v>1709</v>
      </c>
      <c r="V154" s="10" t="n">
        <v>0</v>
      </c>
    </row>
    <row r="155">
      <c r="A155" s="7" t="n">
        <v>153</v>
      </c>
      <c r="B155" s="8" t="inlineStr">
        <is>
          <t>Polling Station 153</t>
        </is>
      </c>
      <c r="C155" s="9" t="n">
        <v>153</v>
      </c>
      <c r="D155" s="9" t="n">
        <v>0</v>
      </c>
      <c r="E155" s="9" t="n">
        <v>155</v>
      </c>
      <c r="F155" s="9" t="n">
        <v>174</v>
      </c>
      <c r="G155" s="9" t="n">
        <v>8</v>
      </c>
      <c r="H155" s="9" t="n">
        <v>5</v>
      </c>
      <c r="I155" s="9" t="n">
        <v>0</v>
      </c>
      <c r="J155" s="9" t="n">
        <v>2</v>
      </c>
      <c r="K155" s="9" t="n">
        <v>2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10" t="n">
        <v>499</v>
      </c>
      <c r="S155" s="10" t="n">
        <v>0</v>
      </c>
      <c r="T155" s="10" t="n">
        <v>0</v>
      </c>
      <c r="U155" s="10" t="n">
        <v>499</v>
      </c>
      <c r="V155" s="10" t="n">
        <v>0</v>
      </c>
    </row>
    <row r="156">
      <c r="A156" s="7" t="n">
        <v>154</v>
      </c>
      <c r="B156" s="8" t="inlineStr">
        <is>
          <t>Polling Station 154</t>
        </is>
      </c>
      <c r="C156" s="9" t="n">
        <v>154</v>
      </c>
      <c r="D156" s="9" t="n">
        <v>0</v>
      </c>
      <c r="E156" s="9" t="n">
        <v>597</v>
      </c>
      <c r="F156" s="9" t="n">
        <v>215</v>
      </c>
      <c r="G156" s="9" t="n">
        <v>4</v>
      </c>
      <c r="H156" s="9" t="n">
        <v>9</v>
      </c>
      <c r="I156" s="9" t="n">
        <v>0</v>
      </c>
      <c r="J156" s="9" t="n">
        <v>3</v>
      </c>
      <c r="K156" s="9" t="n">
        <v>0</v>
      </c>
      <c r="L156" s="9" t="n">
        <v>2</v>
      </c>
      <c r="M156" s="9" t="n">
        <v>3</v>
      </c>
      <c r="N156" s="9" t="n">
        <v>34</v>
      </c>
      <c r="O156" s="9" t="n">
        <v>876</v>
      </c>
      <c r="P156" s="9" t="n">
        <v>0</v>
      </c>
      <c r="Q156" s="9" t="n">
        <v>27</v>
      </c>
      <c r="R156" s="10" t="n">
        <v>1924</v>
      </c>
      <c r="S156" s="10" t="n">
        <v>0</v>
      </c>
      <c r="T156" s="10" t="n">
        <v>0</v>
      </c>
      <c r="U156" s="10" t="n">
        <v>1924</v>
      </c>
      <c r="V156" s="10" t="n">
        <v>0</v>
      </c>
    </row>
    <row r="157">
      <c r="A157" s="7" t="n">
        <v>155</v>
      </c>
      <c r="B157" s="8" t="inlineStr">
        <is>
          <t>Polling Station 155</t>
        </is>
      </c>
      <c r="C157" s="9" t="n">
        <v>155</v>
      </c>
      <c r="D157" s="9" t="n">
        <v>0</v>
      </c>
      <c r="E157" s="9" t="n">
        <v>89</v>
      </c>
      <c r="F157" s="9" t="n">
        <v>1</v>
      </c>
      <c r="G157" s="9" t="n">
        <v>0</v>
      </c>
      <c r="H157" s="9" t="n">
        <v>4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7</v>
      </c>
      <c r="O157" s="9" t="n">
        <v>188</v>
      </c>
      <c r="P157" s="9" t="n">
        <v>0</v>
      </c>
      <c r="Q157" s="9" t="n">
        <v>3</v>
      </c>
      <c r="R157" s="10" t="n">
        <v>447</v>
      </c>
      <c r="S157" s="10" t="n">
        <v>0</v>
      </c>
      <c r="T157" s="10" t="n">
        <v>0</v>
      </c>
      <c r="U157" s="10" t="n">
        <v>447</v>
      </c>
      <c r="V157" s="10" t="n">
        <v>0</v>
      </c>
    </row>
    <row r="158">
      <c r="A158" s="7" t="n">
        <v>156</v>
      </c>
      <c r="B158" s="8" t="inlineStr">
        <is>
          <t>Polling Station 156</t>
        </is>
      </c>
      <c r="C158" s="9" t="n">
        <v>156</v>
      </c>
      <c r="D158" s="9" t="n">
        <v>0</v>
      </c>
      <c r="E158" s="9" t="n">
        <v>585</v>
      </c>
      <c r="F158" s="9" t="n">
        <v>305</v>
      </c>
      <c r="G158" s="9" t="n">
        <v>7</v>
      </c>
      <c r="H158" s="9" t="n">
        <v>6</v>
      </c>
      <c r="I158" s="9" t="n">
        <v>1</v>
      </c>
      <c r="J158" s="9" t="n">
        <v>2</v>
      </c>
      <c r="K158" s="9" t="n">
        <v>0</v>
      </c>
      <c r="L158" s="9" t="n">
        <v>1</v>
      </c>
      <c r="M158" s="9" t="n">
        <v>2</v>
      </c>
      <c r="N158" s="9" t="n">
        <v>18</v>
      </c>
      <c r="O158" s="9" t="n">
        <v>932</v>
      </c>
      <c r="P158" s="9" t="n">
        <v>0</v>
      </c>
      <c r="Q158" s="9" t="n">
        <v>23</v>
      </c>
      <c r="R158" s="10" t="n">
        <v>2038</v>
      </c>
      <c r="S158" s="10" t="n">
        <v>0</v>
      </c>
      <c r="T158" s="10" t="n">
        <v>0</v>
      </c>
      <c r="U158" s="10" t="n">
        <v>2038</v>
      </c>
      <c r="V158" s="10" t="n">
        <v>0</v>
      </c>
    </row>
    <row r="159">
      <c r="A159" s="7" t="n">
        <v>157</v>
      </c>
      <c r="B159" s="8" t="inlineStr">
        <is>
          <t>Polling Station 157</t>
        </is>
      </c>
      <c r="C159" s="9" t="n">
        <v>187</v>
      </c>
      <c r="D159" s="9" t="n">
        <v>0</v>
      </c>
      <c r="E159" s="9" t="n">
        <v>215</v>
      </c>
      <c r="F159" s="9" t="n">
        <v>165</v>
      </c>
      <c r="G159" s="9" t="n">
        <v>2</v>
      </c>
      <c r="H159" s="9" t="n">
        <v>3</v>
      </c>
      <c r="I159" s="9" t="n">
        <v>4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387</v>
      </c>
      <c r="P159" s="9" t="n">
        <v>0</v>
      </c>
      <c r="Q159" s="9" t="n">
        <v>9</v>
      </c>
      <c r="R159" s="10" t="n">
        <v>972</v>
      </c>
      <c r="S159" s="10" t="n">
        <v>0</v>
      </c>
      <c r="T159" s="10" t="n">
        <v>0</v>
      </c>
      <c r="U159" s="10" t="n">
        <v>972</v>
      </c>
      <c r="V159" s="10" t="n">
        <v>0</v>
      </c>
    </row>
    <row r="160">
      <c r="A160" s="7" t="n">
        <v>158</v>
      </c>
      <c r="B160" s="8" t="inlineStr">
        <is>
          <t>Polling Station 158</t>
        </is>
      </c>
      <c r="C160" s="9" t="n">
        <v>158</v>
      </c>
      <c r="D160" s="9" t="n">
        <v>0</v>
      </c>
      <c r="E160" s="9" t="n">
        <v>547</v>
      </c>
      <c r="F160" s="9" t="n">
        <v>308</v>
      </c>
      <c r="G160" s="9" t="n">
        <v>0</v>
      </c>
      <c r="H160" s="9" t="n">
        <v>5</v>
      </c>
      <c r="I160" s="9" t="n">
        <v>3</v>
      </c>
      <c r="J160" s="9" t="n">
        <v>2</v>
      </c>
      <c r="K160" s="9" t="n">
        <v>6</v>
      </c>
      <c r="L160" s="9" t="n">
        <v>0</v>
      </c>
      <c r="M160" s="9" t="n">
        <v>0</v>
      </c>
      <c r="N160" s="9" t="n">
        <v>5</v>
      </c>
      <c r="O160" s="9" t="n">
        <v>876</v>
      </c>
      <c r="P160" s="9" t="n">
        <v>0</v>
      </c>
      <c r="Q160" s="9" t="n">
        <v>15</v>
      </c>
      <c r="R160" s="10" t="n">
        <v>1925</v>
      </c>
      <c r="S160" s="10" t="n">
        <v>0</v>
      </c>
      <c r="T160" s="10" t="n">
        <v>0</v>
      </c>
      <c r="U160" s="10" t="n">
        <v>1925</v>
      </c>
      <c r="V160" s="10" t="n">
        <v>0</v>
      </c>
    </row>
    <row r="161">
      <c r="A161" s="7" t="n">
        <v>159</v>
      </c>
      <c r="B161" s="8" t="inlineStr">
        <is>
          <t>Polling Station 159</t>
        </is>
      </c>
      <c r="C161" s="9" t="n">
        <v>159</v>
      </c>
      <c r="D161" s="9" t="n">
        <v>0</v>
      </c>
      <c r="E161" s="9" t="n">
        <v>367</v>
      </c>
      <c r="F161" s="9" t="n">
        <v>175</v>
      </c>
      <c r="G161" s="9" t="n">
        <v>1</v>
      </c>
      <c r="H161" s="9" t="n">
        <v>6</v>
      </c>
      <c r="I161" s="9" t="n">
        <v>1</v>
      </c>
      <c r="J161" s="9" t="n">
        <v>0</v>
      </c>
      <c r="K161" s="9" t="n">
        <v>6</v>
      </c>
      <c r="L161" s="9" t="n">
        <v>1</v>
      </c>
      <c r="M161" s="9" t="n">
        <v>0</v>
      </c>
      <c r="N161" s="9" t="n">
        <v>3</v>
      </c>
      <c r="O161" s="9" t="n">
        <v>560</v>
      </c>
      <c r="P161" s="9" t="n">
        <v>0</v>
      </c>
      <c r="Q161" s="9" t="n">
        <v>6</v>
      </c>
      <c r="R161" s="10" t="n">
        <v>1285</v>
      </c>
      <c r="S161" s="10" t="n">
        <v>0</v>
      </c>
      <c r="T161" s="10" t="n">
        <v>0</v>
      </c>
      <c r="U161" s="10" t="n">
        <v>1285</v>
      </c>
      <c r="V161" s="10" t="n">
        <v>0</v>
      </c>
    </row>
    <row r="162">
      <c r="A162" s="7" t="n">
        <v>160</v>
      </c>
      <c r="B162" s="8" t="inlineStr">
        <is>
          <t>Polling Station 160</t>
        </is>
      </c>
      <c r="C162" s="9" t="n">
        <v>160</v>
      </c>
      <c r="D162" s="9" t="n">
        <v>0</v>
      </c>
      <c r="E162" s="9" t="n">
        <v>479</v>
      </c>
      <c r="F162" s="9" t="n">
        <v>195</v>
      </c>
      <c r="G162" s="9" t="n">
        <v>3</v>
      </c>
      <c r="H162" s="9" t="n">
        <v>1</v>
      </c>
      <c r="I162" s="9" t="n">
        <v>0</v>
      </c>
      <c r="J162" s="9" t="n">
        <v>1</v>
      </c>
      <c r="K162" s="9" t="n">
        <v>2</v>
      </c>
      <c r="L162" s="9" t="n">
        <v>1</v>
      </c>
      <c r="M162" s="9" t="n">
        <v>0</v>
      </c>
      <c r="N162" s="9" t="n">
        <v>3</v>
      </c>
      <c r="O162" s="9" t="n">
        <v>690</v>
      </c>
      <c r="P162" s="9" t="n">
        <v>0</v>
      </c>
      <c r="Q162" s="9" t="n">
        <v>9</v>
      </c>
      <c r="R162" s="10" t="n">
        <v>1544</v>
      </c>
      <c r="S162" s="10" t="n">
        <v>0</v>
      </c>
      <c r="T162" s="10" t="n">
        <v>0</v>
      </c>
      <c r="U162" s="10" t="n">
        <v>1544</v>
      </c>
      <c r="V162" s="10" t="n">
        <v>0</v>
      </c>
    </row>
    <row r="163">
      <c r="A163" s="7" t="n">
        <v>161</v>
      </c>
      <c r="B163" s="8" t="inlineStr">
        <is>
          <t>Polling Station 161</t>
        </is>
      </c>
      <c r="C163" s="9" t="n">
        <v>161</v>
      </c>
      <c r="D163" s="9" t="n">
        <v>0</v>
      </c>
      <c r="E163" s="9" t="n">
        <v>162</v>
      </c>
      <c r="F163" s="9" t="n">
        <v>100</v>
      </c>
      <c r="G163" s="9" t="n">
        <v>1</v>
      </c>
      <c r="H163" s="9" t="n">
        <v>4</v>
      </c>
      <c r="I163" s="9" t="n">
        <v>1</v>
      </c>
      <c r="J163" s="9" t="n">
        <v>2</v>
      </c>
      <c r="K163" s="9" t="n">
        <v>0</v>
      </c>
      <c r="L163" s="9" t="n">
        <v>2</v>
      </c>
      <c r="M163" s="9" t="n">
        <v>0</v>
      </c>
      <c r="N163" s="9" t="n">
        <v>0</v>
      </c>
      <c r="O163" s="9" t="n">
        <v>273</v>
      </c>
      <c r="P163" s="9" t="n">
        <v>0</v>
      </c>
      <c r="Q163" s="9" t="n">
        <v>7</v>
      </c>
      <c r="R163" s="10" t="n">
        <v>713</v>
      </c>
      <c r="S163" s="10" t="n">
        <v>0</v>
      </c>
      <c r="T163" s="10" t="n">
        <v>0</v>
      </c>
      <c r="U163" s="10" t="n">
        <v>713</v>
      </c>
      <c r="V163" s="10" t="n">
        <v>0</v>
      </c>
    </row>
    <row r="164">
      <c r="A164" s="7" t="n">
        <v>162</v>
      </c>
      <c r="B164" s="8" t="inlineStr">
        <is>
          <t>Polling Station 162</t>
        </is>
      </c>
      <c r="C164" s="9" t="n">
        <v>162</v>
      </c>
      <c r="D164" s="9" t="n">
        <v>0</v>
      </c>
      <c r="E164" s="9" t="n">
        <v>427</v>
      </c>
      <c r="F164" s="9" t="n">
        <v>239</v>
      </c>
      <c r="G164" s="9" t="n">
        <v>10</v>
      </c>
      <c r="H164" s="9" t="n">
        <v>5</v>
      </c>
      <c r="I164" s="9" t="n">
        <v>1</v>
      </c>
      <c r="J164" s="9" t="n">
        <v>0</v>
      </c>
      <c r="K164" s="9" t="n">
        <v>2</v>
      </c>
      <c r="L164" s="9" t="n">
        <v>0</v>
      </c>
      <c r="M164" s="9" t="n">
        <v>0</v>
      </c>
      <c r="N164" s="9" t="n">
        <v>4</v>
      </c>
      <c r="O164" s="9" t="n">
        <v>0</v>
      </c>
      <c r="P164" s="9" t="n">
        <v>0</v>
      </c>
      <c r="Q164" s="9" t="n">
        <v>8</v>
      </c>
      <c r="R164" s="10" t="n">
        <v>858</v>
      </c>
      <c r="S164" s="10" t="n">
        <v>0</v>
      </c>
      <c r="T164" s="10" t="n">
        <v>0</v>
      </c>
      <c r="U164" s="10" t="n">
        <v>858</v>
      </c>
      <c r="V164" s="10" t="n">
        <v>0</v>
      </c>
    </row>
    <row r="165">
      <c r="A165" s="7" t="n">
        <v>163</v>
      </c>
      <c r="B165" s="8" t="inlineStr">
        <is>
          <t>Polling Station 163</t>
        </is>
      </c>
      <c r="C165" s="9" t="n">
        <v>163</v>
      </c>
      <c r="D165" s="9" t="n">
        <v>0</v>
      </c>
      <c r="E165" s="9" t="n">
        <v>272</v>
      </c>
      <c r="F165" s="9" t="n">
        <v>188</v>
      </c>
      <c r="G165" s="9" t="n">
        <v>2</v>
      </c>
      <c r="H165" s="9" t="n">
        <v>3</v>
      </c>
      <c r="I165" s="9" t="n">
        <v>1</v>
      </c>
      <c r="J165" s="9" t="n">
        <v>0</v>
      </c>
      <c r="K165" s="9" t="n">
        <v>2</v>
      </c>
      <c r="L165" s="9" t="n">
        <v>0</v>
      </c>
      <c r="M165" s="9" t="n">
        <v>0</v>
      </c>
      <c r="N165" s="9" t="n">
        <v>0</v>
      </c>
      <c r="O165" s="9" t="n">
        <v>468</v>
      </c>
      <c r="P165" s="9" t="n">
        <v>0</v>
      </c>
      <c r="Q165" s="9" t="n">
        <v>6</v>
      </c>
      <c r="R165" s="10" t="n">
        <v>1105</v>
      </c>
      <c r="S165" s="10" t="n">
        <v>0</v>
      </c>
      <c r="T165" s="10" t="n">
        <v>0</v>
      </c>
      <c r="U165" s="10" t="n">
        <v>1105</v>
      </c>
      <c r="V165" s="10" t="n">
        <v>0</v>
      </c>
    </row>
    <row r="166">
      <c r="A166" s="7" t="n">
        <v>164</v>
      </c>
      <c r="B166" s="8" t="inlineStr">
        <is>
          <t>Polling Station 164</t>
        </is>
      </c>
      <c r="C166" s="9" t="n">
        <v>164</v>
      </c>
      <c r="D166" s="9" t="n">
        <v>0</v>
      </c>
      <c r="E166" s="9" t="n">
        <v>180</v>
      </c>
      <c r="F166" s="9" t="n">
        <v>101</v>
      </c>
      <c r="G166" s="9" t="n">
        <v>0</v>
      </c>
      <c r="H166" s="9" t="n">
        <v>6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1</v>
      </c>
      <c r="O166" s="9" t="n">
        <v>288</v>
      </c>
      <c r="P166" s="9" t="n">
        <v>0</v>
      </c>
      <c r="Q166" s="9" t="n">
        <v>1</v>
      </c>
      <c r="R166" s="10" t="n">
        <v>741</v>
      </c>
      <c r="S166" s="10" t="n">
        <v>0</v>
      </c>
      <c r="T166" s="10" t="n">
        <v>0</v>
      </c>
      <c r="U166" s="10" t="n">
        <v>741</v>
      </c>
      <c r="V166" s="10" t="n">
        <v>0</v>
      </c>
    </row>
    <row r="167">
      <c r="A167" s="7" t="n">
        <v>165</v>
      </c>
      <c r="B167" s="8" t="inlineStr">
        <is>
          <t>Polling Station 165</t>
        </is>
      </c>
      <c r="C167" s="9" t="n">
        <v>165</v>
      </c>
      <c r="D167" s="9" t="n">
        <v>0</v>
      </c>
      <c r="E167" s="9" t="n">
        <v>331</v>
      </c>
      <c r="F167" s="9" t="n">
        <v>142</v>
      </c>
      <c r="G167" s="9" t="n">
        <v>2</v>
      </c>
      <c r="H167" s="9" t="n">
        <v>2</v>
      </c>
      <c r="I167" s="9" t="n">
        <v>1</v>
      </c>
      <c r="J167" s="9" t="n">
        <v>0</v>
      </c>
      <c r="K167" s="9" t="n">
        <v>0</v>
      </c>
      <c r="L167" s="9" t="n">
        <v>1</v>
      </c>
      <c r="M167" s="9" t="n">
        <v>3</v>
      </c>
      <c r="N167" s="9" t="n">
        <v>4</v>
      </c>
      <c r="O167" s="9" t="n">
        <v>487</v>
      </c>
      <c r="P167" s="9" t="n">
        <v>0</v>
      </c>
      <c r="Q167" s="9" t="n">
        <v>2</v>
      </c>
      <c r="R167" s="10" t="n">
        <v>1140</v>
      </c>
      <c r="S167" s="10" t="n">
        <v>0</v>
      </c>
      <c r="T167" s="10" t="n">
        <v>0</v>
      </c>
      <c r="U167" s="10" t="n">
        <v>1140</v>
      </c>
      <c r="V167" s="10" t="n">
        <v>0</v>
      </c>
    </row>
    <row r="168">
      <c r="A168" s="7" t="n">
        <v>166</v>
      </c>
      <c r="B168" s="8" t="inlineStr">
        <is>
          <t>Polling Station 166</t>
        </is>
      </c>
      <c r="C168" s="9" t="n">
        <v>166</v>
      </c>
      <c r="D168" s="9" t="n">
        <v>0</v>
      </c>
      <c r="E168" s="9" t="n">
        <v>147</v>
      </c>
      <c r="F168" s="9" t="n">
        <v>7</v>
      </c>
      <c r="G168" s="9" t="n">
        <v>1</v>
      </c>
      <c r="H168" s="9" t="n">
        <v>5</v>
      </c>
      <c r="I168" s="9" t="n">
        <v>0</v>
      </c>
      <c r="J168" s="9" t="n">
        <v>0</v>
      </c>
      <c r="K168" s="9" t="n">
        <v>1</v>
      </c>
      <c r="L168" s="9" t="n">
        <v>0</v>
      </c>
      <c r="M168" s="9" t="n">
        <v>0</v>
      </c>
      <c r="N168" s="9" t="n">
        <v>0</v>
      </c>
      <c r="O168" s="9" t="n">
        <v>231</v>
      </c>
      <c r="P168" s="9" t="n">
        <v>0</v>
      </c>
      <c r="Q168" s="9" t="n">
        <v>7</v>
      </c>
      <c r="R168" s="10" t="n">
        <v>565</v>
      </c>
      <c r="S168" s="10" t="n">
        <v>0</v>
      </c>
      <c r="T168" s="10" t="n">
        <v>0</v>
      </c>
      <c r="U168" s="10" t="n">
        <v>565</v>
      </c>
      <c r="V168" s="10" t="n">
        <v>0</v>
      </c>
    </row>
    <row r="169">
      <c r="A169" s="7" t="n">
        <v>167</v>
      </c>
      <c r="B169" s="8" t="inlineStr">
        <is>
          <t>Polling Station 167</t>
        </is>
      </c>
      <c r="C169" s="9" t="n">
        <v>167</v>
      </c>
      <c r="D169" s="9" t="n">
        <v>0</v>
      </c>
      <c r="E169" s="9" t="n">
        <v>325</v>
      </c>
      <c r="F169" s="9" t="n">
        <v>251</v>
      </c>
      <c r="G169" s="9" t="n">
        <v>1</v>
      </c>
      <c r="H169" s="9" t="n">
        <v>9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2</v>
      </c>
      <c r="O169" s="9" t="n">
        <v>589</v>
      </c>
      <c r="P169" s="9" t="n">
        <v>0</v>
      </c>
      <c r="Q169" s="9" t="n">
        <v>8</v>
      </c>
      <c r="R169" s="10" t="n">
        <v>1352</v>
      </c>
      <c r="S169" s="10" t="n">
        <v>0</v>
      </c>
      <c r="T169" s="10" t="n">
        <v>0</v>
      </c>
      <c r="U169" s="10" t="n">
        <v>1352</v>
      </c>
      <c r="V169" s="10" t="n">
        <v>0</v>
      </c>
    </row>
    <row r="170">
      <c r="A170" s="7" t="n">
        <v>168</v>
      </c>
      <c r="B170" s="8" t="inlineStr">
        <is>
          <t>|Jammikunta</t>
        </is>
      </c>
      <c r="C170" s="9" t="n">
        <v>331</v>
      </c>
      <c r="D170" s="9" t="n">
        <v>144</v>
      </c>
      <c r="E170" s="9" t="n">
        <v>1</v>
      </c>
      <c r="F170" s="9" t="n">
        <v>7</v>
      </c>
      <c r="G170" s="9" t="n">
        <v>6</v>
      </c>
      <c r="H170" s="9" t="n">
        <v>0</v>
      </c>
      <c r="I170" s="9" t="n">
        <v>6</v>
      </c>
      <c r="J170" s="9" t="n">
        <v>0</v>
      </c>
      <c r="K170" s="9" t="n">
        <v>1</v>
      </c>
      <c r="L170" s="9" t="n">
        <v>6</v>
      </c>
      <c r="M170" s="9" t="n">
        <v>502</v>
      </c>
      <c r="N170" s="9" t="n">
        <v>0</v>
      </c>
      <c r="O170" s="9" t="n">
        <v>2</v>
      </c>
      <c r="P170" s="9" t="n">
        <v>504</v>
      </c>
      <c r="Q170" s="9" t="n">
        <v>0</v>
      </c>
      <c r="R170" s="10" t="n">
        <v>1510</v>
      </c>
      <c r="S170" s="10" t="n">
        <v>0</v>
      </c>
      <c r="T170" s="10" t="n">
        <v>0</v>
      </c>
      <c r="U170" s="10" t="n">
        <v>1510</v>
      </c>
      <c r="V170" s="10" t="n">
        <v>0</v>
      </c>
    </row>
    <row r="171">
      <c r="A171" s="7" t="n">
        <v>169</v>
      </c>
      <c r="B171" s="8" t="inlineStr">
        <is>
          <t>|Jammikunta</t>
        </is>
      </c>
      <c r="C171" s="9" t="n">
        <v>265</v>
      </c>
      <c r="D171" s="9" t="n">
        <v>139</v>
      </c>
      <c r="E171" s="9" t="n">
        <v>2</v>
      </c>
      <c r="F171" s="9" t="n">
        <v>4</v>
      </c>
      <c r="G171" s="9" t="n">
        <v>0</v>
      </c>
      <c r="H171" s="9" t="n">
        <v>1</v>
      </c>
      <c r="I171" s="9" t="n">
        <v>0</v>
      </c>
      <c r="J171" s="9" t="n">
        <v>0</v>
      </c>
      <c r="K171" s="9" t="n">
        <v>1</v>
      </c>
      <c r="L171" s="9" t="n">
        <v>5</v>
      </c>
      <c r="M171" s="9" t="n">
        <v>47</v>
      </c>
      <c r="N171" s="9" t="n">
        <v>0</v>
      </c>
      <c r="O171" s="9" t="n">
        <v>9</v>
      </c>
      <c r="P171" s="9" t="n">
        <v>426</v>
      </c>
      <c r="Q171" s="9" t="n">
        <v>0</v>
      </c>
      <c r="R171" s="10" t="n">
        <v>899</v>
      </c>
      <c r="S171" s="10" t="n">
        <v>0</v>
      </c>
      <c r="T171" s="10" t="n">
        <v>0</v>
      </c>
      <c r="U171" s="10" t="n">
        <v>899</v>
      </c>
      <c r="V171" s="10" t="n">
        <v>0</v>
      </c>
    </row>
    <row r="172">
      <c r="A172" s="7" t="n">
        <v>170</v>
      </c>
      <c r="B172" s="8" t="inlineStr">
        <is>
          <t>|Jammikunta</t>
        </is>
      </c>
      <c r="C172" s="9" t="n">
        <v>210</v>
      </c>
      <c r="D172" s="9" t="n">
        <v>118</v>
      </c>
      <c r="E172" s="9" t="n">
        <v>1</v>
      </c>
      <c r="F172" s="9" t="n">
        <v>2</v>
      </c>
      <c r="G172" s="9" t="n">
        <v>3</v>
      </c>
      <c r="H172" s="9" t="n">
        <v>0</v>
      </c>
      <c r="I172" s="9" t="n">
        <v>0</v>
      </c>
      <c r="J172" s="9" t="n">
        <v>3</v>
      </c>
      <c r="K172" s="9" t="n">
        <v>0</v>
      </c>
      <c r="L172" s="9" t="n">
        <v>1</v>
      </c>
      <c r="M172" s="9" t="n">
        <v>338</v>
      </c>
      <c r="N172" s="9" t="n">
        <v>0</v>
      </c>
      <c r="O172" s="9" t="n">
        <v>7</v>
      </c>
      <c r="P172" s="9" t="n">
        <v>345</v>
      </c>
      <c r="Q172" s="9" t="n">
        <v>0</v>
      </c>
      <c r="R172" s="10" t="n">
        <v>1028</v>
      </c>
      <c r="S172" s="10" t="n">
        <v>0</v>
      </c>
      <c r="T172" s="10" t="n">
        <v>0</v>
      </c>
      <c r="U172" s="10" t="n">
        <v>1028</v>
      </c>
      <c r="V172" s="10" t="n">
        <v>0</v>
      </c>
    </row>
    <row r="173">
      <c r="A173" s="7" t="n">
        <v>171</v>
      </c>
      <c r="B173" s="8" t="inlineStr">
        <is>
          <t>|Jammikunta</t>
        </is>
      </c>
      <c r="C173" s="9" t="n">
        <v>247</v>
      </c>
      <c r="D173" s="9" t="n">
        <v>181</v>
      </c>
      <c r="E173" s="9" t="n">
        <v>1</v>
      </c>
      <c r="F173" s="9" t="n">
        <v>5</v>
      </c>
      <c r="G173" s="9" t="n">
        <v>3</v>
      </c>
      <c r="H173" s="9" t="n">
        <v>1</v>
      </c>
      <c r="I173" s="9" t="n">
        <v>0</v>
      </c>
      <c r="J173" s="9" t="n">
        <v>0</v>
      </c>
      <c r="K173" s="9" t="n">
        <v>4</v>
      </c>
      <c r="L173" s="9" t="n">
        <v>1</v>
      </c>
      <c r="M173" s="9" t="n">
        <v>440</v>
      </c>
      <c r="N173" s="9" t="n">
        <v>0</v>
      </c>
      <c r="O173" s="9" t="n">
        <v>7</v>
      </c>
      <c r="P173" s="9" t="n">
        <v>447</v>
      </c>
      <c r="Q173" s="9" t="n">
        <v>0</v>
      </c>
      <c r="R173" s="10" t="n">
        <v>1337</v>
      </c>
      <c r="S173" s="10" t="n">
        <v>0</v>
      </c>
      <c r="T173" s="10" t="n">
        <v>0</v>
      </c>
      <c r="U173" s="10" t="n">
        <v>1337</v>
      </c>
      <c r="V173" s="10" t="n">
        <v>0</v>
      </c>
    </row>
    <row r="174">
      <c r="A174" s="7" t="n">
        <v>172</v>
      </c>
      <c r="B174" s="8" t="inlineStr">
        <is>
          <t>|Jammikunta</t>
        </is>
      </c>
      <c r="C174" s="9" t="n">
        <v>166</v>
      </c>
      <c r="D174" s="9" t="n">
        <v>103</v>
      </c>
      <c r="E174" s="9" t="n">
        <v>0</v>
      </c>
      <c r="F174" s="9" t="n">
        <v>7</v>
      </c>
      <c r="G174" s="9" t="n">
        <v>0</v>
      </c>
      <c r="H174" s="9" t="n">
        <v>0</v>
      </c>
      <c r="I174" s="9" t="n">
        <v>1</v>
      </c>
      <c r="J174" s="9" t="n">
        <v>0</v>
      </c>
      <c r="K174" s="9" t="n">
        <v>0</v>
      </c>
      <c r="L174" s="9" t="n">
        <v>2</v>
      </c>
      <c r="M174" s="9" t="n">
        <v>280</v>
      </c>
      <c r="N174" s="9" t="n">
        <v>0</v>
      </c>
      <c r="O174" s="9" t="n">
        <v>5</v>
      </c>
      <c r="P174" s="9" t="n">
        <v>285</v>
      </c>
      <c r="Q174" s="9" t="n">
        <v>0</v>
      </c>
      <c r="R174" s="10" t="n">
        <v>849</v>
      </c>
      <c r="S174" s="10" t="n">
        <v>0</v>
      </c>
      <c r="T174" s="10" t="n">
        <v>0</v>
      </c>
      <c r="U174" s="10" t="n">
        <v>849</v>
      </c>
      <c r="V174" s="10" t="n">
        <v>0</v>
      </c>
    </row>
    <row r="175">
      <c r="A175" s="7" t="n">
        <v>173</v>
      </c>
      <c r="B175" s="8" t="inlineStr">
        <is>
          <t>|Jammikunta</t>
        </is>
      </c>
      <c r="C175" s="9" t="n">
        <v>160</v>
      </c>
      <c r="D175" s="9" t="n">
        <v>97</v>
      </c>
      <c r="E175" s="9" t="n">
        <v>0</v>
      </c>
      <c r="F175" s="9" t="n">
        <v>7</v>
      </c>
      <c r="G175" s="9" t="n">
        <v>2</v>
      </c>
      <c r="H175" s="9" t="n">
        <v>0</v>
      </c>
      <c r="I175" s="9" t="n">
        <v>1</v>
      </c>
      <c r="J175" s="9" t="n">
        <v>0</v>
      </c>
      <c r="K175" s="9" t="n">
        <v>1</v>
      </c>
      <c r="L175" s="9" t="n">
        <v>0</v>
      </c>
      <c r="M175" s="9" t="n">
        <v>278</v>
      </c>
      <c r="N175" s="9" t="n">
        <v>0</v>
      </c>
      <c r="O175" s="9" t="n">
        <v>6</v>
      </c>
      <c r="P175" s="9" t="n">
        <v>284</v>
      </c>
      <c r="Q175" s="9" t="n">
        <v>0</v>
      </c>
      <c r="R175" s="10" t="n">
        <v>836</v>
      </c>
      <c r="S175" s="10" t="n">
        <v>0</v>
      </c>
      <c r="T175" s="10" t="n">
        <v>0</v>
      </c>
      <c r="U175" s="10" t="n">
        <v>836</v>
      </c>
      <c r="V175" s="10" t="n">
        <v>0</v>
      </c>
    </row>
    <row r="176">
      <c r="A176" s="7" t="n">
        <v>174</v>
      </c>
      <c r="B176" s="8" t="inlineStr">
        <is>
          <t>|Jammikunta</t>
        </is>
      </c>
      <c r="C176" s="9" t="n">
        <v>331</v>
      </c>
      <c r="D176" s="9" t="n">
        <v>7</v>
      </c>
      <c r="E176" s="9" t="n">
        <v>1</v>
      </c>
      <c r="F176" s="9" t="n">
        <v>3</v>
      </c>
      <c r="G176" s="9" t="n">
        <v>1</v>
      </c>
      <c r="H176" s="9" t="n">
        <v>0</v>
      </c>
      <c r="I176" s="9" t="n">
        <v>1</v>
      </c>
      <c r="J176" s="9" t="n">
        <v>1</v>
      </c>
      <c r="K176" s="9" t="n">
        <v>1</v>
      </c>
      <c r="L176" s="9" t="n">
        <v>5</v>
      </c>
      <c r="M176" s="9" t="n">
        <v>521</v>
      </c>
      <c r="N176" s="9" t="n">
        <v>0</v>
      </c>
      <c r="O176" s="9" t="n">
        <v>5</v>
      </c>
      <c r="P176" s="9" t="n">
        <v>526</v>
      </c>
      <c r="Q176" s="9" t="n">
        <v>0</v>
      </c>
      <c r="R176" s="10" t="n">
        <v>1403</v>
      </c>
      <c r="S176" s="10" t="n">
        <v>0</v>
      </c>
      <c r="T176" s="10" t="n">
        <v>0</v>
      </c>
      <c r="U176" s="10" t="n">
        <v>1403</v>
      </c>
      <c r="V176" s="10" t="n">
        <v>0</v>
      </c>
    </row>
    <row r="177">
      <c r="A177" s="7" t="n">
        <v>175</v>
      </c>
      <c r="B177" s="8" t="inlineStr">
        <is>
          <t>|Jammikunta</t>
        </is>
      </c>
      <c r="C177" s="9" t="n">
        <v>256</v>
      </c>
      <c r="D177" s="9" t="n">
        <v>151</v>
      </c>
      <c r="E177" s="9" t="n">
        <v>4</v>
      </c>
      <c r="F177" s="9" t="n">
        <v>16</v>
      </c>
      <c r="G177" s="9" t="n">
        <v>0</v>
      </c>
      <c r="H177" s="9" t="n">
        <v>0</v>
      </c>
      <c r="I177" s="9" t="n">
        <v>1</v>
      </c>
      <c r="J177" s="9" t="n">
        <v>1</v>
      </c>
      <c r="K177" s="9" t="n">
        <v>0</v>
      </c>
      <c r="L177" s="9" t="n">
        <v>1</v>
      </c>
      <c r="M177" s="9" t="n">
        <v>430</v>
      </c>
      <c r="N177" s="9" t="n">
        <v>0</v>
      </c>
      <c r="O177" s="9" t="n">
        <v>5</v>
      </c>
      <c r="P177" s="9" t="n">
        <v>435</v>
      </c>
      <c r="Q177" s="9" t="n">
        <v>0</v>
      </c>
      <c r="R177" s="10" t="n">
        <v>1300</v>
      </c>
      <c r="S177" s="10" t="n">
        <v>0</v>
      </c>
      <c r="T177" s="10" t="n">
        <v>0</v>
      </c>
      <c r="U177" s="10" t="n">
        <v>1300</v>
      </c>
      <c r="V177" s="10" t="n">
        <v>0</v>
      </c>
    </row>
    <row r="178">
      <c r="A178" s="7" t="n">
        <v>176</v>
      </c>
      <c r="B178" s="8" t="inlineStr">
        <is>
          <t>|Jammikunta</t>
        </is>
      </c>
      <c r="C178" s="9" t="n">
        <v>440</v>
      </c>
      <c r="D178" s="9" t="n">
        <v>176</v>
      </c>
      <c r="E178" s="9" t="n">
        <v>7</v>
      </c>
      <c r="F178" s="9" t="n">
        <v>8</v>
      </c>
      <c r="G178" s="9" t="n">
        <v>2</v>
      </c>
      <c r="H178" s="9" t="n">
        <v>0</v>
      </c>
      <c r="I178" s="9" t="n">
        <v>1</v>
      </c>
      <c r="J178" s="9" t="n">
        <v>0</v>
      </c>
      <c r="K178" s="9" t="n">
        <v>0</v>
      </c>
      <c r="L178" s="9" t="n">
        <v>5</v>
      </c>
      <c r="M178" s="9" t="n">
        <v>641</v>
      </c>
      <c r="N178" s="9" t="n">
        <v>0</v>
      </c>
      <c r="O178" s="9" t="n">
        <v>10</v>
      </c>
      <c r="P178" s="9" t="n">
        <v>651</v>
      </c>
      <c r="Q178" s="9" t="n">
        <v>0</v>
      </c>
      <c r="R178" s="10" t="n">
        <v>1941</v>
      </c>
      <c r="S178" s="10" t="n">
        <v>0</v>
      </c>
      <c r="T178" s="10" t="n">
        <v>0</v>
      </c>
      <c r="U178" s="10" t="n">
        <v>1941</v>
      </c>
      <c r="V178" s="10" t="n">
        <v>0</v>
      </c>
    </row>
    <row r="179">
      <c r="A179" s="7" t="n">
        <v>178</v>
      </c>
      <c r="B179" s="8" t="inlineStr">
        <is>
          <t>|Jammikunta abadi</t>
        </is>
      </c>
      <c r="C179" s="9" t="n">
        <v>208</v>
      </c>
      <c r="D179" s="9" t="n">
        <v>82</v>
      </c>
      <c r="E179" s="9" t="n">
        <v>2</v>
      </c>
      <c r="F179" s="9" t="n">
        <v>3</v>
      </c>
      <c r="G179" s="9" t="n">
        <v>0</v>
      </c>
      <c r="H179" s="9" t="n">
        <v>0</v>
      </c>
      <c r="I179" s="9" t="n">
        <v>1</v>
      </c>
      <c r="J179" s="9" t="n">
        <v>0</v>
      </c>
      <c r="K179" s="9" t="n">
        <v>0</v>
      </c>
      <c r="L179" s="9" t="n">
        <v>7</v>
      </c>
      <c r="M179" s="9" t="n">
        <v>303</v>
      </c>
      <c r="N179" s="9" t="n">
        <v>0</v>
      </c>
      <c r="O179" s="9" t="n">
        <v>2</v>
      </c>
      <c r="P179" s="9" t="n">
        <v>305</v>
      </c>
      <c r="Q179" s="9" t="n">
        <v>0</v>
      </c>
      <c r="R179" s="10" t="n">
        <v>913</v>
      </c>
      <c r="S179" s="10" t="n">
        <v>0</v>
      </c>
      <c r="T179" s="10" t="n">
        <v>0</v>
      </c>
      <c r="U179" s="10" t="n">
        <v>913</v>
      </c>
      <c r="V179" s="10" t="n">
        <v>0</v>
      </c>
    </row>
    <row r="180">
      <c r="A180" s="7" t="n">
        <v>179</v>
      </c>
      <c r="B180" s="8" t="inlineStr">
        <is>
          <t>|Jammikunta abadi</t>
        </is>
      </c>
      <c r="C180" s="9" t="n">
        <v>300</v>
      </c>
      <c r="D180" s="9" t="n">
        <v>175</v>
      </c>
      <c r="E180" s="9" t="n">
        <v>0</v>
      </c>
      <c r="F180" s="9" t="n">
        <v>6</v>
      </c>
      <c r="G180" s="9" t="n">
        <v>0</v>
      </c>
      <c r="H180" s="9" t="n">
        <v>0</v>
      </c>
      <c r="I180" s="9" t="n">
        <v>1</v>
      </c>
      <c r="J180" s="9" t="n">
        <v>0</v>
      </c>
      <c r="K180" s="9" t="n">
        <v>2</v>
      </c>
      <c r="L180" s="9" t="n">
        <v>7</v>
      </c>
      <c r="M180" s="9" t="n">
        <v>491</v>
      </c>
      <c r="N180" s="9" t="n">
        <v>0</v>
      </c>
      <c r="O180" s="9" t="n">
        <v>4</v>
      </c>
      <c r="P180" s="9" t="n">
        <v>495</v>
      </c>
      <c r="Q180" s="9" t="n">
        <v>0</v>
      </c>
      <c r="R180" s="10" t="n">
        <v>1481</v>
      </c>
      <c r="S180" s="10" t="n">
        <v>0</v>
      </c>
      <c r="T180" s="10" t="n">
        <v>0</v>
      </c>
      <c r="U180" s="10" t="n">
        <v>1481</v>
      </c>
      <c r="V180" s="10" t="n">
        <v>0</v>
      </c>
    </row>
    <row r="181">
      <c r="A181" s="7" t="n">
        <v>180</v>
      </c>
      <c r="B181" s="8" t="inlineStr">
        <is>
          <t>|Keshavapur</t>
        </is>
      </c>
      <c r="C181" s="9" t="n">
        <v>330</v>
      </c>
      <c r="D181" s="9" t="n">
        <v>190</v>
      </c>
      <c r="E181" s="9" t="n">
        <v>5</v>
      </c>
      <c r="F181" s="9" t="n">
        <v>5</v>
      </c>
      <c r="G181" s="9" t="n">
        <v>0</v>
      </c>
      <c r="H181" s="9" t="n">
        <v>0</v>
      </c>
      <c r="I181" s="9" t="n">
        <v>0</v>
      </c>
      <c r="J181" s="9" t="n">
        <v>4</v>
      </c>
      <c r="K181" s="9" t="n">
        <v>2</v>
      </c>
      <c r="L181" s="9" t="n">
        <v>1</v>
      </c>
      <c r="M181" s="9" t="n">
        <v>44</v>
      </c>
      <c r="N181" s="9" t="n">
        <v>0</v>
      </c>
      <c r="O181" s="9" t="n">
        <v>7</v>
      </c>
      <c r="P181" s="9" t="n">
        <v>551</v>
      </c>
      <c r="Q181" s="9" t="n">
        <v>0</v>
      </c>
      <c r="R181" s="10" t="n">
        <v>1139</v>
      </c>
      <c r="S181" s="10" t="n">
        <v>0</v>
      </c>
      <c r="T181" s="10" t="n">
        <v>0</v>
      </c>
      <c r="U181" s="10" t="n">
        <v>1139</v>
      </c>
      <c r="V181" s="10" t="n">
        <v>0</v>
      </c>
    </row>
    <row r="182">
      <c r="A182" s="7" t="n">
        <v>181</v>
      </c>
      <c r="B182" s="8" t="inlineStr">
        <is>
          <t>|Mothukula gudem</t>
        </is>
      </c>
      <c r="C182" s="9" t="n">
        <v>631</v>
      </c>
      <c r="D182" s="9" t="n">
        <v>261</v>
      </c>
      <c r="E182" s="9" t="n">
        <v>5</v>
      </c>
      <c r="F182" s="9" t="n">
        <v>3</v>
      </c>
      <c r="G182" s="9" t="n">
        <v>0</v>
      </c>
      <c r="H182" s="9" t="n">
        <v>7</v>
      </c>
      <c r="I182" s="9" t="n">
        <v>6</v>
      </c>
      <c r="J182" s="9" t="n">
        <v>4</v>
      </c>
      <c r="K182" s="9" t="n">
        <v>2</v>
      </c>
      <c r="L182" s="9" t="n">
        <v>4</v>
      </c>
      <c r="M182" s="9" t="n">
        <v>920</v>
      </c>
      <c r="N182" s="9" t="n">
        <v>0</v>
      </c>
      <c r="O182" s="9" t="n">
        <v>9</v>
      </c>
      <c r="P182" s="9" t="n">
        <v>929</v>
      </c>
      <c r="Q182" s="9" t="n">
        <v>0</v>
      </c>
      <c r="R182" s="10" t="n">
        <v>2781</v>
      </c>
      <c r="S182" s="10" t="n">
        <v>0</v>
      </c>
      <c r="T182" s="10" t="n">
        <v>0</v>
      </c>
      <c r="U182" s="10" t="n">
        <v>2781</v>
      </c>
      <c r="V182" s="10" t="n">
        <v>0</v>
      </c>
    </row>
    <row r="183">
      <c r="A183" s="7" t="n">
        <v>182</v>
      </c>
      <c r="B183" s="8" t="inlineStr">
        <is>
          <t>|Mothukula gudem</t>
        </is>
      </c>
      <c r="C183" s="9" t="n">
        <v>346</v>
      </c>
      <c r="D183" s="9" t="n">
        <v>168</v>
      </c>
      <c r="E183" s="9" t="n">
        <v>2</v>
      </c>
      <c r="F183" s="9" t="n">
        <v>10</v>
      </c>
      <c r="G183" s="9" t="n">
        <v>3</v>
      </c>
      <c r="H183" s="9" t="n">
        <v>2</v>
      </c>
      <c r="I183" s="9" t="n">
        <v>5</v>
      </c>
      <c r="J183" s="9" t="n">
        <v>2</v>
      </c>
      <c r="K183" s="9" t="n">
        <v>2</v>
      </c>
      <c r="L183" s="9" t="n">
        <v>19</v>
      </c>
      <c r="M183" s="9" t="n">
        <v>559</v>
      </c>
      <c r="N183" s="9" t="n">
        <v>0</v>
      </c>
      <c r="O183" s="9" t="n">
        <v>6</v>
      </c>
      <c r="P183" s="9" t="n">
        <v>565</v>
      </c>
      <c r="Q183" s="9" t="n">
        <v>0</v>
      </c>
      <c r="R183" s="10" t="n">
        <v>1689</v>
      </c>
      <c r="S183" s="10" t="n">
        <v>0</v>
      </c>
      <c r="T183" s="10" t="n">
        <v>0</v>
      </c>
      <c r="U183" s="10" t="n">
        <v>1689</v>
      </c>
      <c r="V183" s="10" t="n">
        <v>0</v>
      </c>
    </row>
    <row r="184">
      <c r="A184" s="7" t="n">
        <v>183</v>
      </c>
      <c r="B184" s="8" t="inlineStr">
        <is>
          <t>|Mothukula gudem</t>
        </is>
      </c>
      <c r="C184" s="9" t="n">
        <v>471</v>
      </c>
      <c r="D184" s="9" t="n">
        <v>283</v>
      </c>
      <c r="E184" s="9" t="n">
        <v>15</v>
      </c>
      <c r="F184" s="9" t="n">
        <v>10</v>
      </c>
      <c r="G184" s="9" t="n">
        <v>1</v>
      </c>
      <c r="H184" s="9" t="n">
        <v>4</v>
      </c>
      <c r="I184" s="9" t="n">
        <v>4</v>
      </c>
      <c r="J184" s="9" t="n">
        <v>4</v>
      </c>
      <c r="K184" s="9" t="n">
        <v>3</v>
      </c>
      <c r="L184" s="9" t="n">
        <v>14</v>
      </c>
      <c r="M184" s="9" t="n">
        <v>789</v>
      </c>
      <c r="N184" s="9" t="n">
        <v>0</v>
      </c>
      <c r="O184" s="9" t="n">
        <v>20</v>
      </c>
      <c r="P184" s="9" t="n">
        <v>809</v>
      </c>
      <c r="Q184" s="9" t="n">
        <v>0</v>
      </c>
      <c r="R184" s="10" t="n">
        <v>2427</v>
      </c>
      <c r="S184" s="10" t="n">
        <v>0</v>
      </c>
      <c r="T184" s="10" t="n">
        <v>0</v>
      </c>
      <c r="U184" s="10" t="n">
        <v>2427</v>
      </c>
      <c r="V184" s="10" t="n">
        <v>0</v>
      </c>
    </row>
    <row r="185">
      <c r="A185" s="7" t="n">
        <v>184</v>
      </c>
      <c r="B185" s="8" t="inlineStr">
        <is>
          <t>|Machanapally</t>
        </is>
      </c>
      <c r="C185" s="9" t="n">
        <v>385</v>
      </c>
      <c r="D185" s="9" t="n">
        <v>186</v>
      </c>
      <c r="E185" s="9" t="n">
        <v>0</v>
      </c>
      <c r="F185" s="9" t="n">
        <v>3</v>
      </c>
      <c r="G185" s="9" t="n">
        <v>3</v>
      </c>
      <c r="H185" s="9" t="n">
        <v>1</v>
      </c>
      <c r="I185" s="9" t="n">
        <v>4</v>
      </c>
      <c r="J185" s="9" t="n">
        <v>0</v>
      </c>
      <c r="K185" s="9" t="n">
        <v>0</v>
      </c>
      <c r="L185" s="9" t="n">
        <v>9</v>
      </c>
      <c r="M185" s="9" t="n">
        <v>591</v>
      </c>
      <c r="N185" s="9" t="n">
        <v>0</v>
      </c>
      <c r="O185" s="9" t="n">
        <v>5</v>
      </c>
      <c r="P185" s="9" t="n">
        <v>596</v>
      </c>
      <c r="Q185" s="9" t="n">
        <v>0</v>
      </c>
      <c r="R185" s="10" t="n">
        <v>1783</v>
      </c>
      <c r="S185" s="10" t="n">
        <v>0</v>
      </c>
      <c r="T185" s="10" t="n">
        <v>0</v>
      </c>
      <c r="U185" s="10" t="n">
        <v>1783</v>
      </c>
      <c r="V185" s="10" t="n">
        <v>0</v>
      </c>
    </row>
    <row r="186">
      <c r="A186" s="7" t="n">
        <v>185</v>
      </c>
      <c r="B186" s="8" t="inlineStr">
        <is>
          <t>| Machanapalli</t>
        </is>
      </c>
      <c r="C186" s="9" t="n">
        <v>391</v>
      </c>
      <c r="D186" s="9" t="n">
        <v>169</v>
      </c>
      <c r="E186" s="9" t="n">
        <v>0</v>
      </c>
      <c r="F186" s="9" t="n">
        <v>4</v>
      </c>
      <c r="G186" s="9" t="n">
        <v>0</v>
      </c>
      <c r="H186" s="9" t="n">
        <v>1</v>
      </c>
      <c r="I186" s="9" t="n">
        <v>8</v>
      </c>
      <c r="J186" s="9" t="n">
        <v>4</v>
      </c>
      <c r="K186" s="9" t="n">
        <v>0</v>
      </c>
      <c r="L186" s="9" t="n">
        <v>9</v>
      </c>
      <c r="M186" s="9" t="n">
        <v>877</v>
      </c>
      <c r="N186" s="9" t="n">
        <v>0</v>
      </c>
      <c r="O186" s="9" t="n">
        <v>7</v>
      </c>
      <c r="P186" s="9" t="n">
        <v>584</v>
      </c>
      <c r="Q186" s="9" t="n">
        <v>0</v>
      </c>
      <c r="R186" s="10" t="n">
        <v>2054</v>
      </c>
      <c r="S186" s="10" t="n">
        <v>0</v>
      </c>
      <c r="T186" s="10" t="n">
        <v>0</v>
      </c>
      <c r="U186" s="10" t="n">
        <v>2054</v>
      </c>
      <c r="V186" s="10" t="n">
        <v>0</v>
      </c>
    </row>
    <row r="187">
      <c r="A187" s="7" t="n">
        <v>186</v>
      </c>
      <c r="B187" s="8" t="inlineStr">
        <is>
          <t>|Machanapally</t>
        </is>
      </c>
      <c r="C187" s="9" t="n">
        <v>368</v>
      </c>
      <c r="D187" s="9" t="n">
        <v>180</v>
      </c>
      <c r="E187" s="9" t="n">
        <v>2</v>
      </c>
      <c r="F187" s="9" t="n">
        <v>6</v>
      </c>
      <c r="G187" s="9" t="n">
        <v>0</v>
      </c>
      <c r="H187" s="9" t="n">
        <v>0</v>
      </c>
      <c r="I187" s="9" t="n">
        <v>2</v>
      </c>
      <c r="J187" s="9" t="n">
        <v>2</v>
      </c>
      <c r="K187" s="9" t="n">
        <v>4</v>
      </c>
      <c r="L187" s="9" t="n">
        <v>16</v>
      </c>
      <c r="M187" s="9" t="n">
        <v>580</v>
      </c>
      <c r="N187" s="9" t="n">
        <v>0</v>
      </c>
      <c r="O187" s="9" t="n">
        <v>15</v>
      </c>
      <c r="P187" s="9" t="n">
        <v>595</v>
      </c>
      <c r="Q187" s="9" t="n">
        <v>0</v>
      </c>
      <c r="R187" s="10" t="n">
        <v>1770</v>
      </c>
      <c r="S187" s="10" t="n">
        <v>0</v>
      </c>
      <c r="T187" s="10" t="n">
        <v>0</v>
      </c>
      <c r="U187" s="10" t="n">
        <v>1770</v>
      </c>
      <c r="V187" s="10" t="n">
        <v>0</v>
      </c>
    </row>
    <row r="188">
      <c r="A188" s="7" t="n">
        <v>187</v>
      </c>
      <c r="B188" s="8" t="inlineStr">
        <is>
          <t>|Jaggaiahpally</t>
        </is>
      </c>
      <c r="C188" s="9" t="n">
        <v>545</v>
      </c>
      <c r="D188" s="9" t="n">
        <v>274</v>
      </c>
      <c r="E188" s="9" t="n">
        <v>7</v>
      </c>
      <c r="F188" s="9" t="n">
        <v>8</v>
      </c>
      <c r="G188" s="9" t="n">
        <v>1</v>
      </c>
      <c r="H188" s="9" t="n">
        <v>4</v>
      </c>
      <c r="I188" s="9" t="n">
        <v>6</v>
      </c>
      <c r="J188" s="9" t="n">
        <v>2</v>
      </c>
      <c r="K188" s="9" t="n">
        <v>3</v>
      </c>
      <c r="L188" s="9" t="n">
        <v>16</v>
      </c>
      <c r="M188" s="9" t="n">
        <v>860</v>
      </c>
      <c r="N188" s="9" t="n">
        <v>0</v>
      </c>
      <c r="O188" s="9" t="n">
        <v>16</v>
      </c>
      <c r="P188" s="9" t="n">
        <v>876</v>
      </c>
      <c r="Q188" s="9" t="n">
        <v>0</v>
      </c>
      <c r="R188" s="10" t="n">
        <v>2618</v>
      </c>
      <c r="S188" s="10" t="n">
        <v>0</v>
      </c>
      <c r="T188" s="10" t="n">
        <v>0</v>
      </c>
      <c r="U188" s="10" t="n">
        <v>2618</v>
      </c>
      <c r="V188" s="10" t="n">
        <v>0</v>
      </c>
    </row>
    <row r="189">
      <c r="A189" s="7" t="n">
        <v>188</v>
      </c>
      <c r="B189" s="8" t="inlineStr">
        <is>
          <t>|Peddampally</t>
        </is>
      </c>
      <c r="C189" s="9" t="n">
        <v>249</v>
      </c>
      <c r="D189" s="9" t="n">
        <v>151</v>
      </c>
      <c r="E189" s="9" t="n">
        <v>7</v>
      </c>
      <c r="F189" s="9" t="n">
        <v>4</v>
      </c>
      <c r="G189" s="9" t="n">
        <v>0</v>
      </c>
      <c r="H189" s="9" t="n">
        <v>0</v>
      </c>
      <c r="I189" s="9" t="n">
        <v>7</v>
      </c>
      <c r="J189" s="9" t="n">
        <v>1</v>
      </c>
      <c r="K189" s="9" t="n">
        <v>0</v>
      </c>
      <c r="L189" s="9" t="n">
        <v>6</v>
      </c>
      <c r="M189" s="9" t="n">
        <v>425</v>
      </c>
      <c r="N189" s="9" t="n">
        <v>0</v>
      </c>
      <c r="O189" s="9" t="n">
        <v>0</v>
      </c>
      <c r="P189" s="9" t="n">
        <v>432</v>
      </c>
      <c r="Q189" s="9" t="n">
        <v>0</v>
      </c>
      <c r="R189" s="10" t="n">
        <v>1282</v>
      </c>
      <c r="S189" s="10" t="n">
        <v>0</v>
      </c>
      <c r="T189" s="10" t="n">
        <v>0</v>
      </c>
      <c r="U189" s="10" t="n">
        <v>1282</v>
      </c>
      <c r="V189" s="10" t="n">
        <v>0</v>
      </c>
    </row>
    <row r="190">
      <c r="A190" s="7" t="n">
        <v>189</v>
      </c>
      <c r="B190" s="8" t="inlineStr">
        <is>
          <t>|Dharmaram</t>
        </is>
      </c>
      <c r="C190" s="9" t="n">
        <v>385</v>
      </c>
      <c r="D190" s="9" t="n">
        <v>137</v>
      </c>
      <c r="E190" s="9" t="n">
        <v>0</v>
      </c>
      <c r="F190" s="9" t="n">
        <v>4</v>
      </c>
      <c r="G190" s="9" t="n">
        <v>0</v>
      </c>
      <c r="H190" s="9" t="n">
        <v>0</v>
      </c>
      <c r="I190" s="9" t="n">
        <v>3</v>
      </c>
      <c r="J190" s="9" t="n">
        <v>4</v>
      </c>
      <c r="K190" s="9" t="n">
        <v>4</v>
      </c>
      <c r="L190" s="9" t="n">
        <v>0</v>
      </c>
      <c r="M190" s="9" t="n">
        <v>539</v>
      </c>
      <c r="N190" s="9" t="n">
        <v>0</v>
      </c>
      <c r="O190" s="9" t="n">
        <v>2</v>
      </c>
      <c r="P190" s="9" t="n">
        <v>541</v>
      </c>
      <c r="Q190" s="9" t="n">
        <v>0</v>
      </c>
      <c r="R190" s="10" t="n">
        <v>1619</v>
      </c>
      <c r="S190" s="10" t="n">
        <v>0</v>
      </c>
      <c r="T190" s="10" t="n">
        <v>0</v>
      </c>
      <c r="U190" s="10" t="n">
        <v>1619</v>
      </c>
      <c r="V190" s="10" t="n">
        <v>0</v>
      </c>
    </row>
    <row r="191">
      <c r="A191" s="7" t="n">
        <v>190</v>
      </c>
      <c r="B191" s="8" t="inlineStr">
        <is>
          <t>|Dharmaram</t>
        </is>
      </c>
      <c r="C191" s="9" t="n">
        <v>433</v>
      </c>
      <c r="D191" s="9" t="n">
        <v>254</v>
      </c>
      <c r="E191" s="9" t="n">
        <v>2</v>
      </c>
      <c r="F191" s="9" t="n">
        <v>3</v>
      </c>
      <c r="G191" s="9" t="n">
        <v>0</v>
      </c>
      <c r="H191" s="9" t="n">
        <v>2</v>
      </c>
      <c r="I191" s="9" t="n">
        <v>6</v>
      </c>
      <c r="J191" s="9" t="n">
        <v>0</v>
      </c>
      <c r="K191" s="9" t="n">
        <v>0</v>
      </c>
      <c r="L191" s="9" t="n">
        <v>10</v>
      </c>
      <c r="M191" s="9" t="n">
        <v>710</v>
      </c>
      <c r="N191" s="9" t="n">
        <v>0</v>
      </c>
      <c r="O191" s="9" t="n">
        <v>20</v>
      </c>
      <c r="P191" s="9" t="n">
        <v>730</v>
      </c>
      <c r="Q191" s="9" t="n">
        <v>0</v>
      </c>
      <c r="R191" s="10" t="n">
        <v>2170</v>
      </c>
      <c r="S191" s="10" t="n">
        <v>0</v>
      </c>
      <c r="T191" s="10" t="n">
        <v>0</v>
      </c>
      <c r="U191" s="10" t="n">
        <v>2170</v>
      </c>
      <c r="V191" s="10" t="n">
        <v>0</v>
      </c>
    </row>
    <row r="192">
      <c r="A192" s="7" t="n">
        <v>191</v>
      </c>
      <c r="B192" s="8" t="inlineStr">
        <is>
          <t>|Dharmaram</t>
        </is>
      </c>
      <c r="C192" s="9" t="n">
        <v>2</v>
      </c>
      <c r="D192" s="9" t="n">
        <v>168</v>
      </c>
      <c r="E192" s="9" t="n">
        <v>1</v>
      </c>
      <c r="F192" s="9" t="n">
        <v>2</v>
      </c>
      <c r="G192" s="9" t="n">
        <v>1</v>
      </c>
      <c r="H192" s="9" t="n">
        <v>1</v>
      </c>
      <c r="I192" s="9" t="n">
        <v>2</v>
      </c>
      <c r="J192" s="9" t="n">
        <v>1</v>
      </c>
      <c r="K192" s="9" t="n">
        <v>1</v>
      </c>
      <c r="L192" s="9" t="n">
        <v>7</v>
      </c>
      <c r="M192" s="9" t="n">
        <v>395</v>
      </c>
      <c r="N192" s="9" t="n">
        <v>0</v>
      </c>
      <c r="O192" s="9" t="n">
        <v>10</v>
      </c>
      <c r="P192" s="9" t="n">
        <v>405</v>
      </c>
      <c r="Q192" s="9" t="n">
        <v>0</v>
      </c>
      <c r="R192" s="10" t="n">
        <v>996</v>
      </c>
      <c r="S192" s="10" t="n">
        <v>0</v>
      </c>
      <c r="T192" s="10" t="n">
        <v>0</v>
      </c>
      <c r="U192" s="10" t="n">
        <v>996</v>
      </c>
      <c r="V192" s="10" t="n">
        <v>0</v>
      </c>
    </row>
    <row r="193">
      <c r="A193" s="7" t="n">
        <v>192</v>
      </c>
      <c r="B193" s="8" t="inlineStr">
        <is>
          <t>Ramannapally ho
ilk ci diene A.</t>
        </is>
      </c>
      <c r="C193" s="9" t="n">
        <v>540</v>
      </c>
      <c r="D193" s="9" t="n">
        <v>335</v>
      </c>
      <c r="E193" s="9" t="n">
        <v>3</v>
      </c>
      <c r="F193" s="9" t="n">
        <v>7</v>
      </c>
      <c r="G193" s="9" t="n">
        <v>2</v>
      </c>
      <c r="H193" s="9" t="n">
        <v>1</v>
      </c>
      <c r="I193" s="9" t="n">
        <v>0</v>
      </c>
      <c r="J193" s="9" t="n">
        <v>1</v>
      </c>
      <c r="K193" s="9" t="n">
        <v>4</v>
      </c>
      <c r="L193" s="9" t="n">
        <v>6</v>
      </c>
      <c r="M193" s="9" t="n">
        <v>899</v>
      </c>
      <c r="N193" s="9" t="n">
        <v>0</v>
      </c>
      <c r="O193" s="9" t="n">
        <v>15</v>
      </c>
      <c r="P193" s="9" t="n">
        <v>914</v>
      </c>
      <c r="Q193" s="9" t="n">
        <v>0</v>
      </c>
      <c r="R193" s="10" t="n">
        <v>2727</v>
      </c>
      <c r="S193" s="10" t="n">
        <v>0</v>
      </c>
      <c r="T193" s="10" t="n">
        <v>0</v>
      </c>
      <c r="U193" s="10" t="n">
        <v>2727</v>
      </c>
      <c r="V193" s="10" t="n">
        <v>0</v>
      </c>
    </row>
    <row r="194">
      <c r="A194" s="7" t="n">
        <v>193</v>
      </c>
      <c r="B194" s="8" t="inlineStr">
        <is>
          <t>|Kothapally</t>
        </is>
      </c>
      <c r="C194" s="9" t="n">
        <v>348</v>
      </c>
      <c r="D194" s="9" t="n">
        <v>212</v>
      </c>
      <c r="E194" s="9" t="n">
        <v>1</v>
      </c>
      <c r="F194" s="9" t="n">
        <v>3</v>
      </c>
      <c r="G194" s="9" t="n">
        <v>1</v>
      </c>
      <c r="H194" s="9" t="n">
        <v>0</v>
      </c>
      <c r="I194" s="9" t="n">
        <v>2</v>
      </c>
      <c r="J194" s="9" t="n">
        <v>0</v>
      </c>
      <c r="K194" s="9" t="n">
        <v>0</v>
      </c>
      <c r="L194" s="9" t="n">
        <v>2</v>
      </c>
      <c r="M194" s="9" t="n">
        <v>569</v>
      </c>
      <c r="N194" s="9" t="n">
        <v>0</v>
      </c>
      <c r="O194" s="9" t="n">
        <v>9</v>
      </c>
      <c r="P194" s="9" t="n">
        <v>578</v>
      </c>
      <c r="Q194" s="9" t="n">
        <v>0</v>
      </c>
      <c r="R194" s="10" t="n">
        <v>1725</v>
      </c>
      <c r="S194" s="10" t="n">
        <v>0</v>
      </c>
      <c r="T194" s="10" t="n">
        <v>0</v>
      </c>
      <c r="U194" s="10" t="n">
        <v>1725</v>
      </c>
      <c r="V194" s="10" t="n">
        <v>0</v>
      </c>
    </row>
    <row r="195">
      <c r="A195" s="7" t="n">
        <v>194</v>
      </c>
      <c r="B195" s="8" t="inlineStr">
        <is>
          <t>|Kothapally</t>
        </is>
      </c>
      <c r="C195" s="9" t="n">
        <v>305</v>
      </c>
      <c r="D195" s="9" t="n">
        <v>153</v>
      </c>
      <c r="E195" s="9" t="n">
        <v>4</v>
      </c>
      <c r="F195" s="9" t="n">
        <v>2</v>
      </c>
      <c r="G195" s="9" t="n">
        <v>3</v>
      </c>
      <c r="H195" s="9" t="n">
        <v>0</v>
      </c>
      <c r="I195" s="9" t="n">
        <v>0</v>
      </c>
      <c r="J195" s="9" t="n">
        <v>1</v>
      </c>
      <c r="K195" s="9" t="n">
        <v>1</v>
      </c>
      <c r="L195" s="9" t="n">
        <v>0</v>
      </c>
      <c r="M195" s="9" t="n">
        <v>469</v>
      </c>
      <c r="N195" s="9" t="n">
        <v>0</v>
      </c>
      <c r="O195" s="9" t="n">
        <v>13</v>
      </c>
      <c r="P195" s="9" t="n">
        <v>482</v>
      </c>
      <c r="Q195" s="9" t="n">
        <v>0</v>
      </c>
      <c r="R195" s="10" t="n">
        <v>1433</v>
      </c>
      <c r="S195" s="10" t="n">
        <v>0</v>
      </c>
      <c r="T195" s="10" t="n">
        <v>0</v>
      </c>
      <c r="U195" s="10" t="n">
        <v>1433</v>
      </c>
      <c r="V195" s="10" t="n">
        <v>0</v>
      </c>
    </row>
    <row r="196">
      <c r="A196" s="7" t="n">
        <v>195</v>
      </c>
      <c r="B196" s="8" t="inlineStr">
        <is>
          <t>Kothapally</t>
        </is>
      </c>
      <c r="C196" s="9" t="n">
        <v>291</v>
      </c>
      <c r="D196" s="9" t="n">
        <v>173</v>
      </c>
      <c r="E196" s="9" t="n">
        <v>4</v>
      </c>
      <c r="F196" s="9" t="n">
        <v>3</v>
      </c>
      <c r="G196" s="9" t="n">
        <v>4</v>
      </c>
      <c r="H196" s="9" t="n">
        <v>0</v>
      </c>
      <c r="I196" s="9" t="n">
        <v>4</v>
      </c>
      <c r="J196" s="9" t="n">
        <v>0</v>
      </c>
      <c r="K196" s="9" t="n">
        <v>3</v>
      </c>
      <c r="L196" s="9" t="n">
        <v>4</v>
      </c>
      <c r="M196" s="9" t="n">
        <v>483</v>
      </c>
      <c r="N196" s="9" t="n">
        <v>0</v>
      </c>
      <c r="O196" s="9" t="n">
        <v>15</v>
      </c>
      <c r="P196" s="9" t="n">
        <v>498</v>
      </c>
      <c r="Q196" s="9" t="n">
        <v>0</v>
      </c>
      <c r="R196" s="10" t="n">
        <v>1482</v>
      </c>
      <c r="S196" s="10" t="n">
        <v>0</v>
      </c>
      <c r="T196" s="10" t="n">
        <v>0</v>
      </c>
      <c r="U196" s="10" t="n">
        <v>1482</v>
      </c>
      <c r="V196" s="10" t="n">
        <v>0</v>
      </c>
    </row>
    <row r="197">
      <c r="A197" s="7" t="n">
        <v>196</v>
      </c>
      <c r="B197" s="8" t="inlineStr">
        <is>
          <t>|Kothapally</t>
        </is>
      </c>
      <c r="C197" s="9" t="n">
        <v>498</v>
      </c>
      <c r="D197" s="9" t="n">
        <v>236</v>
      </c>
      <c r="E197" s="9" t="n">
        <v>4</v>
      </c>
      <c r="F197" s="9" t="n">
        <v>3</v>
      </c>
      <c r="G197" s="9" t="n">
        <v>1</v>
      </c>
      <c r="H197" s="9" t="n">
        <v>7</v>
      </c>
      <c r="I197" s="9" t="n">
        <v>6</v>
      </c>
      <c r="J197" s="9" t="n">
        <v>2</v>
      </c>
      <c r="K197" s="9" t="n">
        <v>0</v>
      </c>
      <c r="L197" s="9" t="n">
        <v>0</v>
      </c>
      <c r="M197" s="9" t="n">
        <v>768</v>
      </c>
      <c r="N197" s="9" t="n">
        <v>0</v>
      </c>
      <c r="O197" s="9" t="n">
        <v>13</v>
      </c>
      <c r="P197" s="9" t="n">
        <v>781</v>
      </c>
      <c r="Q197" s="9" t="n">
        <v>0</v>
      </c>
      <c r="R197" s="10" t="n">
        <v>2319</v>
      </c>
      <c r="S197" s="10" t="n">
        <v>0</v>
      </c>
      <c r="T197" s="10" t="n">
        <v>0</v>
      </c>
      <c r="U197" s="10" t="n">
        <v>2319</v>
      </c>
      <c r="V197" s="10" t="n">
        <v>0</v>
      </c>
    </row>
    <row r="198">
      <c r="A198" s="7" t="n">
        <v>197</v>
      </c>
      <c r="B198" s="8" t="inlineStr">
        <is>
          <t>|Kothapally</t>
        </is>
      </c>
      <c r="C198" s="9" t="n">
        <v>397</v>
      </c>
      <c r="D198" s="9" t="n">
        <v>170</v>
      </c>
      <c r="E198" s="9" t="n">
        <v>4</v>
      </c>
      <c r="F198" s="9" t="n">
        <v>0</v>
      </c>
      <c r="G198" s="9" t="n">
        <v>4</v>
      </c>
      <c r="H198" s="9" t="n">
        <v>1</v>
      </c>
      <c r="I198" s="9" t="n">
        <v>2</v>
      </c>
      <c r="J198" s="9" t="n">
        <v>0</v>
      </c>
      <c r="K198" s="9" t="n">
        <v>1</v>
      </c>
      <c r="L198" s="9" t="n">
        <v>0</v>
      </c>
      <c r="M198" s="9" t="n">
        <v>594</v>
      </c>
      <c r="N198" s="9" t="n">
        <v>0</v>
      </c>
      <c r="O198" s="9" t="n">
        <v>7</v>
      </c>
      <c r="P198" s="9" t="n">
        <v>601</v>
      </c>
      <c r="Q198" s="9" t="n">
        <v>0</v>
      </c>
      <c r="R198" s="10" t="n">
        <v>1781</v>
      </c>
      <c r="S198" s="10" t="n">
        <v>0</v>
      </c>
      <c r="T198" s="10" t="n">
        <v>0</v>
      </c>
      <c r="U198" s="10" t="n">
        <v>1781</v>
      </c>
      <c r="V198" s="10" t="n">
        <v>0</v>
      </c>
    </row>
    <row r="199">
      <c r="A199" s="7" t="n">
        <v>198</v>
      </c>
      <c r="B199" s="8" t="inlineStr">
        <is>
          <t>|Kothapally</t>
        </is>
      </c>
      <c r="C199" s="9" t="n">
        <v>329</v>
      </c>
      <c r="D199" s="9" t="n">
        <v>159</v>
      </c>
      <c r="E199" s="9" t="n">
        <v>0</v>
      </c>
      <c r="F199" s="9" t="n">
        <v>3</v>
      </c>
      <c r="G199" s="9" t="n">
        <v>0</v>
      </c>
      <c r="H199" s="9" t="n">
        <v>1</v>
      </c>
      <c r="I199" s="9" t="n">
        <v>0</v>
      </c>
      <c r="J199" s="9" t="n">
        <v>0</v>
      </c>
      <c r="K199" s="9" t="n">
        <v>1</v>
      </c>
      <c r="L199" s="9" t="n">
        <v>0</v>
      </c>
      <c r="M199" s="9" t="n">
        <v>493</v>
      </c>
      <c r="N199" s="9" t="n">
        <v>0</v>
      </c>
      <c r="O199" s="9" t="n">
        <v>6</v>
      </c>
      <c r="P199" s="9" t="n">
        <v>499</v>
      </c>
      <c r="Q199" s="9" t="n">
        <v>0</v>
      </c>
      <c r="R199" s="10" t="n">
        <v>1491</v>
      </c>
      <c r="S199" s="10" t="n">
        <v>0</v>
      </c>
      <c r="T199" s="10" t="n">
        <v>0</v>
      </c>
      <c r="U199" s="10" t="n">
        <v>1491</v>
      </c>
      <c r="V199" s="10" t="n">
        <v>0</v>
      </c>
    </row>
    <row r="200">
      <c r="A200" s="7" t="n">
        <v>199</v>
      </c>
      <c r="B200" s="8" t="inlineStr">
        <is>
          <t>|Kothapally</t>
        </is>
      </c>
      <c r="C200" s="9" t="n">
        <v>269</v>
      </c>
      <c r="D200" s="9" t="n">
        <v>156</v>
      </c>
      <c r="E200" s="9" t="n">
        <v>0</v>
      </c>
      <c r="F200" s="9" t="n">
        <v>5</v>
      </c>
      <c r="G200" s="9" t="n">
        <v>0</v>
      </c>
      <c r="H200" s="9" t="n">
        <v>0</v>
      </c>
      <c r="I200" s="9" t="n">
        <v>2</v>
      </c>
      <c r="J200" s="9" t="n">
        <v>0</v>
      </c>
      <c r="K200" s="9" t="n">
        <v>0</v>
      </c>
      <c r="L200" s="9" t="n">
        <v>3</v>
      </c>
      <c r="M200" s="9" t="n">
        <v>435</v>
      </c>
      <c r="N200" s="9" t="n">
        <v>0</v>
      </c>
      <c r="O200" s="9" t="n">
        <v>4</v>
      </c>
      <c r="P200" s="9" t="n">
        <v>439</v>
      </c>
      <c r="Q200" s="9" t="n">
        <v>0</v>
      </c>
      <c r="R200" s="10" t="n">
        <v>1313</v>
      </c>
      <c r="S200" s="10" t="n">
        <v>0</v>
      </c>
      <c r="T200" s="10" t="n">
        <v>0</v>
      </c>
      <c r="U200" s="10" t="n">
        <v>1313</v>
      </c>
      <c r="V200" s="10" t="n">
        <v>0</v>
      </c>
    </row>
    <row r="201">
      <c r="A201" s="7" t="n">
        <v>200</v>
      </c>
      <c r="B201" s="8" t="inlineStr">
        <is>
          <t>|EllanthaKunta</t>
        </is>
      </c>
      <c r="C201" s="9" t="n">
        <v>478</v>
      </c>
      <c r="D201" s="9" t="n">
        <v>298</v>
      </c>
      <c r="E201" s="9" t="n">
        <v>6</v>
      </c>
      <c r="F201" s="9" t="n">
        <v>15</v>
      </c>
      <c r="G201" s="9" t="n">
        <v>29</v>
      </c>
      <c r="H201" s="9" t="n">
        <v>3</v>
      </c>
      <c r="I201" s="9" t="n">
        <v>8</v>
      </c>
      <c r="J201" s="9" t="n">
        <v>2</v>
      </c>
      <c r="K201" s="9" t="n">
        <v>2</v>
      </c>
      <c r="L201" s="9" t="n">
        <v>24</v>
      </c>
      <c r="M201" s="9" t="n">
        <v>865</v>
      </c>
      <c r="N201" s="9" t="n">
        <v>0</v>
      </c>
      <c r="O201" s="9" t="n">
        <v>29</v>
      </c>
      <c r="P201" s="9" t="n">
        <v>894</v>
      </c>
      <c r="Q201" s="9" t="n">
        <v>0</v>
      </c>
      <c r="R201" s="10" t="n">
        <v>2653</v>
      </c>
      <c r="S201" s="10" t="n">
        <v>0</v>
      </c>
      <c r="T201" s="10" t="n">
        <v>0</v>
      </c>
      <c r="U201" s="10" t="n">
        <v>2653</v>
      </c>
      <c r="V201" s="10" t="n">
        <v>0</v>
      </c>
    </row>
    <row r="202">
      <c r="A202" s="7" t="n">
        <v>201</v>
      </c>
      <c r="B202" s="8" t="inlineStr">
        <is>
          <t>|Ellanthakunta</t>
        </is>
      </c>
      <c r="C202" s="9" t="n">
        <v>458</v>
      </c>
      <c r="D202" s="9" t="n">
        <v>308</v>
      </c>
      <c r="E202" s="9" t="n">
        <v>7</v>
      </c>
      <c r="F202" s="9" t="n">
        <v>4</v>
      </c>
      <c r="G202" s="9" t="n">
        <v>28</v>
      </c>
      <c r="H202" s="9" t="n">
        <v>2</v>
      </c>
      <c r="I202" s="9" t="n">
        <v>0</v>
      </c>
      <c r="J202" s="9" t="n">
        <v>2</v>
      </c>
      <c r="K202" s="9" t="n">
        <v>0</v>
      </c>
      <c r="L202" s="9" t="n">
        <v>10</v>
      </c>
      <c r="M202" s="9" t="n">
        <v>826</v>
      </c>
      <c r="N202" s="9" t="n">
        <v>0</v>
      </c>
      <c r="O202" s="9" t="n">
        <v>1</v>
      </c>
      <c r="P202" s="9" t="n">
        <v>837</v>
      </c>
      <c r="Q202" s="9" t="n">
        <v>0</v>
      </c>
      <c r="R202" s="10" t="n">
        <v>2483</v>
      </c>
      <c r="S202" s="10" t="n">
        <v>0</v>
      </c>
      <c r="T202" s="10" t="n">
        <v>0</v>
      </c>
      <c r="U202" s="10" t="n">
        <v>2483</v>
      </c>
      <c r="V202" s="10" t="n">
        <v>0</v>
      </c>
    </row>
    <row r="203">
      <c r="A203" s="7" t="n">
        <v>202</v>
      </c>
      <c r="B203" s="8" t="inlineStr">
        <is>
          <t>|Ellanthakunta</t>
        </is>
      </c>
      <c r="C203" s="9" t="n">
        <v>491</v>
      </c>
      <c r="D203" s="9" t="n">
        <v>282</v>
      </c>
      <c r="E203" s="9" t="n">
        <v>5</v>
      </c>
      <c r="F203" s="9" t="n">
        <v>2</v>
      </c>
      <c r="G203" s="9" t="n">
        <v>33</v>
      </c>
      <c r="H203" s="9" t="n">
        <v>1</v>
      </c>
      <c r="I203" s="9" t="n">
        <v>7</v>
      </c>
      <c r="J203" s="9" t="n">
        <v>0</v>
      </c>
      <c r="K203" s="9" t="n">
        <v>5</v>
      </c>
      <c r="L203" s="9" t="n">
        <v>12</v>
      </c>
      <c r="M203" s="9" t="n">
        <v>838</v>
      </c>
      <c r="N203" s="9" t="n">
        <v>0</v>
      </c>
      <c r="O203" s="9" t="n">
        <v>22</v>
      </c>
      <c r="P203" s="9" t="n">
        <v>860</v>
      </c>
      <c r="Q203" s="9" t="n">
        <v>0</v>
      </c>
      <c r="R203" s="10" t="n">
        <v>2558</v>
      </c>
      <c r="S203" s="10" t="n">
        <v>0</v>
      </c>
      <c r="T203" s="10" t="n">
        <v>0</v>
      </c>
      <c r="U203" s="10" t="n">
        <v>2558</v>
      </c>
      <c r="V203" s="10" t="n">
        <v>0</v>
      </c>
    </row>
    <row r="204">
      <c r="A204" s="7" t="n">
        <v>203</v>
      </c>
      <c r="B204" s="8" t="inlineStr">
        <is>
          <t>|Sreeramula palli</t>
        </is>
      </c>
      <c r="C204" s="9" t="n">
        <v>297</v>
      </c>
      <c r="D204" s="9" t="n">
        <v>113</v>
      </c>
      <c r="E204" s="9" t="n">
        <v>4</v>
      </c>
      <c r="F204" s="9" t="n">
        <v>3</v>
      </c>
      <c r="G204" s="9" t="n">
        <v>1</v>
      </c>
      <c r="H204" s="9" t="n">
        <v>0</v>
      </c>
      <c r="I204" s="9" t="n">
        <v>2</v>
      </c>
      <c r="J204" s="9" t="n">
        <v>0</v>
      </c>
      <c r="K204" s="9" t="n">
        <v>0</v>
      </c>
      <c r="L204" s="9" t="n">
        <v>5</v>
      </c>
      <c r="M204" s="9" t="n">
        <v>425</v>
      </c>
      <c r="N204" s="9" t="n">
        <v>0</v>
      </c>
      <c r="O204" s="9" t="n">
        <v>6</v>
      </c>
      <c r="P204" s="9" t="n">
        <v>431</v>
      </c>
      <c r="Q204" s="9" t="n">
        <v>0</v>
      </c>
      <c r="R204" s="10" t="n">
        <v>1287</v>
      </c>
      <c r="S204" s="10" t="n">
        <v>0</v>
      </c>
      <c r="T204" s="10" t="n">
        <v>0</v>
      </c>
      <c r="U204" s="10" t="n">
        <v>1287</v>
      </c>
      <c r="V204" s="10" t="n">
        <v>0</v>
      </c>
    </row>
    <row r="205">
      <c r="A205" s="7" t="n">
        <v>204</v>
      </c>
      <c r="B205" s="8" t="inlineStr">
        <is>
          <t>|Sreeramula palli</t>
        </is>
      </c>
      <c r="C205" s="9" t="n">
        <v>495</v>
      </c>
      <c r="D205" s="9" t="n">
        <v>196</v>
      </c>
      <c r="E205" s="9" t="n">
        <v>4</v>
      </c>
      <c r="F205" s="9" t="n">
        <v>3</v>
      </c>
      <c r="G205" s="9" t="n">
        <v>2</v>
      </c>
      <c r="H205" s="9" t="n">
        <v>0</v>
      </c>
      <c r="I205" s="9" t="n">
        <v>3</v>
      </c>
      <c r="J205" s="9" t="n">
        <v>0</v>
      </c>
      <c r="K205" s="9" t="n">
        <v>0</v>
      </c>
      <c r="L205" s="9" t="n">
        <v>3</v>
      </c>
      <c r="M205" s="9" t="n">
        <v>704</v>
      </c>
      <c r="N205" s="9" t="n">
        <v>0</v>
      </c>
      <c r="O205" s="9" t="n">
        <v>6</v>
      </c>
      <c r="P205" s="9" t="n">
        <v>710</v>
      </c>
      <c r="Q205" s="9" t="n">
        <v>0</v>
      </c>
      <c r="R205" s="10" t="n">
        <v>2126</v>
      </c>
      <c r="S205" s="10" t="n">
        <v>0</v>
      </c>
      <c r="T205" s="10" t="n">
        <v>0</v>
      </c>
      <c r="U205" s="10" t="n">
        <v>2126</v>
      </c>
      <c r="V205" s="10" t="n">
        <v>0</v>
      </c>
    </row>
    <row r="206">
      <c r="A206" s="7" t="n">
        <v>205</v>
      </c>
      <c r="B206" s="8" t="inlineStr">
        <is>
          <t>|Sirsedu</t>
        </is>
      </c>
      <c r="C206" s="9" t="n">
        <v>94</v>
      </c>
      <c r="D206" s="9" t="n">
        <v>192</v>
      </c>
      <c r="E206" s="9" t="n">
        <v>2</v>
      </c>
      <c r="F206" s="9" t="n">
        <v>4</v>
      </c>
      <c r="G206" s="9" t="n">
        <v>4</v>
      </c>
      <c r="H206" s="9" t="n">
        <v>2</v>
      </c>
      <c r="I206" s="9" t="n">
        <v>6</v>
      </c>
      <c r="J206" s="9" t="n">
        <v>2</v>
      </c>
      <c r="K206" s="9" t="n">
        <v>2</v>
      </c>
      <c r="L206" s="9" t="n">
        <v>12</v>
      </c>
      <c r="M206" s="9" t="n">
        <v>607</v>
      </c>
      <c r="N206" s="9" t="n">
        <v>0</v>
      </c>
      <c r="O206" s="9" t="n">
        <v>13</v>
      </c>
      <c r="P206" s="9" t="n">
        <v>620</v>
      </c>
      <c r="Q206" s="9" t="n">
        <v>0</v>
      </c>
      <c r="R206" s="10" t="n">
        <v>1560</v>
      </c>
      <c r="S206" s="10" t="n">
        <v>0</v>
      </c>
      <c r="T206" s="10" t="n">
        <v>0</v>
      </c>
      <c r="U206" s="10" t="n">
        <v>1560</v>
      </c>
      <c r="V206" s="10" t="n">
        <v>0</v>
      </c>
    </row>
    <row r="207">
      <c r="A207" s="7" t="n">
        <v>206</v>
      </c>
      <c r="B207" s="8" t="inlineStr">
        <is>
          <t>|Sirsedu</t>
        </is>
      </c>
      <c r="C207" s="9" t="n">
        <v>470</v>
      </c>
      <c r="D207" s="9" t="n">
        <v>263</v>
      </c>
      <c r="E207" s="9" t="n">
        <v>3</v>
      </c>
      <c r="F207" s="9" t="n">
        <v>2</v>
      </c>
      <c r="G207" s="9" t="n">
        <v>0</v>
      </c>
      <c r="H207" s="9" t="n">
        <v>0</v>
      </c>
      <c r="I207" s="9" t="n">
        <v>5</v>
      </c>
      <c r="J207" s="9" t="n">
        <v>4</v>
      </c>
      <c r="K207" s="9" t="n">
        <v>0</v>
      </c>
      <c r="L207" s="9" t="n">
        <v>7</v>
      </c>
      <c r="M207" s="9" t="n">
        <v>752</v>
      </c>
      <c r="N207" s="9" t="n">
        <v>0</v>
      </c>
      <c r="O207" s="9" t="n">
        <v>7</v>
      </c>
      <c r="P207" s="9" t="n">
        <v>759</v>
      </c>
      <c r="Q207" s="9" t="n">
        <v>0</v>
      </c>
      <c r="R207" s="10" t="n">
        <v>2272</v>
      </c>
      <c r="S207" s="10" t="n">
        <v>0</v>
      </c>
      <c r="T207" s="10" t="n">
        <v>0</v>
      </c>
      <c r="U207" s="10" t="n">
        <v>2272</v>
      </c>
      <c r="V207" s="10" t="n">
        <v>0</v>
      </c>
    </row>
    <row r="208">
      <c r="A208" s="7" t="n">
        <v>207</v>
      </c>
      <c r="B208" s="8" t="inlineStr">
        <is>
          <t>|Marrivanipalli h/o
Lid</t>
        </is>
      </c>
      <c r="C208" s="9" t="n">
        <v>981</v>
      </c>
      <c r="D208" s="9" t="n">
        <v>255</v>
      </c>
      <c r="E208" s="9" t="n">
        <v>3</v>
      </c>
      <c r="F208" s="9" t="n">
        <v>0</v>
      </c>
      <c r="G208" s="9" t="n">
        <v>2</v>
      </c>
      <c r="H208" s="9" t="n">
        <v>0</v>
      </c>
      <c r="I208" s="9" t="n">
        <v>5</v>
      </c>
      <c r="J208" s="9" t="n">
        <v>1</v>
      </c>
      <c r="K208" s="9" t="n">
        <v>2</v>
      </c>
      <c r="L208" s="9" t="n">
        <v>13</v>
      </c>
      <c r="M208" s="9" t="n">
        <v>662</v>
      </c>
      <c r="N208" s="9" t="n">
        <v>0</v>
      </c>
      <c r="O208" s="9" t="n">
        <v>10</v>
      </c>
      <c r="P208" s="9" t="n">
        <v>67</v>
      </c>
      <c r="Q208" s="9" t="n">
        <v>0</v>
      </c>
      <c r="R208" s="10" t="n">
        <v>2001</v>
      </c>
      <c r="S208" s="10" t="n">
        <v>0</v>
      </c>
      <c r="T208" s="10" t="n">
        <v>0</v>
      </c>
      <c r="U208" s="10" t="n">
        <v>2001</v>
      </c>
      <c r="V208" s="10" t="n">
        <v>0</v>
      </c>
    </row>
    <row r="209">
      <c r="A209" s="7" t="n">
        <v>208</v>
      </c>
      <c r="B209" s="8" t="inlineStr">
        <is>
          <t>|Bogampad h/o
208 I Ciresid</t>
        </is>
      </c>
      <c r="C209" s="9" t="n">
        <v>278</v>
      </c>
      <c r="D209" s="9" t="n">
        <v>196</v>
      </c>
      <c r="E209" s="9" t="n">
        <v>6</v>
      </c>
      <c r="F209" s="9" t="n">
        <v>13</v>
      </c>
      <c r="G209" s="9" t="n">
        <v>0</v>
      </c>
      <c r="H209" s="9" t="n">
        <v>0</v>
      </c>
      <c r="I209" s="9" t="n">
        <v>8</v>
      </c>
      <c r="J209" s="9" t="n">
        <v>1</v>
      </c>
      <c r="K209" s="9" t="n">
        <v>1</v>
      </c>
      <c r="L209" s="9" t="n">
        <v>7</v>
      </c>
      <c r="M209" s="9" t="n">
        <v>510</v>
      </c>
      <c r="N209" s="9" t="n">
        <v>0</v>
      </c>
      <c r="O209" s="9" t="n">
        <v>4</v>
      </c>
      <c r="P209" s="9" t="n">
        <v>514</v>
      </c>
      <c r="Q209" s="9" t="n">
        <v>0</v>
      </c>
      <c r="R209" s="10" t="n">
        <v>1538</v>
      </c>
      <c r="S209" s="10" t="n">
        <v>0</v>
      </c>
      <c r="T209" s="10" t="n">
        <v>0</v>
      </c>
      <c r="U209" s="10" t="n">
        <v>1538</v>
      </c>
      <c r="V209" s="10" t="n">
        <v>0</v>
      </c>
    </row>
    <row r="210">
      <c r="A210" s="7" t="n">
        <v>209</v>
      </c>
      <c r="B210" s="8" t="inlineStr">
        <is>
          <t>|Patharlapalli</t>
        </is>
      </c>
      <c r="C210" s="9" t="n">
        <v>320</v>
      </c>
      <c r="D210" s="9" t="n">
        <v>374</v>
      </c>
      <c r="E210" s="9" t="n">
        <v>8</v>
      </c>
      <c r="F210" s="9" t="n">
        <v>13</v>
      </c>
      <c r="G210" s="9" t="n">
        <v>0</v>
      </c>
      <c r="H210" s="9" t="n">
        <v>4</v>
      </c>
      <c r="I210" s="9" t="n">
        <v>5</v>
      </c>
      <c r="J210" s="9" t="n">
        <v>0</v>
      </c>
      <c r="K210" s="9" t="n">
        <v>1</v>
      </c>
      <c r="L210" s="9" t="n">
        <v>13</v>
      </c>
      <c r="M210" s="9" t="n">
        <v>735</v>
      </c>
      <c r="N210" s="9" t="n">
        <v>0</v>
      </c>
      <c r="O210" s="9" t="n">
        <v>10</v>
      </c>
      <c r="P210" s="9" t="n">
        <v>745</v>
      </c>
      <c r="Q210" s="9" t="n">
        <v>0</v>
      </c>
      <c r="R210" s="10" t="n">
        <v>2228</v>
      </c>
      <c r="S210" s="10" t="n">
        <v>0</v>
      </c>
      <c r="T210" s="10" t="n">
        <v>0</v>
      </c>
      <c r="U210" s="10" t="n">
        <v>2228</v>
      </c>
      <c r="V210" s="10" t="n">
        <v>0</v>
      </c>
    </row>
    <row r="211">
      <c r="A211" s="7" t="n">
        <v>210</v>
      </c>
      <c r="B211" s="8" t="inlineStr">
        <is>
          <t>|Sirsedu</t>
        </is>
      </c>
      <c r="C211" s="9" t="n">
        <v>470</v>
      </c>
      <c r="D211" s="9" t="n">
        <v>256</v>
      </c>
      <c r="E211" s="9" t="n">
        <v>4</v>
      </c>
      <c r="F211" s="9" t="n">
        <v>3</v>
      </c>
      <c r="G211" s="9" t="n">
        <v>0</v>
      </c>
      <c r="H211" s="9" t="n">
        <v>1</v>
      </c>
      <c r="I211" s="9" t="n">
        <v>5</v>
      </c>
      <c r="J211" s="9" t="n">
        <v>0</v>
      </c>
      <c r="K211" s="9" t="n">
        <v>0</v>
      </c>
      <c r="L211" s="9" t="n">
        <v>7</v>
      </c>
      <c r="M211" s="9" t="n">
        <v>746</v>
      </c>
      <c r="N211" s="9" t="n">
        <v>0</v>
      </c>
      <c r="O211" s="9" t="n">
        <v>7</v>
      </c>
      <c r="P211" s="9" t="n">
        <v>753</v>
      </c>
      <c r="Q211" s="9" t="n">
        <v>0</v>
      </c>
      <c r="R211" s="10" t="n">
        <v>2252</v>
      </c>
      <c r="S211" s="10" t="n">
        <v>0</v>
      </c>
      <c r="T211" s="10" t="n">
        <v>0</v>
      </c>
      <c r="U211" s="10" t="n">
        <v>2252</v>
      </c>
      <c r="V211" s="10" t="n">
        <v>0</v>
      </c>
    </row>
    <row r="212">
      <c r="A212" s="7" t="n">
        <v>212</v>
      </c>
      <c r="B212" s="8" t="inlineStr">
        <is>
          <t>|Mallial</t>
        </is>
      </c>
      <c r="C212" s="9" t="n">
        <v>495</v>
      </c>
      <c r="D212" s="9" t="n">
        <v>456</v>
      </c>
      <c r="E212" s="9" t="n">
        <v>2</v>
      </c>
      <c r="F212" s="9" t="n">
        <v>7</v>
      </c>
      <c r="G212" s="9" t="n">
        <v>0</v>
      </c>
      <c r="H212" s="9" t="n">
        <v>0</v>
      </c>
      <c r="I212" s="9" t="n">
        <v>5</v>
      </c>
      <c r="J212" s="9" t="n">
        <v>1</v>
      </c>
      <c r="K212" s="9" t="n">
        <v>1</v>
      </c>
      <c r="L212" s="9" t="n">
        <v>13</v>
      </c>
      <c r="M212" s="9" t="n">
        <v>980</v>
      </c>
      <c r="N212" s="9" t="n">
        <v>0</v>
      </c>
      <c r="O212" s="9" t="n">
        <v>10</v>
      </c>
      <c r="P212" s="9" t="n">
        <v>990</v>
      </c>
      <c r="Q212" s="9" t="n">
        <v>0</v>
      </c>
      <c r="R212" s="10" t="n">
        <v>2960</v>
      </c>
      <c r="S212" s="10" t="n">
        <v>0</v>
      </c>
      <c r="T212" s="10" t="n">
        <v>0</v>
      </c>
      <c r="U212" s="10" t="n">
        <v>2960</v>
      </c>
      <c r="V212" s="10" t="n">
        <v>0</v>
      </c>
    </row>
    <row r="213">
      <c r="A213" s="7" t="n">
        <v>213</v>
      </c>
      <c r="B213" s="8" t="inlineStr">
        <is>
          <t>|Laxmaji
Mallial</t>
        </is>
      </c>
      <c r="C213" s="9" t="n">
        <v>314</v>
      </c>
      <c r="D213" s="9" t="n">
        <v>285</v>
      </c>
      <c r="E213" s="9" t="n">
        <v>5</v>
      </c>
      <c r="F213" s="9" t="n">
        <v>6</v>
      </c>
      <c r="G213" s="9" t="n">
        <v>0</v>
      </c>
      <c r="H213" s="9" t="n">
        <v>0</v>
      </c>
      <c r="I213" s="9" t="n">
        <v>1</v>
      </c>
      <c r="J213" s="9" t="n">
        <v>3</v>
      </c>
      <c r="K213" s="9" t="n">
        <v>2</v>
      </c>
      <c r="L213" s="9" t="n">
        <v>12</v>
      </c>
      <c r="M213" s="9" t="n">
        <v>628</v>
      </c>
      <c r="N213" s="9" t="n">
        <v>0</v>
      </c>
      <c r="O213" s="9" t="n">
        <v>25</v>
      </c>
      <c r="P213" s="9" t="n">
        <v>653</v>
      </c>
      <c r="Q213" s="9" t="n">
        <v>0</v>
      </c>
      <c r="R213" s="10" t="n">
        <v>1934</v>
      </c>
      <c r="S213" s="10" t="n">
        <v>0</v>
      </c>
      <c r="T213" s="10" t="n">
        <v>0</v>
      </c>
      <c r="U213" s="10" t="n">
        <v>1934</v>
      </c>
      <c r="V213" s="10" t="n">
        <v>0</v>
      </c>
    </row>
    <row r="214">
      <c r="A214" s="7" t="n">
        <v>214</v>
      </c>
      <c r="B214" s="8" t="inlineStr">
        <is>
          <t>|Laxmajipalli h/o
214 Tees</t>
        </is>
      </c>
      <c r="C214" s="9" t="n">
        <v>140</v>
      </c>
      <c r="D214" s="9" t="n">
        <v>227</v>
      </c>
      <c r="E214" s="9" t="n">
        <v>2</v>
      </c>
      <c r="F214" s="9" t="n">
        <v>2</v>
      </c>
      <c r="G214" s="9" t="n">
        <v>0</v>
      </c>
      <c r="H214" s="9" t="n">
        <v>0</v>
      </c>
      <c r="I214" s="9" t="n">
        <v>2</v>
      </c>
      <c r="J214" s="9" t="n">
        <v>0</v>
      </c>
      <c r="K214" s="9" t="n">
        <v>2</v>
      </c>
      <c r="L214" s="9" t="n">
        <v>5</v>
      </c>
      <c r="M214" s="9" t="n">
        <v>380</v>
      </c>
      <c r="N214" s="9" t="n">
        <v>0</v>
      </c>
      <c r="O214" s="9" t="n">
        <v>4</v>
      </c>
      <c r="P214" s="9" t="n">
        <v>384</v>
      </c>
      <c r="Q214" s="9" t="n">
        <v>0</v>
      </c>
      <c r="R214" s="10" t="n">
        <v>1148</v>
      </c>
      <c r="S214" s="10" t="n">
        <v>0</v>
      </c>
      <c r="T214" s="10" t="n">
        <v>0</v>
      </c>
      <c r="U214" s="10" t="n">
        <v>1148</v>
      </c>
      <c r="V214" s="10" t="n">
        <v>0</v>
      </c>
    </row>
    <row r="215">
      <c r="A215" s="7" t="n">
        <v>215</v>
      </c>
      <c r="B215" s="8" t="inlineStr">
        <is>
          <t>|Kanagarthy</t>
        </is>
      </c>
      <c r="C215" s="9" t="n">
        <v>611</v>
      </c>
      <c r="D215" s="9" t="n">
        <v>193</v>
      </c>
      <c r="E215" s="9" t="n">
        <v>4</v>
      </c>
      <c r="F215" s="9" t="n">
        <v>6</v>
      </c>
      <c r="G215" s="9" t="n">
        <v>0</v>
      </c>
      <c r="H215" s="9" t="n">
        <v>0</v>
      </c>
      <c r="I215" s="9" t="n">
        <v>5</v>
      </c>
      <c r="J215" s="9" t="n">
        <v>1</v>
      </c>
      <c r="K215" s="9" t="n">
        <v>0</v>
      </c>
      <c r="L215" s="9" t="n">
        <v>18</v>
      </c>
      <c r="M215" s="9" t="n">
        <v>838</v>
      </c>
      <c r="N215" s="9" t="n">
        <v>0</v>
      </c>
      <c r="O215" s="9" t="n">
        <v>18</v>
      </c>
      <c r="P215" s="9" t="n">
        <v>856</v>
      </c>
      <c r="Q215" s="9" t="n">
        <v>0</v>
      </c>
      <c r="R215" s="10" t="n">
        <v>2550</v>
      </c>
      <c r="S215" s="10" t="n">
        <v>0</v>
      </c>
      <c r="T215" s="10" t="n">
        <v>0</v>
      </c>
      <c r="U215" s="10" t="n">
        <v>2550</v>
      </c>
      <c r="V215" s="10" t="n">
        <v>0</v>
      </c>
    </row>
    <row r="216">
      <c r="A216" s="7" t="n">
        <v>216</v>
      </c>
      <c r="B216" s="8" t="inlineStr">
        <is>
          <t>|Kanagarthy</t>
        </is>
      </c>
      <c r="C216" s="9" t="n">
        <v>582</v>
      </c>
      <c r="D216" s="9" t="n">
        <v>243</v>
      </c>
      <c r="E216" s="9" t="n">
        <v>4</v>
      </c>
      <c r="F216" s="9" t="n">
        <v>4</v>
      </c>
      <c r="G216" s="9" t="n">
        <v>2</v>
      </c>
      <c r="H216" s="9" t="n">
        <v>0</v>
      </c>
      <c r="I216" s="9" t="n">
        <v>5</v>
      </c>
      <c r="J216" s="9" t="n">
        <v>0</v>
      </c>
      <c r="K216" s="9" t="n">
        <v>4</v>
      </c>
      <c r="L216" s="9" t="n">
        <v>7</v>
      </c>
      <c r="M216" s="9" t="n">
        <v>861</v>
      </c>
      <c r="N216" s="9" t="n">
        <v>0</v>
      </c>
      <c r="O216" s="9" t="n">
        <v>16</v>
      </c>
      <c r="P216" s="9" t="n">
        <v>877</v>
      </c>
      <c r="Q216" s="9" t="n">
        <v>0</v>
      </c>
      <c r="R216" s="10" t="n">
        <v>2605</v>
      </c>
      <c r="S216" s="10" t="n">
        <v>0</v>
      </c>
      <c r="T216" s="10" t="n">
        <v>0</v>
      </c>
      <c r="U216" s="10" t="n">
        <v>2605</v>
      </c>
      <c r="V216" s="10" t="n">
        <v>0</v>
      </c>
    </row>
    <row r="217">
      <c r="A217" s="7" t="n">
        <v>217</v>
      </c>
      <c r="B217" s="8" t="inlineStr">
        <is>
          <t>|Madipalli</t>
        </is>
      </c>
      <c r="C217" s="9" t="n">
        <v>449</v>
      </c>
      <c r="D217" s="9" t="n">
        <v>160</v>
      </c>
      <c r="E217" s="9" t="n">
        <v>10</v>
      </c>
      <c r="F217" s="9" t="n">
        <v>3</v>
      </c>
      <c r="G217" s="9" t="n">
        <v>3</v>
      </c>
      <c r="H217" s="9" t="n">
        <v>4</v>
      </c>
      <c r="I217" s="9" t="n">
        <v>3</v>
      </c>
      <c r="J217" s="9" t="n">
        <v>0</v>
      </c>
      <c r="K217" s="9" t="n">
        <v>6</v>
      </c>
      <c r="L217" s="9" t="n">
        <v>14</v>
      </c>
      <c r="M217" s="9" t="n">
        <v>652</v>
      </c>
      <c r="N217" s="9" t="n">
        <v>0</v>
      </c>
      <c r="O217" s="9" t="n">
        <v>14</v>
      </c>
      <c r="P217" s="9" t="n">
        <v>666</v>
      </c>
      <c r="Q217" s="9" t="n">
        <v>0</v>
      </c>
      <c r="R217" s="10" t="n">
        <v>1984</v>
      </c>
      <c r="S217" s="10" t="n">
        <v>0</v>
      </c>
      <c r="T217" s="10" t="n">
        <v>0</v>
      </c>
      <c r="U217" s="10" t="n">
        <v>1984</v>
      </c>
      <c r="V217" s="10" t="n">
        <v>0</v>
      </c>
    </row>
    <row r="218">
      <c r="A218" s="7" t="n">
        <v>218</v>
      </c>
      <c r="B218" s="8" t="inlineStr">
        <is>
          <t>|Madipalli</t>
        </is>
      </c>
      <c r="C218" s="9" t="n">
        <v>476</v>
      </c>
      <c r="D218" s="9" t="n">
        <v>205</v>
      </c>
      <c r="E218" s="9" t="n">
        <v>0</v>
      </c>
      <c r="F218" s="9" t="n">
        <v>4</v>
      </c>
      <c r="G218" s="9" t="n">
        <v>7</v>
      </c>
      <c r="H218" s="9" t="n">
        <v>2</v>
      </c>
      <c r="I218" s="9" t="n">
        <v>0</v>
      </c>
      <c r="J218" s="9" t="n">
        <v>1</v>
      </c>
      <c r="K218" s="9" t="n">
        <v>5</v>
      </c>
      <c r="L218" s="9" t="n">
        <v>18</v>
      </c>
      <c r="M218" s="9" t="n">
        <v>730</v>
      </c>
      <c r="N218" s="9" t="n">
        <v>0</v>
      </c>
      <c r="O218" s="9" t="n">
        <v>26</v>
      </c>
      <c r="P218" s="9" t="n">
        <v>756</v>
      </c>
      <c r="Q218" s="9" t="n">
        <v>0</v>
      </c>
      <c r="R218" s="10" t="n">
        <v>2230</v>
      </c>
      <c r="S218" s="10" t="n">
        <v>0</v>
      </c>
      <c r="T218" s="10" t="n">
        <v>0</v>
      </c>
      <c r="U218" s="10" t="n">
        <v>2230</v>
      </c>
      <c r="V218" s="10" t="n">
        <v>0</v>
      </c>
    </row>
    <row r="219">
      <c r="A219" s="7" t="n">
        <v>219</v>
      </c>
      <c r="B219" s="8" t="inlineStr">
        <is>
          <t>|Madipalli</t>
        </is>
      </c>
      <c r="C219" s="9" t="n">
        <v>679</v>
      </c>
      <c r="D219" s="9" t="n">
        <v>208</v>
      </c>
      <c r="E219" s="9" t="n">
        <v>3</v>
      </c>
      <c r="F219" s="9" t="n">
        <v>2</v>
      </c>
      <c r="G219" s="9" t="n">
        <v>1</v>
      </c>
      <c r="H219" s="9" t="n">
        <v>0</v>
      </c>
      <c r="I219" s="9" t="n">
        <v>8</v>
      </c>
      <c r="J219" s="9" t="n">
        <v>2</v>
      </c>
      <c r="K219" s="9" t="n">
        <v>4</v>
      </c>
      <c r="L219" s="9" t="n">
        <v>15</v>
      </c>
      <c r="M219" s="9" t="n">
        <v>922</v>
      </c>
      <c r="N219" s="9" t="n">
        <v>0</v>
      </c>
      <c r="O219" s="9" t="n">
        <v>16</v>
      </c>
      <c r="P219" s="9" t="n">
        <v>938</v>
      </c>
      <c r="Q219" s="9" t="n">
        <v>0</v>
      </c>
      <c r="R219" s="10" t="n">
        <v>2798</v>
      </c>
      <c r="S219" s="10" t="n">
        <v>0</v>
      </c>
      <c r="T219" s="10" t="n">
        <v>0</v>
      </c>
      <c r="U219" s="10" t="n">
        <v>2798</v>
      </c>
      <c r="V219" s="10" t="n">
        <v>0</v>
      </c>
    </row>
    <row r="220">
      <c r="A220" s="7" t="n">
        <v>220</v>
      </c>
      <c r="B220" s="8" t="inlineStr">
        <is>
          <t>|Ankushapur</t>
        </is>
      </c>
      <c r="C220" s="9" t="n">
        <v>275</v>
      </c>
      <c r="D220" s="9" t="n">
        <v>224</v>
      </c>
      <c r="E220" s="9" t="n">
        <v>0</v>
      </c>
      <c r="F220" s="9" t="n">
        <v>12</v>
      </c>
      <c r="G220" s="9" t="n">
        <v>2</v>
      </c>
      <c r="H220" s="9" t="n">
        <v>10</v>
      </c>
      <c r="I220" s="9" t="n">
        <v>0</v>
      </c>
      <c r="J220" s="9" t="n">
        <v>1</v>
      </c>
      <c r="K220" s="9" t="n">
        <v>3</v>
      </c>
      <c r="L220" s="9" t="n">
        <v>5</v>
      </c>
      <c r="M220" s="9" t="n">
        <v>532</v>
      </c>
      <c r="N220" s="9" t="n">
        <v>0</v>
      </c>
      <c r="O220" s="9" t="n">
        <v>4</v>
      </c>
      <c r="P220" s="9" t="n">
        <v>536</v>
      </c>
      <c r="Q220" s="9" t="n">
        <v>0</v>
      </c>
      <c r="R220" s="10" t="n">
        <v>1604</v>
      </c>
      <c r="S220" s="10" t="n">
        <v>0</v>
      </c>
      <c r="T220" s="10" t="n">
        <v>0</v>
      </c>
      <c r="U220" s="10" t="n">
        <v>1604</v>
      </c>
      <c r="V220" s="10" t="n">
        <v>0</v>
      </c>
    </row>
    <row r="221">
      <c r="A221" s="7" t="n">
        <v>221</v>
      </c>
      <c r="B221" s="8" t="inlineStr">
        <is>
          <t>|Bheempalli</t>
        </is>
      </c>
      <c r="C221" s="9" t="n">
        <v>238</v>
      </c>
      <c r="D221" s="9" t="n">
        <v>261</v>
      </c>
      <c r="E221" s="9" t="n">
        <v>0</v>
      </c>
      <c r="F221" s="9" t="n">
        <v>2</v>
      </c>
      <c r="G221" s="9" t="n">
        <v>0</v>
      </c>
      <c r="H221" s="9" t="n">
        <v>0</v>
      </c>
      <c r="I221" s="9" t="n">
        <v>2</v>
      </c>
      <c r="J221" s="9" t="n">
        <v>0</v>
      </c>
      <c r="K221" s="9" t="n">
        <v>2</v>
      </c>
      <c r="L221" s="9" t="n">
        <v>13</v>
      </c>
      <c r="M221" s="9" t="n">
        <v>518</v>
      </c>
      <c r="N221" s="9" t="n">
        <v>0</v>
      </c>
      <c r="O221" s="9" t="n">
        <v>3</v>
      </c>
      <c r="P221" s="9" t="n">
        <v>521</v>
      </c>
      <c r="Q221" s="9" t="n">
        <v>0</v>
      </c>
      <c r="R221" s="10" t="n">
        <v>1560</v>
      </c>
      <c r="S221" s="10" t="n">
        <v>0</v>
      </c>
      <c r="T221" s="10" t="n">
        <v>0</v>
      </c>
      <c r="U221" s="10" t="n">
        <v>1560</v>
      </c>
      <c r="V221" s="10" t="n">
        <v>0</v>
      </c>
    </row>
    <row r="222">
      <c r="A222" s="7" t="n">
        <v>222</v>
      </c>
      <c r="B222" s="8" t="inlineStr">
        <is>
          <t>|Bheempalli</t>
        </is>
      </c>
      <c r="C222" s="9" t="n">
        <v>553</v>
      </c>
      <c r="D222" s="9" t="n">
        <v>194</v>
      </c>
      <c r="E222" s="9" t="n">
        <v>4</v>
      </c>
      <c r="F222" s="9" t="n">
        <v>0</v>
      </c>
      <c r="G222" s="9" t="n">
        <v>0</v>
      </c>
      <c r="H222" s="9" t="n">
        <v>0</v>
      </c>
      <c r="I222" s="9" t="n">
        <v>6</v>
      </c>
      <c r="J222" s="9" t="n">
        <v>1</v>
      </c>
      <c r="K222" s="9" t="n">
        <v>3</v>
      </c>
      <c r="L222" s="9" t="n">
        <v>1</v>
      </c>
      <c r="M222" s="9" t="n">
        <v>772</v>
      </c>
      <c r="N222" s="9" t="n">
        <v>0</v>
      </c>
      <c r="O222" s="9" t="n">
        <v>9</v>
      </c>
      <c r="P222" s="9" t="n">
        <v>781</v>
      </c>
      <c r="Q222" s="9" t="n">
        <v>0</v>
      </c>
      <c r="R222" s="10" t="n">
        <v>2324</v>
      </c>
      <c r="S222" s="10" t="n">
        <v>0</v>
      </c>
      <c r="T222" s="10" t="n">
        <v>0</v>
      </c>
      <c r="U222" s="10" t="n">
        <v>2324</v>
      </c>
      <c r="V222" s="10" t="n">
        <v>0</v>
      </c>
    </row>
    <row r="223">
      <c r="A223" s="7" t="n">
        <v>223</v>
      </c>
      <c r="B223" s="8" t="inlineStr">
        <is>
          <t>|Bheempalii</t>
        </is>
      </c>
      <c r="C223" s="9" t="n">
        <v>531</v>
      </c>
      <c r="D223" s="9" t="n">
        <v>200</v>
      </c>
      <c r="E223" s="9" t="n">
        <v>3</v>
      </c>
      <c r="F223" s="9" t="n">
        <v>4</v>
      </c>
      <c r="G223" s="9" t="n">
        <v>2</v>
      </c>
      <c r="H223" s="9" t="n">
        <v>0</v>
      </c>
      <c r="I223" s="9" t="n">
        <v>2</v>
      </c>
      <c r="J223" s="9" t="n">
        <v>2</v>
      </c>
      <c r="K223" s="9" t="n">
        <v>0</v>
      </c>
      <c r="L223" s="9" t="n">
        <v>10</v>
      </c>
      <c r="M223" s="9" t="n">
        <v>754</v>
      </c>
      <c r="N223" s="9" t="n">
        <v>0</v>
      </c>
      <c r="O223" s="9" t="n">
        <v>7</v>
      </c>
      <c r="P223" s="9" t="n">
        <v>761</v>
      </c>
      <c r="Q223" s="9" t="n">
        <v>0</v>
      </c>
      <c r="R223" s="10" t="n">
        <v>2276</v>
      </c>
      <c r="S223" s="10" t="n">
        <v>0</v>
      </c>
      <c r="T223" s="10" t="n">
        <v>0</v>
      </c>
      <c r="U223" s="10" t="n">
        <v>2276</v>
      </c>
      <c r="V223" s="10" t="n">
        <v>0</v>
      </c>
    </row>
    <row r="224">
      <c r="A224" s="7" t="n">
        <v>224</v>
      </c>
      <c r="B224" s="8" t="inlineStr">
        <is>
          <t>|Kannur</t>
        </is>
      </c>
      <c r="C224" s="9" t="n">
        <v>432</v>
      </c>
      <c r="D224" s="9" t="n">
        <v>275</v>
      </c>
      <c r="E224" s="9" t="n">
        <v>4</v>
      </c>
      <c r="F224" s="9" t="n">
        <v>2</v>
      </c>
      <c r="G224" s="9" t="n">
        <v>0</v>
      </c>
      <c r="H224" s="9" t="n">
        <v>0</v>
      </c>
      <c r="I224" s="9" t="n">
        <v>4</v>
      </c>
      <c r="J224" s="9" t="n">
        <v>0</v>
      </c>
      <c r="K224" s="9" t="n">
        <v>0</v>
      </c>
      <c r="L224" s="9" t="n">
        <v>10</v>
      </c>
      <c r="M224" s="9" t="n">
        <v>727</v>
      </c>
      <c r="N224" s="9" t="n">
        <v>0</v>
      </c>
      <c r="O224" s="9" t="n">
        <v>3</v>
      </c>
      <c r="P224" s="9" t="n">
        <v>730</v>
      </c>
      <c r="Q224" s="9" t="n">
        <v>0</v>
      </c>
      <c r="R224" s="10" t="n">
        <v>2187</v>
      </c>
      <c r="S224" s="10" t="n">
        <v>0</v>
      </c>
      <c r="T224" s="10" t="n">
        <v>0</v>
      </c>
      <c r="U224" s="10" t="n">
        <v>2187</v>
      </c>
      <c r="V224" s="10" t="n">
        <v>0</v>
      </c>
    </row>
    <row r="225">
      <c r="A225" s="7" t="n">
        <v>225</v>
      </c>
      <c r="B225" s="8" t="inlineStr">
        <is>
          <t>|Kannur</t>
        </is>
      </c>
      <c r="C225" s="9" t="n">
        <v>256</v>
      </c>
      <c r="D225" s="9" t="n">
        <v>239</v>
      </c>
      <c r="E225" s="9" t="n">
        <v>0</v>
      </c>
      <c r="F225" s="9" t="n">
        <v>2</v>
      </c>
      <c r="G225" s="9" t="n">
        <v>0</v>
      </c>
      <c r="H225" s="9" t="n">
        <v>0</v>
      </c>
      <c r="I225" s="9" t="n">
        <v>4</v>
      </c>
      <c r="J225" s="9" t="n">
        <v>0</v>
      </c>
      <c r="K225" s="9" t="n">
        <v>0</v>
      </c>
      <c r="L225" s="9" t="n">
        <v>4</v>
      </c>
      <c r="M225" s="9" t="n">
        <v>505</v>
      </c>
      <c r="N225" s="9" t="n">
        <v>0</v>
      </c>
      <c r="O225" s="9" t="n">
        <v>1</v>
      </c>
      <c r="P225" s="9" t="n">
        <v>506</v>
      </c>
      <c r="Q225" s="9" t="n">
        <v>0</v>
      </c>
      <c r="R225" s="10" t="n">
        <v>1517</v>
      </c>
      <c r="S225" s="10" t="n">
        <v>0</v>
      </c>
      <c r="T225" s="10" t="n">
        <v>0</v>
      </c>
      <c r="U225" s="10" t="n">
        <v>1517</v>
      </c>
      <c r="V225" s="10" t="n">
        <v>0</v>
      </c>
    </row>
    <row r="226">
      <c r="A226" s="7" t="n">
        <v>226</v>
      </c>
      <c r="B226" s="8" t="inlineStr">
        <is>
          <t>|Kannur</t>
        </is>
      </c>
      <c r="C226" s="9" t="n">
        <v>620</v>
      </c>
      <c r="D226" s="9" t="n">
        <v>280</v>
      </c>
      <c r="E226" s="9" t="n">
        <v>3</v>
      </c>
      <c r="F226" s="9" t="n">
        <v>7</v>
      </c>
      <c r="G226" s="9" t="n">
        <v>0</v>
      </c>
      <c r="H226" s="9" t="n">
        <v>0</v>
      </c>
      <c r="I226" s="9" t="n">
        <v>7</v>
      </c>
      <c r="J226" s="9" t="n">
        <v>0</v>
      </c>
      <c r="K226" s="9" t="n">
        <v>2</v>
      </c>
      <c r="L226" s="9" t="n">
        <v>25</v>
      </c>
      <c r="M226" s="9" t="n">
        <v>947</v>
      </c>
      <c r="N226" s="9" t="n">
        <v>0</v>
      </c>
      <c r="O226" s="9" t="n">
        <v>13</v>
      </c>
      <c r="P226" s="9" t="n">
        <v>960</v>
      </c>
      <c r="Q226" s="9" t="n">
        <v>0</v>
      </c>
      <c r="R226" s="10" t="n">
        <v>2864</v>
      </c>
      <c r="S226" s="10" t="n">
        <v>0</v>
      </c>
      <c r="T226" s="10" t="n">
        <v>0</v>
      </c>
      <c r="U226" s="10" t="n">
        <v>2864</v>
      </c>
      <c r="V226" s="10" t="n">
        <v>0</v>
      </c>
    </row>
    <row r="227">
      <c r="A227" s="7" t="n">
        <v>227</v>
      </c>
      <c r="B227" s="8" t="inlineStr">
        <is>
          <t>|Gundedu</t>
        </is>
      </c>
      <c r="C227" s="9" t="n">
        <v>560</v>
      </c>
      <c r="D227" s="9" t="n">
        <v>154</v>
      </c>
      <c r="E227" s="9" t="n">
        <v>0</v>
      </c>
      <c r="F227" s="9" t="n">
        <v>1</v>
      </c>
      <c r="G227" s="9" t="n">
        <v>1</v>
      </c>
      <c r="H227" s="9" t="n">
        <v>0</v>
      </c>
      <c r="I227" s="9" t="n">
        <v>8</v>
      </c>
      <c r="J227" s="9" t="n">
        <v>1</v>
      </c>
      <c r="K227" s="9" t="n">
        <v>0</v>
      </c>
      <c r="L227" s="9" t="n">
        <v>14</v>
      </c>
      <c r="M227" s="9" t="n">
        <v>739</v>
      </c>
      <c r="N227" s="9" t="n">
        <v>0</v>
      </c>
      <c r="O227" s="9" t="n">
        <v>9</v>
      </c>
      <c r="P227" s="9" t="n">
        <v>748</v>
      </c>
      <c r="Q227" s="9" t="n">
        <v>0</v>
      </c>
      <c r="R227" s="10" t="n">
        <v>2235</v>
      </c>
      <c r="S227" s="10" t="n">
        <v>0</v>
      </c>
      <c r="T227" s="10" t="n">
        <v>0</v>
      </c>
      <c r="U227" s="10" t="n">
        <v>2235</v>
      </c>
      <c r="V227" s="10" t="n">
        <v>0</v>
      </c>
    </row>
    <row r="228">
      <c r="A228" s="7" t="n">
        <v>228</v>
      </c>
      <c r="B228" s="8" t="inlineStr">
        <is>
          <t>|Gundedu</t>
        </is>
      </c>
      <c r="C228" s="9" t="n">
        <v>397</v>
      </c>
      <c r="D228" s="9" t="n">
        <v>187</v>
      </c>
      <c r="E228" s="9" t="n">
        <v>1</v>
      </c>
      <c r="F228" s="9" t="n">
        <v>0</v>
      </c>
      <c r="G228" s="9" t="n">
        <v>0</v>
      </c>
      <c r="H228" s="9" t="n">
        <v>0</v>
      </c>
      <c r="I228" s="9" t="n">
        <v>2</v>
      </c>
      <c r="J228" s="9" t="n">
        <v>1</v>
      </c>
      <c r="K228" s="9" t="n">
        <v>0</v>
      </c>
      <c r="L228" s="9" t="n">
        <v>12</v>
      </c>
      <c r="M228" s="9" t="n">
        <v>570</v>
      </c>
      <c r="N228" s="9" t="n">
        <v>0</v>
      </c>
      <c r="O228" s="9" t="n">
        <v>4</v>
      </c>
      <c r="P228" s="9" t="n">
        <v>574</v>
      </c>
      <c r="Q228" s="9" t="n">
        <v>0</v>
      </c>
      <c r="R228" s="10" t="n">
        <v>1748</v>
      </c>
      <c r="S228" s="10" t="n">
        <v>0</v>
      </c>
      <c r="T228" s="10" t="n">
        <v>0</v>
      </c>
      <c r="U228" s="10" t="n">
        <v>1748</v>
      </c>
      <c r="V228" s="10" t="n">
        <v>0</v>
      </c>
    </row>
    <row r="229">
      <c r="A229" s="7" t="n">
        <v>229</v>
      </c>
      <c r="B229" s="8" t="inlineStr">
        <is>
          <t>|Marripalli gudem</t>
        </is>
      </c>
      <c r="C229" s="9" t="n">
        <v>421</v>
      </c>
      <c r="D229" s="9" t="n">
        <v>297</v>
      </c>
      <c r="E229" s="9" t="n">
        <v>7</v>
      </c>
      <c r="F229" s="9" t="n">
        <v>2</v>
      </c>
      <c r="G229" s="9" t="n">
        <v>0</v>
      </c>
      <c r="H229" s="9" t="n">
        <v>2</v>
      </c>
      <c r="I229" s="9" t="n">
        <v>4</v>
      </c>
      <c r="J229" s="9" t="n">
        <v>0</v>
      </c>
      <c r="K229" s="9" t="n">
        <v>1</v>
      </c>
      <c r="L229" s="9" t="n">
        <v>9</v>
      </c>
      <c r="M229" s="9" t="n">
        <v>743</v>
      </c>
      <c r="N229" s="9" t="n">
        <v>0</v>
      </c>
      <c r="O229" s="9" t="n">
        <v>7</v>
      </c>
      <c r="P229" s="9" t="n">
        <v>750</v>
      </c>
      <c r="Q229" s="9" t="n">
        <v>0</v>
      </c>
      <c r="R229" s="10" t="n">
        <v>2243</v>
      </c>
      <c r="S229" s="10" t="n">
        <v>0</v>
      </c>
      <c r="T229" s="10" t="n">
        <v>0</v>
      </c>
      <c r="U229" s="10" t="n">
        <v>2243</v>
      </c>
      <c r="V229" s="10" t="n">
        <v>0</v>
      </c>
    </row>
    <row r="230">
      <c r="A230" s="7" t="n">
        <v>230</v>
      </c>
      <c r="B230" s="8" t="inlineStr">
        <is>
          <t>|Marripalli gudem</t>
        </is>
      </c>
      <c r="C230" s="9" t="n">
        <v>697</v>
      </c>
      <c r="D230" s="9" t="n">
        <v>225</v>
      </c>
      <c r="E230" s="9" t="n">
        <v>5</v>
      </c>
      <c r="F230" s="9" t="n">
        <v>6</v>
      </c>
      <c r="G230" s="9" t="n">
        <v>0</v>
      </c>
      <c r="H230" s="9" t="n">
        <v>1</v>
      </c>
      <c r="I230" s="9" t="n">
        <v>7</v>
      </c>
      <c r="J230" s="9" t="n">
        <v>1</v>
      </c>
      <c r="K230" s="9" t="n">
        <v>0</v>
      </c>
      <c r="L230" s="9" t="n">
        <v>15</v>
      </c>
      <c r="M230" s="9" t="n">
        <v>957</v>
      </c>
      <c r="N230" s="9" t="n">
        <v>0</v>
      </c>
      <c r="O230" s="9" t="n">
        <v>8</v>
      </c>
      <c r="P230" s="9" t="n">
        <v>965</v>
      </c>
      <c r="Q230" s="9" t="n">
        <v>0</v>
      </c>
      <c r="R230" s="10" t="n">
        <v>2887</v>
      </c>
      <c r="S230" s="10" t="n">
        <v>0</v>
      </c>
      <c r="T230" s="10" t="n">
        <v>0</v>
      </c>
      <c r="U230" s="10" t="n">
        <v>2887</v>
      </c>
      <c r="V230" s="10" t="n">
        <v>0</v>
      </c>
    </row>
    <row r="231">
      <c r="A231" s="7" t="n">
        <v>231</v>
      </c>
      <c r="B231" s="8" t="inlineStr">
        <is>
          <t>|Marripalli gudem</t>
        </is>
      </c>
      <c r="C231" s="9" t="n">
        <v>387</v>
      </c>
      <c r="D231" s="9" t="n">
        <v>233</v>
      </c>
      <c r="E231" s="9" t="n">
        <v>6</v>
      </c>
      <c r="F231" s="9" t="n">
        <v>3</v>
      </c>
      <c r="G231" s="9" t="n">
        <v>2</v>
      </c>
      <c r="H231" s="9" t="n">
        <v>2</v>
      </c>
      <c r="I231" s="9" t="n">
        <v>4</v>
      </c>
      <c r="J231" s="9" t="n">
        <v>0</v>
      </c>
      <c r="K231" s="9" t="n">
        <v>2</v>
      </c>
      <c r="L231" s="9" t="n">
        <v>6</v>
      </c>
      <c r="M231" s="9" t="n">
        <v>645</v>
      </c>
      <c r="N231" s="9" t="n">
        <v>0</v>
      </c>
      <c r="O231" s="9" t="n">
        <v>7</v>
      </c>
      <c r="P231" s="9" t="n">
        <v>652</v>
      </c>
      <c r="Q231" s="9" t="n">
        <v>0</v>
      </c>
      <c r="R231" s="10" t="n">
        <v>1949</v>
      </c>
      <c r="S231" s="10" t="n">
        <v>0</v>
      </c>
      <c r="T231" s="10" t="n">
        <v>0</v>
      </c>
      <c r="U231" s="10" t="n">
        <v>1949</v>
      </c>
      <c r="V231" s="10" t="n">
        <v>0</v>
      </c>
    </row>
    <row r="232">
      <c r="A232" s="7" t="n">
        <v>232</v>
      </c>
      <c r="B232" s="8" t="inlineStr">
        <is>
          <t>|Marripatli gudem</t>
        </is>
      </c>
      <c r="C232" s="9" t="n">
        <v>237</v>
      </c>
      <c r="D232" s="9" t="n">
        <v>162</v>
      </c>
      <c r="E232" s="9" t="n">
        <v>2</v>
      </c>
      <c r="F232" s="9" t="n">
        <v>3</v>
      </c>
      <c r="G232" s="9" t="n">
        <v>0</v>
      </c>
      <c r="H232" s="9" t="n">
        <v>1</v>
      </c>
      <c r="I232" s="9" t="n">
        <v>0</v>
      </c>
      <c r="J232" s="9" t="n">
        <v>0</v>
      </c>
      <c r="K232" s="9" t="n">
        <v>1</v>
      </c>
      <c r="L232" s="9" t="n">
        <v>6</v>
      </c>
      <c r="M232" s="9" t="n">
        <v>412</v>
      </c>
      <c r="N232" s="9" t="n">
        <v>0</v>
      </c>
      <c r="O232" s="9" t="n">
        <v>4</v>
      </c>
      <c r="P232" s="9" t="n">
        <v>416</v>
      </c>
      <c r="Q232" s="9" t="n">
        <v>0</v>
      </c>
      <c r="R232" s="10" t="n">
        <v>1244</v>
      </c>
      <c r="S232" s="10" t="n">
        <v>0</v>
      </c>
      <c r="T232" s="10" t="n">
        <v>0</v>
      </c>
      <c r="U232" s="10" t="n">
        <v>1244</v>
      </c>
      <c r="V232" s="10" t="n">
        <v>0</v>
      </c>
    </row>
    <row r="233">
      <c r="A233" s="7" t="n">
        <v>233</v>
      </c>
      <c r="B233" s="8" t="inlineStr">
        <is>
          <t>|Zuvinoor</t>
        </is>
      </c>
      <c r="C233" s="9" t="n">
        <v>101</v>
      </c>
      <c r="D233" s="9" t="n">
        <v>55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4</v>
      </c>
      <c r="L233" s="9" t="n">
        <v>0</v>
      </c>
      <c r="M233" s="9" t="n">
        <v>159</v>
      </c>
      <c r="N233" s="9" t="n">
        <v>0</v>
      </c>
      <c r="O233" s="9" t="n">
        <v>2</v>
      </c>
      <c r="P233" s="9" t="n">
        <v>161</v>
      </c>
      <c r="Q233" s="9" t="n">
        <v>0</v>
      </c>
      <c r="R233" s="10" t="n">
        <v>482</v>
      </c>
      <c r="S233" s="10" t="n">
        <v>0</v>
      </c>
      <c r="T233" s="10" t="n">
        <v>0</v>
      </c>
      <c r="U233" s="10" t="n">
        <v>482</v>
      </c>
      <c r="V233" s="10" t="n">
        <v>0</v>
      </c>
    </row>
    <row r="234">
      <c r="A234" s="7" t="n">
        <v>234</v>
      </c>
      <c r="B234" s="8" t="inlineStr">
        <is>
          <t>Polling Station 234</t>
        </is>
      </c>
      <c r="C234" s="9" t="n">
        <v>234</v>
      </c>
      <c r="D234" s="9" t="n">
        <v>0</v>
      </c>
      <c r="E234" s="9" t="n">
        <v>466</v>
      </c>
      <c r="F234" s="9" t="n">
        <v>303</v>
      </c>
      <c r="G234" s="9" t="n">
        <v>10</v>
      </c>
      <c r="H234" s="9" t="n">
        <v>6</v>
      </c>
      <c r="I234" s="9" t="n">
        <v>1</v>
      </c>
      <c r="J234" s="9" t="n">
        <v>3</v>
      </c>
      <c r="K234" s="9" t="n">
        <v>3</v>
      </c>
      <c r="L234" s="9" t="n">
        <v>0</v>
      </c>
      <c r="M234" s="9" t="n">
        <v>2</v>
      </c>
      <c r="N234" s="9" t="n">
        <v>8</v>
      </c>
      <c r="O234" s="9" t="n">
        <v>802</v>
      </c>
      <c r="P234" s="9" t="n">
        <v>0</v>
      </c>
      <c r="Q234" s="9" t="n">
        <v>7</v>
      </c>
      <c r="R234" s="10" t="n">
        <v>1845</v>
      </c>
      <c r="S234" s="10" t="n">
        <v>0</v>
      </c>
      <c r="T234" s="10" t="n">
        <v>0</v>
      </c>
      <c r="U234" s="10" t="n">
        <v>1845</v>
      </c>
      <c r="V234" s="10" t="n">
        <v>0</v>
      </c>
    </row>
    <row r="235">
      <c r="A235" s="7" t="n">
        <v>235</v>
      </c>
      <c r="B235" s="8" t="inlineStr">
        <is>
          <t>Polling Station 235</t>
        </is>
      </c>
      <c r="C235" s="9" t="n">
        <v>235</v>
      </c>
      <c r="D235" s="9" t="n">
        <v>0</v>
      </c>
      <c r="E235" s="9" t="n">
        <v>304</v>
      </c>
      <c r="F235" s="9" t="n">
        <v>193</v>
      </c>
      <c r="G235" s="9" t="n">
        <v>3</v>
      </c>
      <c r="H235" s="9" t="n">
        <v>4</v>
      </c>
      <c r="I235" s="9" t="n">
        <v>0</v>
      </c>
      <c r="J235" s="9" t="n">
        <v>0</v>
      </c>
      <c r="K235" s="9" t="n">
        <v>3</v>
      </c>
      <c r="L235" s="9" t="n">
        <v>3</v>
      </c>
      <c r="M235" s="9" t="n">
        <v>1</v>
      </c>
      <c r="N235" s="9" t="n">
        <v>7</v>
      </c>
      <c r="O235" s="9" t="n">
        <v>518</v>
      </c>
      <c r="P235" s="9" t="n">
        <v>0</v>
      </c>
      <c r="Q235" s="9" t="n">
        <v>8</v>
      </c>
      <c r="R235" s="10" t="n">
        <v>1279</v>
      </c>
      <c r="S235" s="10" t="n">
        <v>0</v>
      </c>
      <c r="T235" s="10" t="n">
        <v>0</v>
      </c>
      <c r="U235" s="10" t="n">
        <v>1279</v>
      </c>
      <c r="V235" s="10" t="n">
        <v>0</v>
      </c>
    </row>
    <row r="236">
      <c r="A236" s="7" t="n">
        <v>236</v>
      </c>
      <c r="B236" s="8" t="inlineStr">
        <is>
          <t>Polling Station 236</t>
        </is>
      </c>
      <c r="C236" s="9" t="n">
        <v>6</v>
      </c>
      <c r="D236" s="9" t="n">
        <v>0</v>
      </c>
      <c r="E236" s="9" t="n">
        <v>318</v>
      </c>
      <c r="F236" s="9" t="n">
        <v>228</v>
      </c>
      <c r="G236" s="9" t="n">
        <v>13</v>
      </c>
      <c r="H236" s="9" t="n">
        <v>1</v>
      </c>
      <c r="I236" s="9" t="n">
        <v>1</v>
      </c>
      <c r="J236" s="9" t="n">
        <v>2</v>
      </c>
      <c r="K236" s="9" t="n">
        <v>4</v>
      </c>
      <c r="L236" s="9" t="n">
        <v>2</v>
      </c>
      <c r="M236" s="9" t="n">
        <v>1</v>
      </c>
      <c r="N236" s="9" t="n">
        <v>5</v>
      </c>
      <c r="O236" s="9" t="n">
        <v>575</v>
      </c>
      <c r="P236" s="9" t="n">
        <v>0</v>
      </c>
      <c r="Q236" s="9" t="n">
        <v>9</v>
      </c>
      <c r="R236" s="10" t="n">
        <v>1165</v>
      </c>
      <c r="S236" s="10" t="n">
        <v>0</v>
      </c>
      <c r="T236" s="10" t="n">
        <v>0</v>
      </c>
      <c r="U236" s="10" t="n">
        <v>1165</v>
      </c>
      <c r="V236" s="10" t="n">
        <v>0</v>
      </c>
    </row>
    <row r="237">
      <c r="A237" s="7" t="n">
        <v>237</v>
      </c>
      <c r="B237" s="8" t="inlineStr">
        <is>
          <t>Polling Station 237</t>
        </is>
      </c>
      <c r="C237" s="9" t="n">
        <v>237</v>
      </c>
      <c r="D237" s="9" t="n">
        <v>0</v>
      </c>
      <c r="E237" s="9" t="n">
        <v>535</v>
      </c>
      <c r="F237" s="9" t="n">
        <v>112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1</v>
      </c>
      <c r="N237" s="9" t="n">
        <v>7</v>
      </c>
      <c r="O237" s="9" t="n">
        <v>658</v>
      </c>
      <c r="P237" s="9" t="n">
        <v>0</v>
      </c>
      <c r="Q237" s="9" t="n">
        <v>1</v>
      </c>
      <c r="R237" s="10" t="n">
        <v>1551</v>
      </c>
      <c r="S237" s="10" t="n">
        <v>0</v>
      </c>
      <c r="T237" s="10" t="n">
        <v>0</v>
      </c>
      <c r="U237" s="10" t="n">
        <v>1551</v>
      </c>
      <c r="V237" s="10" t="n">
        <v>0</v>
      </c>
    </row>
    <row r="238">
      <c r="A238" s="7" t="n">
        <v>238</v>
      </c>
      <c r="B238" s="8" t="inlineStr">
        <is>
          <t>Polling Station 238</t>
        </is>
      </c>
      <c r="C238" s="9" t="n">
        <v>238</v>
      </c>
      <c r="D238" s="9" t="n">
        <v>0</v>
      </c>
      <c r="E238" s="9" t="n">
        <v>469</v>
      </c>
      <c r="F238" s="9" t="n">
        <v>147</v>
      </c>
      <c r="G238" s="9" t="n">
        <v>0</v>
      </c>
      <c r="H238" s="9" t="n">
        <v>1</v>
      </c>
      <c r="I238" s="9" t="n">
        <v>0</v>
      </c>
      <c r="J238" s="9" t="n">
        <v>0</v>
      </c>
      <c r="K238" s="9" t="n">
        <v>5</v>
      </c>
      <c r="L238" s="9" t="n">
        <v>0</v>
      </c>
      <c r="M238" s="9" t="n">
        <v>0</v>
      </c>
      <c r="N238" s="9" t="n">
        <v>7</v>
      </c>
      <c r="O238" s="9" t="n">
        <v>627</v>
      </c>
      <c r="P238" s="9" t="n">
        <v>0</v>
      </c>
      <c r="Q238" s="9" t="n">
        <v>8</v>
      </c>
      <c r="R238" s="10" t="n">
        <v>1502</v>
      </c>
      <c r="S238" s="10" t="n">
        <v>0</v>
      </c>
      <c r="T238" s="10" t="n">
        <v>0</v>
      </c>
      <c r="U238" s="10" t="n">
        <v>1502</v>
      </c>
      <c r="V238" s="10" t="n">
        <v>0</v>
      </c>
    </row>
    <row r="239">
      <c r="A239" s="7" t="n">
        <v>239</v>
      </c>
      <c r="B239" s="8" t="inlineStr">
        <is>
          <t>Polling Station 239</t>
        </is>
      </c>
      <c r="C239" s="9" t="n">
        <v>239</v>
      </c>
      <c r="D239" s="9" t="n">
        <v>0</v>
      </c>
      <c r="E239" s="9" t="n">
        <v>511</v>
      </c>
      <c r="F239" s="9" t="n">
        <v>118</v>
      </c>
      <c r="G239" s="9" t="n">
        <v>1</v>
      </c>
      <c r="H239" s="9" t="n">
        <v>12</v>
      </c>
      <c r="I239" s="9" t="n">
        <v>0</v>
      </c>
      <c r="J239" s="9" t="n">
        <v>0</v>
      </c>
      <c r="K239" s="9" t="n">
        <v>2</v>
      </c>
      <c r="L239" s="9" t="n">
        <v>0</v>
      </c>
      <c r="M239" s="9" t="n">
        <v>0</v>
      </c>
      <c r="N239" s="9" t="n">
        <v>8</v>
      </c>
      <c r="O239" s="9" t="n">
        <v>653</v>
      </c>
      <c r="P239" s="9" t="n">
        <v>0</v>
      </c>
      <c r="Q239" s="9" t="n">
        <v>13</v>
      </c>
      <c r="R239" s="10" t="n">
        <v>1557</v>
      </c>
      <c r="S239" s="10" t="n">
        <v>0</v>
      </c>
      <c r="T239" s="10" t="n">
        <v>0</v>
      </c>
      <c r="U239" s="10" t="n">
        <v>1557</v>
      </c>
      <c r="V239" s="10" t="n">
        <v>0</v>
      </c>
    </row>
    <row r="240">
      <c r="A240" s="7" t="n">
        <v>240</v>
      </c>
      <c r="B240" s="8" t="inlineStr">
        <is>
          <t>Polling Station 240</t>
        </is>
      </c>
      <c r="C240" s="9" t="n">
        <v>240</v>
      </c>
      <c r="D240" s="9" t="n">
        <v>0</v>
      </c>
      <c r="E240" s="9" t="n">
        <v>572</v>
      </c>
      <c r="F240" s="9" t="n">
        <v>7</v>
      </c>
      <c r="G240" s="9" t="n">
        <v>1</v>
      </c>
      <c r="H240" s="9" t="n">
        <v>0</v>
      </c>
      <c r="I240" s="9" t="n">
        <v>0</v>
      </c>
      <c r="J240" s="9" t="n">
        <v>0</v>
      </c>
      <c r="K240" s="9" t="n">
        <v>1</v>
      </c>
      <c r="L240" s="9" t="n">
        <v>0</v>
      </c>
      <c r="M240" s="9" t="n">
        <v>0</v>
      </c>
      <c r="N240" s="9" t="n">
        <v>1</v>
      </c>
      <c r="O240" s="9" t="n">
        <v>652</v>
      </c>
      <c r="P240" s="9" t="n">
        <v>0</v>
      </c>
      <c r="Q240" s="9" t="n">
        <v>2</v>
      </c>
      <c r="R240" s="10" t="n">
        <v>1476</v>
      </c>
      <c r="S240" s="10" t="n">
        <v>0</v>
      </c>
      <c r="T240" s="10" t="n">
        <v>0</v>
      </c>
      <c r="U240" s="10" t="n">
        <v>1476</v>
      </c>
      <c r="V240" s="10" t="n">
        <v>0</v>
      </c>
    </row>
    <row r="241">
      <c r="A241" s="7" t="n">
        <v>241</v>
      </c>
      <c r="B241" s="8" t="inlineStr">
        <is>
          <t>|Mallial</t>
        </is>
      </c>
      <c r="C241" s="9" t="n">
        <v>487</v>
      </c>
      <c r="D241" s="9" t="n">
        <v>393</v>
      </c>
      <c r="E241" s="9" t="n">
        <v>6</v>
      </c>
      <c r="F241" s="9" t="n">
        <v>5</v>
      </c>
      <c r="G241" s="9" t="n">
        <v>0</v>
      </c>
      <c r="H241" s="9" t="n">
        <v>2</v>
      </c>
      <c r="I241" s="9" t="n">
        <v>3</v>
      </c>
      <c r="J241" s="9" t="n">
        <v>2</v>
      </c>
      <c r="K241" s="9" t="n">
        <v>2</v>
      </c>
      <c r="L241" s="9" t="n">
        <v>15</v>
      </c>
      <c r="M241" s="9" t="n">
        <v>915</v>
      </c>
      <c r="N241" s="9" t="n">
        <v>0</v>
      </c>
      <c r="O241" s="9" t="n">
        <v>3</v>
      </c>
      <c r="P241" s="9" t="n">
        <v>918</v>
      </c>
      <c r="Q241" s="9" t="n">
        <v>0</v>
      </c>
      <c r="R241" s="10" t="n">
        <v>2751</v>
      </c>
      <c r="S241" s="10" t="n">
        <v>0</v>
      </c>
      <c r="T241" s="10" t="n">
        <v>0</v>
      </c>
      <c r="U241" s="10" t="n">
        <v>2751</v>
      </c>
      <c r="V241" s="10" t="n">
        <v>0</v>
      </c>
    </row>
    <row r="242">
      <c r="A242" s="7" t="n">
        <v>242</v>
      </c>
      <c r="B242" s="8" t="inlineStr">
        <is>
          <t>Polling Station 242</t>
        </is>
      </c>
      <c r="C242" s="9" t="n">
        <v>202</v>
      </c>
      <c r="D242" s="9" t="n">
        <v>0</v>
      </c>
      <c r="E242" s="9" t="n">
        <v>354</v>
      </c>
      <c r="F242" s="9" t="n">
        <v>70</v>
      </c>
      <c r="G242" s="9" t="n">
        <v>2</v>
      </c>
      <c r="H242" s="9" t="n">
        <v>0</v>
      </c>
      <c r="I242" s="9" t="n">
        <v>1</v>
      </c>
      <c r="J242" s="9" t="n">
        <v>0</v>
      </c>
      <c r="K242" s="9" t="n">
        <v>0</v>
      </c>
      <c r="L242" s="9" t="n">
        <v>1</v>
      </c>
      <c r="M242" s="9" t="n">
        <v>0</v>
      </c>
      <c r="N242" s="9" t="n">
        <v>3</v>
      </c>
      <c r="O242" s="9" t="n">
        <v>431</v>
      </c>
      <c r="P242" s="9" t="n">
        <v>0</v>
      </c>
      <c r="Q242" s="9" t="n">
        <v>4</v>
      </c>
      <c r="R242" s="10" t="n">
        <v>1068</v>
      </c>
      <c r="S242" s="10" t="n">
        <v>0</v>
      </c>
      <c r="T242" s="10" t="n">
        <v>0</v>
      </c>
      <c r="U242" s="10" t="n">
        <v>1068</v>
      </c>
      <c r="V242" s="10" t="n">
        <v>0</v>
      </c>
    </row>
    <row r="243">
      <c r="A243" s="7" t="n">
        <v>243</v>
      </c>
      <c r="B243" s="8" t="inlineStr">
        <is>
          <t>Polling Station 243</t>
        </is>
      </c>
      <c r="C243" s="9" t="n">
        <v>20</v>
      </c>
      <c r="D243" s="9" t="n">
        <v>0</v>
      </c>
      <c r="E243" s="9" t="n">
        <v>468</v>
      </c>
      <c r="F243" s="9" t="n">
        <v>123</v>
      </c>
      <c r="G243" s="9" t="n">
        <v>4</v>
      </c>
      <c r="H243" s="9" t="n">
        <v>2</v>
      </c>
      <c r="I243" s="9" t="n">
        <v>1</v>
      </c>
      <c r="J243" s="9" t="n">
        <v>0</v>
      </c>
      <c r="K243" s="9" t="n">
        <v>5</v>
      </c>
      <c r="L243" s="9" t="n">
        <v>0</v>
      </c>
      <c r="M243" s="9" t="n">
        <v>0</v>
      </c>
      <c r="N243" s="9" t="n">
        <v>8</v>
      </c>
      <c r="O243" s="9" t="n">
        <v>611</v>
      </c>
      <c r="P243" s="9" t="n">
        <v>0</v>
      </c>
      <c r="Q243" s="9" t="n">
        <v>12</v>
      </c>
      <c r="R243" s="10" t="n">
        <v>1254</v>
      </c>
      <c r="S243" s="10" t="n">
        <v>0</v>
      </c>
      <c r="T243" s="10" t="n">
        <v>0</v>
      </c>
      <c r="U243" s="10" t="n">
        <v>1254</v>
      </c>
      <c r="V243" s="10" t="n">
        <v>0</v>
      </c>
    </row>
    <row r="244">
      <c r="A244" s="7" t="n">
        <v>244</v>
      </c>
      <c r="B244" s="8" t="inlineStr">
        <is>
          <t>Polling Station 244</t>
        </is>
      </c>
      <c r="C244" s="9" t="n">
        <v>24</v>
      </c>
      <c r="D244" s="9" t="n">
        <v>0</v>
      </c>
      <c r="E244" s="9" t="n">
        <v>324</v>
      </c>
      <c r="F244" s="9" t="n">
        <v>350</v>
      </c>
      <c r="G244" s="9" t="n">
        <v>7</v>
      </c>
      <c r="H244" s="9" t="n">
        <v>0</v>
      </c>
      <c r="I244" s="9" t="n">
        <v>0</v>
      </c>
      <c r="J244" s="9" t="n">
        <v>2</v>
      </c>
      <c r="K244" s="9" t="n">
        <v>2</v>
      </c>
      <c r="L244" s="9" t="n">
        <v>1</v>
      </c>
      <c r="M244" s="9" t="n">
        <v>1</v>
      </c>
      <c r="N244" s="9" t="n">
        <v>5</v>
      </c>
      <c r="O244" s="9" t="n">
        <v>692</v>
      </c>
      <c r="P244" s="9" t="n">
        <v>0</v>
      </c>
      <c r="Q244" s="9" t="n">
        <v>5</v>
      </c>
      <c r="R244" s="10" t="n">
        <v>1413</v>
      </c>
      <c r="S244" s="10" t="n">
        <v>0</v>
      </c>
      <c r="T244" s="10" t="n">
        <v>0</v>
      </c>
      <c r="U244" s="10" t="n">
        <v>1413</v>
      </c>
      <c r="V244" s="10" t="n">
        <v>0</v>
      </c>
    </row>
    <row r="245">
      <c r="A245" s="7" t="n">
        <v>245</v>
      </c>
      <c r="B245" s="8" t="inlineStr">
        <is>
          <t>Polling Station 245</t>
        </is>
      </c>
      <c r="C245" s="9" t="n">
        <v>25</v>
      </c>
      <c r="D245" s="9" t="n">
        <v>0</v>
      </c>
      <c r="E245" s="9" t="n">
        <v>407</v>
      </c>
      <c r="F245" s="9" t="n">
        <v>390</v>
      </c>
      <c r="G245" s="9" t="n">
        <v>4</v>
      </c>
      <c r="H245" s="9" t="n">
        <v>0</v>
      </c>
      <c r="I245" s="9" t="n">
        <v>0</v>
      </c>
      <c r="J245" s="9" t="n">
        <v>0</v>
      </c>
      <c r="K245" s="9" t="n">
        <v>2</v>
      </c>
      <c r="L245" s="9" t="n">
        <v>0</v>
      </c>
      <c r="M245" s="9" t="n">
        <v>0</v>
      </c>
      <c r="N245" s="9" t="n">
        <v>3</v>
      </c>
      <c r="O245" s="9" t="n">
        <v>808</v>
      </c>
      <c r="P245" s="9" t="n">
        <v>0</v>
      </c>
      <c r="Q245" s="9" t="n">
        <v>6</v>
      </c>
      <c r="R245" s="10" t="n">
        <v>1645</v>
      </c>
      <c r="S245" s="10" t="n">
        <v>0</v>
      </c>
      <c r="T245" s="10" t="n">
        <v>0</v>
      </c>
      <c r="U245" s="10" t="n">
        <v>1645</v>
      </c>
      <c r="V245" s="10" t="n">
        <v>0</v>
      </c>
    </row>
    <row r="246">
      <c r="A246" s="7" t="n">
        <v>246</v>
      </c>
      <c r="B246" s="8" t="inlineStr">
        <is>
          <t>Polling Station 246</t>
        </is>
      </c>
      <c r="C246" s="9" t="n">
        <v>296</v>
      </c>
      <c r="D246" s="9" t="n">
        <v>0</v>
      </c>
      <c r="E246" s="9" t="n">
        <v>7</v>
      </c>
      <c r="F246" s="9" t="n">
        <v>141</v>
      </c>
      <c r="G246" s="9" t="n">
        <v>2</v>
      </c>
      <c r="H246" s="9" t="n">
        <v>0</v>
      </c>
      <c r="I246" s="9" t="n">
        <v>0</v>
      </c>
      <c r="J246" s="9" t="n">
        <v>2</v>
      </c>
      <c r="K246" s="9" t="n">
        <v>4</v>
      </c>
      <c r="L246" s="9" t="n">
        <v>0</v>
      </c>
      <c r="M246" s="9" t="n">
        <v>1</v>
      </c>
      <c r="N246" s="9" t="n">
        <v>9</v>
      </c>
      <c r="O246" s="9" t="n">
        <v>933</v>
      </c>
      <c r="P246" s="9" t="n">
        <v>0</v>
      </c>
      <c r="Q246" s="9" t="n">
        <v>23</v>
      </c>
      <c r="R246" s="10" t="n">
        <v>1418</v>
      </c>
      <c r="S246" s="10" t="n">
        <v>0</v>
      </c>
      <c r="T246" s="10" t="n">
        <v>0</v>
      </c>
      <c r="U246" s="10" t="n">
        <v>1418</v>
      </c>
      <c r="V246" s="10" t="n">
        <v>0</v>
      </c>
    </row>
    <row r="247">
      <c r="A247" s="7" t="n">
        <v>247</v>
      </c>
      <c r="B247" s="8" t="inlineStr">
        <is>
          <t>Polling Station 247</t>
        </is>
      </c>
      <c r="C247" s="9" t="n">
        <v>247</v>
      </c>
      <c r="D247" s="9" t="n">
        <v>0</v>
      </c>
      <c r="E247" s="9" t="n">
        <v>492</v>
      </c>
      <c r="F247" s="9" t="n">
        <v>234</v>
      </c>
      <c r="G247" s="9" t="n">
        <v>8</v>
      </c>
      <c r="H247" s="9" t="n">
        <v>2</v>
      </c>
      <c r="I247" s="9" t="n">
        <v>0</v>
      </c>
      <c r="J247" s="9" t="n">
        <v>2</v>
      </c>
      <c r="K247" s="9" t="n">
        <v>2</v>
      </c>
      <c r="L247" s="9" t="n">
        <v>0</v>
      </c>
      <c r="M247" s="9" t="n">
        <v>1</v>
      </c>
      <c r="N247" s="9" t="n">
        <v>1</v>
      </c>
      <c r="O247" s="9" t="n">
        <v>745</v>
      </c>
      <c r="P247" s="9" t="n">
        <v>0</v>
      </c>
      <c r="Q247" s="9" t="n">
        <v>2</v>
      </c>
      <c r="R247" s="10" t="n">
        <v>1736</v>
      </c>
      <c r="S247" s="10" t="n">
        <v>0</v>
      </c>
      <c r="T247" s="10" t="n">
        <v>0</v>
      </c>
      <c r="U247" s="10" t="n">
        <v>1736</v>
      </c>
      <c r="V247" s="10" t="n">
        <v>0</v>
      </c>
    </row>
    <row r="248">
      <c r="A248" s="7" t="n">
        <v>248</v>
      </c>
      <c r="B248" s="8" t="inlineStr">
        <is>
          <t>Polling Station 248</t>
        </is>
      </c>
      <c r="C248" s="9" t="n">
        <v>248</v>
      </c>
      <c r="D248" s="9" t="n">
        <v>0</v>
      </c>
      <c r="E248" s="9" t="n">
        <v>398</v>
      </c>
      <c r="F248" s="9" t="n">
        <v>175</v>
      </c>
      <c r="G248" s="9" t="n">
        <v>4</v>
      </c>
      <c r="H248" s="9" t="n">
        <v>0</v>
      </c>
      <c r="I248" s="9" t="n">
        <v>0</v>
      </c>
      <c r="J248" s="9" t="n">
        <v>0</v>
      </c>
      <c r="K248" s="9" t="n">
        <v>2</v>
      </c>
      <c r="L248" s="9" t="n">
        <v>1</v>
      </c>
      <c r="M248" s="9" t="n">
        <v>1</v>
      </c>
      <c r="N248" s="9" t="n">
        <v>15</v>
      </c>
      <c r="O248" s="9" t="n">
        <v>608</v>
      </c>
      <c r="P248" s="9" t="n">
        <v>0</v>
      </c>
      <c r="Q248" s="9" t="n">
        <v>16</v>
      </c>
      <c r="R248" s="10" t="n">
        <v>1468</v>
      </c>
      <c r="S248" s="10" t="n">
        <v>0</v>
      </c>
      <c r="T248" s="10" t="n">
        <v>0</v>
      </c>
      <c r="U248" s="10" t="n">
        <v>1468</v>
      </c>
      <c r="V248" s="10" t="n">
        <v>0</v>
      </c>
    </row>
    <row r="249">
      <c r="A249" s="7" t="n">
        <v>249</v>
      </c>
      <c r="B249" s="8" t="inlineStr">
        <is>
          <t>Polling Station 249</t>
        </is>
      </c>
      <c r="C249" s="9" t="n">
        <v>0</v>
      </c>
      <c r="D249" s="9" t="n">
        <v>0</v>
      </c>
      <c r="E249" s="9" t="n">
        <v>459</v>
      </c>
      <c r="F249" s="9" t="n">
        <v>159</v>
      </c>
      <c r="G249" s="9" t="n">
        <v>0</v>
      </c>
      <c r="H249" s="9" t="n">
        <v>5</v>
      </c>
      <c r="I249" s="9" t="n">
        <v>0</v>
      </c>
      <c r="J249" s="9" t="n">
        <v>0</v>
      </c>
      <c r="K249" s="9" t="n">
        <v>5</v>
      </c>
      <c r="L249" s="9" t="n">
        <v>0</v>
      </c>
      <c r="M249" s="9" t="n">
        <v>0</v>
      </c>
      <c r="N249" s="9" t="n">
        <v>0</v>
      </c>
      <c r="O249" s="9" t="n">
        <v>644</v>
      </c>
      <c r="P249" s="9" t="n">
        <v>0</v>
      </c>
      <c r="Q249" s="9" t="n">
        <v>0</v>
      </c>
      <c r="R249" s="10" t="n">
        <v>1272</v>
      </c>
      <c r="S249" s="10" t="n">
        <v>0</v>
      </c>
      <c r="T249" s="10" t="n">
        <v>0</v>
      </c>
      <c r="U249" s="10" t="n">
        <v>1272</v>
      </c>
      <c r="V249" s="10" t="n">
        <v>0</v>
      </c>
    </row>
    <row r="250">
      <c r="A250" s="7" t="n">
        <v>250</v>
      </c>
      <c r="B250" s="8" t="inlineStr">
        <is>
          <t>Polling Station 250</t>
        </is>
      </c>
      <c r="C250" s="9" t="n">
        <v>250</v>
      </c>
      <c r="D250" s="9" t="n">
        <v>0</v>
      </c>
      <c r="E250" s="9" t="n">
        <v>453</v>
      </c>
      <c r="F250" s="9" t="n">
        <v>233</v>
      </c>
      <c r="G250" s="9" t="n">
        <v>0</v>
      </c>
      <c r="H250" s="9" t="n">
        <v>26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4</v>
      </c>
      <c r="N250" s="9" t="n">
        <v>16</v>
      </c>
      <c r="O250" s="9" t="n">
        <v>725</v>
      </c>
      <c r="P250" s="9" t="n">
        <v>0</v>
      </c>
      <c r="Q250" s="9" t="n">
        <v>14</v>
      </c>
      <c r="R250" s="10" t="n">
        <v>1721</v>
      </c>
      <c r="S250" s="10" t="n">
        <v>0</v>
      </c>
      <c r="T250" s="10" t="n">
        <v>0</v>
      </c>
      <c r="U250" s="10" t="n">
        <v>1721</v>
      </c>
      <c r="V250" s="10" t="n">
        <v>0</v>
      </c>
    </row>
    <row r="251">
      <c r="A251" s="7" t="n">
        <v>251</v>
      </c>
      <c r="B251" s="8" t="inlineStr">
        <is>
          <t>Polling Station 251</t>
        </is>
      </c>
      <c r="C251" s="9" t="n">
        <v>251</v>
      </c>
      <c r="D251" s="9" t="n">
        <v>0</v>
      </c>
      <c r="E251" s="9" t="n">
        <v>361</v>
      </c>
      <c r="F251" s="9" t="n">
        <v>244</v>
      </c>
      <c r="G251" s="9" t="n">
        <v>3</v>
      </c>
      <c r="H251" s="9" t="n">
        <v>0</v>
      </c>
      <c r="I251" s="9" t="n">
        <v>0</v>
      </c>
      <c r="J251" s="9" t="n">
        <v>0</v>
      </c>
      <c r="K251" s="9" t="n">
        <v>4</v>
      </c>
      <c r="L251" s="9" t="n">
        <v>0</v>
      </c>
      <c r="M251" s="9" t="n">
        <v>0</v>
      </c>
      <c r="N251" s="9" t="n">
        <v>0</v>
      </c>
      <c r="O251" s="9" t="n">
        <v>621</v>
      </c>
      <c r="P251" s="9" t="n">
        <v>20</v>
      </c>
      <c r="Q251" s="9" t="n">
        <v>0</v>
      </c>
      <c r="R251" s="10" t="n">
        <v>1504</v>
      </c>
      <c r="S251" s="10" t="n">
        <v>0</v>
      </c>
      <c r="T251" s="10" t="n">
        <v>0</v>
      </c>
      <c r="U251" s="10" t="n">
        <v>1504</v>
      </c>
      <c r="V251" s="10" t="n">
        <v>0</v>
      </c>
    </row>
    <row r="252">
      <c r="A252" s="7" t="n">
        <v>252</v>
      </c>
      <c r="B252" s="8" t="inlineStr">
        <is>
          <t>Polling Station 252</t>
        </is>
      </c>
      <c r="C252" s="9" t="n">
        <v>252</v>
      </c>
      <c r="D252" s="9" t="n">
        <v>0</v>
      </c>
      <c r="E252" s="9" t="n">
        <v>397</v>
      </c>
      <c r="F252" s="9" t="n">
        <v>162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569</v>
      </c>
      <c r="P252" s="9" t="n">
        <v>0</v>
      </c>
      <c r="Q252" s="9" t="n">
        <v>0</v>
      </c>
      <c r="R252" s="10" t="n">
        <v>1380</v>
      </c>
      <c r="S252" s="10" t="n">
        <v>0</v>
      </c>
      <c r="T252" s="10" t="n">
        <v>0</v>
      </c>
      <c r="U252" s="10" t="n">
        <v>1380</v>
      </c>
      <c r="V252" s="10" t="n">
        <v>0</v>
      </c>
    </row>
    <row r="253">
      <c r="A253" s="7" t="n">
        <v>253</v>
      </c>
      <c r="B253" s="8" t="inlineStr">
        <is>
          <t>Polling Station 253</t>
        </is>
      </c>
      <c r="C253" s="9" t="n">
        <v>258</v>
      </c>
      <c r="D253" s="9" t="n">
        <v>0</v>
      </c>
      <c r="E253" s="9" t="n">
        <v>200</v>
      </c>
      <c r="F253" s="9" t="n">
        <v>167</v>
      </c>
      <c r="G253" s="9" t="n">
        <v>8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1</v>
      </c>
      <c r="O253" s="9" t="n">
        <v>455</v>
      </c>
      <c r="P253" s="9" t="n">
        <v>0</v>
      </c>
      <c r="Q253" s="9" t="n">
        <v>1</v>
      </c>
      <c r="R253" s="10" t="n">
        <v>1090</v>
      </c>
      <c r="S253" s="10" t="n">
        <v>0</v>
      </c>
      <c r="T253" s="10" t="n">
        <v>0</v>
      </c>
      <c r="U253" s="10" t="n">
        <v>1090</v>
      </c>
      <c r="V253" s="10" t="n">
        <v>0</v>
      </c>
    </row>
    <row r="254">
      <c r="A254" s="7" t="n">
        <v>254</v>
      </c>
      <c r="B254" s="8" t="inlineStr">
        <is>
          <t>Polling Station 254</t>
        </is>
      </c>
      <c r="C254" s="9" t="n">
        <v>254</v>
      </c>
      <c r="D254" s="9" t="n">
        <v>0</v>
      </c>
      <c r="E254" s="9" t="n">
        <v>448</v>
      </c>
      <c r="F254" s="9" t="n">
        <v>298</v>
      </c>
      <c r="G254" s="9" t="n">
        <v>5</v>
      </c>
      <c r="H254" s="9" t="n">
        <v>6</v>
      </c>
      <c r="I254" s="9" t="n">
        <v>0</v>
      </c>
      <c r="J254" s="9" t="n">
        <v>8</v>
      </c>
      <c r="K254" s="9" t="n">
        <v>0</v>
      </c>
      <c r="L254" s="9" t="n">
        <v>0</v>
      </c>
      <c r="M254" s="9" t="n">
        <v>4</v>
      </c>
      <c r="N254" s="9" t="n">
        <v>0</v>
      </c>
      <c r="O254" s="9" t="n">
        <v>793</v>
      </c>
      <c r="P254" s="9" t="n">
        <v>0</v>
      </c>
      <c r="Q254" s="9" t="n">
        <v>18</v>
      </c>
      <c r="R254" s="10" t="n">
        <v>1834</v>
      </c>
      <c r="S254" s="10" t="n">
        <v>1</v>
      </c>
      <c r="T254" s="10" t="n">
        <v>1</v>
      </c>
      <c r="U254" s="10" t="n">
        <v>1836</v>
      </c>
      <c r="V254" s="10" t="n">
        <v>0</v>
      </c>
    </row>
    <row r="255">
      <c r="A255" s="7" t="n">
        <v>255</v>
      </c>
      <c r="B255" s="8" t="inlineStr">
        <is>
          <t>Polling Station 255</t>
        </is>
      </c>
      <c r="C255" s="9" t="n">
        <v>255</v>
      </c>
      <c r="D255" s="9" t="n">
        <v>0</v>
      </c>
      <c r="E255" s="9" t="n">
        <v>277</v>
      </c>
      <c r="F255" s="9" t="n">
        <v>265</v>
      </c>
      <c r="G255" s="9" t="n">
        <v>4</v>
      </c>
      <c r="H255" s="9" t="n">
        <v>3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4</v>
      </c>
      <c r="N255" s="9" t="n">
        <v>6</v>
      </c>
      <c r="O255" s="9" t="n">
        <v>561</v>
      </c>
      <c r="P255" s="9" t="n">
        <v>0</v>
      </c>
      <c r="Q255" s="9" t="n">
        <v>14</v>
      </c>
      <c r="R255" s="10" t="n">
        <v>1389</v>
      </c>
      <c r="S255" s="10" t="n">
        <v>0</v>
      </c>
      <c r="T255" s="10" t="n">
        <v>0</v>
      </c>
      <c r="U255" s="10" t="n">
        <v>1389</v>
      </c>
      <c r="V255" s="10" t="n">
        <v>0</v>
      </c>
    </row>
    <row r="256">
      <c r="A256" s="7" t="n">
        <v>256</v>
      </c>
      <c r="B256" s="8" t="inlineStr">
        <is>
          <t>Polling Station 256</t>
        </is>
      </c>
      <c r="C256" s="9" t="n">
        <v>256</v>
      </c>
      <c r="D256" s="9" t="n">
        <v>0</v>
      </c>
      <c r="E256" s="9" t="n">
        <v>57</v>
      </c>
      <c r="F256" s="9" t="n">
        <v>273</v>
      </c>
      <c r="G256" s="9" t="n">
        <v>5</v>
      </c>
      <c r="H256" s="9" t="n">
        <v>5</v>
      </c>
      <c r="I256" s="9" t="n">
        <v>1</v>
      </c>
      <c r="J256" s="9" t="n">
        <v>0</v>
      </c>
      <c r="K256" s="9" t="n">
        <v>3</v>
      </c>
      <c r="L256" s="9" t="n">
        <v>0</v>
      </c>
      <c r="M256" s="9" t="n">
        <v>2</v>
      </c>
      <c r="N256" s="9" t="n">
        <v>13</v>
      </c>
      <c r="O256" s="9" t="n">
        <v>279</v>
      </c>
      <c r="P256" s="9" t="n">
        <v>0</v>
      </c>
      <c r="Q256" s="9" t="n">
        <v>14</v>
      </c>
      <c r="R256" s="10" t="n">
        <v>908</v>
      </c>
      <c r="S256" s="10" t="n">
        <v>0</v>
      </c>
      <c r="T256" s="10" t="n">
        <v>0</v>
      </c>
      <c r="U256" s="10" t="n">
        <v>908</v>
      </c>
      <c r="V256" s="10" t="n">
        <v>0</v>
      </c>
    </row>
    <row r="257">
      <c r="A257" s="7" t="n">
        <v>257</v>
      </c>
      <c r="B257" s="8" t="inlineStr">
        <is>
          <t>Polling Station 257</t>
        </is>
      </c>
      <c r="C257" s="9" t="n">
        <v>287</v>
      </c>
      <c r="D257" s="9" t="n">
        <v>0</v>
      </c>
      <c r="E257" s="9" t="n">
        <v>466</v>
      </c>
      <c r="F257" s="9" t="n">
        <v>115</v>
      </c>
      <c r="G257" s="9" t="n">
        <v>10</v>
      </c>
      <c r="H257" s="9" t="n">
        <v>4</v>
      </c>
      <c r="I257" s="9" t="n">
        <v>0</v>
      </c>
      <c r="J257" s="9" t="n">
        <v>0</v>
      </c>
      <c r="K257" s="9" t="n">
        <v>2</v>
      </c>
      <c r="L257" s="9" t="n">
        <v>1</v>
      </c>
      <c r="M257" s="9" t="n">
        <v>0</v>
      </c>
      <c r="N257" s="9" t="n">
        <v>9</v>
      </c>
      <c r="O257" s="9" t="n">
        <v>607</v>
      </c>
      <c r="P257" s="9" t="n">
        <v>0</v>
      </c>
      <c r="Q257" s="9" t="n">
        <v>7</v>
      </c>
      <c r="R257" s="10" t="n">
        <v>1508</v>
      </c>
      <c r="S257" s="10" t="n">
        <v>0</v>
      </c>
      <c r="T257" s="10" t="n">
        <v>0</v>
      </c>
      <c r="U257" s="10" t="n">
        <v>1508</v>
      </c>
      <c r="V257" s="10" t="n">
        <v>0</v>
      </c>
    </row>
    <row r="258">
      <c r="A258" s="7" t="n">
        <v>258</v>
      </c>
      <c r="B258" s="8" t="inlineStr">
        <is>
          <t>Polling Station 258</t>
        </is>
      </c>
      <c r="C258" s="9" t="n">
        <v>258</v>
      </c>
      <c r="D258" s="9" t="n">
        <v>0</v>
      </c>
      <c r="E258" s="9" t="n">
        <v>362</v>
      </c>
      <c r="F258" s="9" t="n">
        <v>59</v>
      </c>
      <c r="G258" s="9" t="n">
        <v>4</v>
      </c>
      <c r="H258" s="9" t="n">
        <v>5</v>
      </c>
      <c r="I258" s="9" t="n">
        <v>0</v>
      </c>
      <c r="J258" s="9" t="n">
        <v>0</v>
      </c>
      <c r="K258" s="9" t="n">
        <v>3</v>
      </c>
      <c r="L258" s="9" t="n">
        <v>0</v>
      </c>
      <c r="M258" s="9" t="n">
        <v>0</v>
      </c>
      <c r="N258" s="9" t="n">
        <v>16</v>
      </c>
      <c r="O258" s="9" t="n">
        <v>449</v>
      </c>
      <c r="P258" s="9" t="n">
        <v>0</v>
      </c>
      <c r="Q258" s="9" t="n">
        <v>2</v>
      </c>
      <c r="R258" s="10" t="n">
        <v>1158</v>
      </c>
      <c r="S258" s="10" t="n">
        <v>0</v>
      </c>
      <c r="T258" s="10" t="n">
        <v>0</v>
      </c>
      <c r="U258" s="10" t="n">
        <v>1158</v>
      </c>
      <c r="V258" s="10" t="n">
        <v>0</v>
      </c>
    </row>
    <row r="259">
      <c r="A259" s="7" t="n">
        <v>259</v>
      </c>
      <c r="B259" s="8" t="inlineStr">
        <is>
          <t>Polling Station 259</t>
        </is>
      </c>
      <c r="C259" s="9" t="n">
        <v>259</v>
      </c>
      <c r="D259" s="9" t="n">
        <v>0</v>
      </c>
      <c r="E259" s="9" t="n">
        <v>423</v>
      </c>
      <c r="F259" s="9" t="n">
        <v>180</v>
      </c>
      <c r="G259" s="9" t="n">
        <v>6</v>
      </c>
      <c r="H259" s="9" t="n">
        <v>0</v>
      </c>
      <c r="I259" s="9" t="n">
        <v>0</v>
      </c>
      <c r="J259" s="9" t="n">
        <v>1</v>
      </c>
      <c r="K259" s="9" t="n">
        <v>1</v>
      </c>
      <c r="L259" s="9" t="n">
        <v>1</v>
      </c>
      <c r="M259" s="9" t="n">
        <v>2</v>
      </c>
      <c r="N259" s="9" t="n">
        <v>22</v>
      </c>
      <c r="O259" s="9" t="n">
        <v>636</v>
      </c>
      <c r="P259" s="9" t="n">
        <v>0</v>
      </c>
      <c r="Q259" s="9" t="n">
        <v>12</v>
      </c>
      <c r="R259" s="10" t="n">
        <v>1543</v>
      </c>
      <c r="S259" s="10" t="n">
        <v>0</v>
      </c>
      <c r="T259" s="10" t="n">
        <v>0</v>
      </c>
      <c r="U259" s="10" t="n">
        <v>1543</v>
      </c>
      <c r="V259" s="10" t="n">
        <v>0</v>
      </c>
    </row>
    <row r="260">
      <c r="A260" s="7" t="n">
        <v>260</v>
      </c>
      <c r="B260" s="8" t="inlineStr">
        <is>
          <t>Polling Station 260</t>
        </is>
      </c>
      <c r="C260" s="9" t="n">
        <v>260</v>
      </c>
      <c r="D260" s="9" t="n">
        <v>0</v>
      </c>
      <c r="E260" s="9" t="n">
        <v>434</v>
      </c>
      <c r="F260" s="9" t="n">
        <v>214</v>
      </c>
      <c r="G260" s="9" t="n">
        <v>10</v>
      </c>
      <c r="H260" s="9" t="n">
        <v>7</v>
      </c>
      <c r="I260" s="9" t="n">
        <v>4</v>
      </c>
      <c r="J260" s="9" t="n">
        <v>1</v>
      </c>
      <c r="K260" s="9" t="n">
        <v>5</v>
      </c>
      <c r="L260" s="9" t="n">
        <v>1</v>
      </c>
      <c r="M260" s="9" t="n">
        <v>2</v>
      </c>
      <c r="N260" s="9" t="n">
        <v>1</v>
      </c>
      <c r="O260" s="9" t="n">
        <v>683</v>
      </c>
      <c r="P260" s="9" t="n">
        <v>0</v>
      </c>
      <c r="Q260" s="9" t="n">
        <v>1</v>
      </c>
      <c r="R260" s="10" t="n">
        <v>1623</v>
      </c>
      <c r="S260" s="10" t="n">
        <v>0</v>
      </c>
      <c r="T260" s="10" t="n">
        <v>0</v>
      </c>
      <c r="U260" s="10" t="n">
        <v>1623</v>
      </c>
      <c r="V260" s="10" t="n">
        <v>0</v>
      </c>
    </row>
    <row r="261">
      <c r="A261" s="7" t="n">
        <v>261</v>
      </c>
      <c r="B261" s="8" t="inlineStr">
        <is>
          <t>Polling Station 261</t>
        </is>
      </c>
      <c r="C261" s="9" t="n">
        <v>261</v>
      </c>
      <c r="D261" s="9" t="n">
        <v>0</v>
      </c>
      <c r="E261" s="9" t="n">
        <v>307</v>
      </c>
      <c r="F261" s="9" t="n">
        <v>168</v>
      </c>
      <c r="G261" s="9" t="n">
        <v>5</v>
      </c>
      <c r="H261" s="9" t="n">
        <v>2</v>
      </c>
      <c r="I261" s="9" t="n">
        <v>0</v>
      </c>
      <c r="J261" s="9" t="n">
        <v>0</v>
      </c>
      <c r="K261" s="9" t="n">
        <v>12</v>
      </c>
      <c r="L261" s="9" t="n">
        <v>3</v>
      </c>
      <c r="M261" s="9" t="n">
        <v>1</v>
      </c>
      <c r="N261" s="9" t="n">
        <v>6</v>
      </c>
      <c r="O261" s="9" t="n">
        <v>504</v>
      </c>
      <c r="P261" s="9" t="n">
        <v>0</v>
      </c>
      <c r="Q261" s="9" t="n">
        <v>13</v>
      </c>
      <c r="R261" s="10" t="n">
        <v>1282</v>
      </c>
      <c r="S261" s="10" t="n">
        <v>0</v>
      </c>
      <c r="T261" s="10" t="n">
        <v>0</v>
      </c>
      <c r="U261" s="10" t="n">
        <v>1282</v>
      </c>
      <c r="V261" s="10" t="n">
        <v>0</v>
      </c>
    </row>
    <row r="262">
      <c r="A262" s="7" t="n">
        <v>262</v>
      </c>
      <c r="B262" s="8" t="inlineStr">
        <is>
          <t>Polling Station 262</t>
        </is>
      </c>
      <c r="C262" s="9" t="n">
        <v>262</v>
      </c>
      <c r="D262" s="9" t="n">
        <v>0</v>
      </c>
      <c r="E262" s="9" t="n">
        <v>205</v>
      </c>
      <c r="F262" s="9" t="n">
        <v>319</v>
      </c>
      <c r="G262" s="9" t="n">
        <v>5</v>
      </c>
      <c r="H262" s="9" t="n">
        <v>3</v>
      </c>
      <c r="I262" s="9" t="n">
        <v>0</v>
      </c>
      <c r="J262" s="9" t="n">
        <v>0</v>
      </c>
      <c r="K262" s="9" t="n">
        <v>1</v>
      </c>
      <c r="L262" s="9" t="n">
        <v>1</v>
      </c>
      <c r="M262" s="9" t="n">
        <v>0</v>
      </c>
      <c r="N262" s="9" t="n">
        <v>9</v>
      </c>
      <c r="O262" s="9" t="n">
        <v>543</v>
      </c>
      <c r="P262" s="9" t="n">
        <v>0</v>
      </c>
      <c r="Q262" s="9" t="n">
        <v>0</v>
      </c>
      <c r="R262" s="10" t="n">
        <v>1348</v>
      </c>
      <c r="S262" s="10" t="n">
        <v>0</v>
      </c>
      <c r="T262" s="10" t="n">
        <v>0</v>
      </c>
      <c r="U262" s="10" t="n">
        <v>1348</v>
      </c>
      <c r="V262" s="10" t="n">
        <v>0</v>
      </c>
    </row>
    <row r="263">
      <c r="A263" s="7" t="n">
        <v>263</v>
      </c>
      <c r="B263" s="8" t="inlineStr">
        <is>
          <t>Polling Station 263</t>
        </is>
      </c>
      <c r="C263" s="9" t="n">
        <v>263</v>
      </c>
      <c r="D263" s="9" t="n">
        <v>0</v>
      </c>
      <c r="E263" s="9" t="n">
        <v>405</v>
      </c>
      <c r="F263" s="9" t="n">
        <v>184</v>
      </c>
      <c r="G263" s="9" t="n">
        <v>5</v>
      </c>
      <c r="H263" s="9" t="n">
        <v>0</v>
      </c>
      <c r="I263" s="9" t="n">
        <v>1</v>
      </c>
      <c r="J263" s="9" t="n">
        <v>1</v>
      </c>
      <c r="K263" s="9" t="n">
        <v>4</v>
      </c>
      <c r="L263" s="9" t="n">
        <v>3</v>
      </c>
      <c r="M263" s="9" t="n">
        <v>3</v>
      </c>
      <c r="N263" s="9" t="n">
        <v>10</v>
      </c>
      <c r="O263" s="9" t="n">
        <v>617</v>
      </c>
      <c r="P263" s="9" t="n">
        <v>0</v>
      </c>
      <c r="Q263" s="9" t="n">
        <v>18</v>
      </c>
      <c r="R263" s="10" t="n">
        <v>1514</v>
      </c>
      <c r="S263" s="10" t="n">
        <v>0</v>
      </c>
      <c r="T263" s="10" t="n">
        <v>0</v>
      </c>
      <c r="U263" s="10" t="n">
        <v>1514</v>
      </c>
      <c r="V263" s="10" t="n">
        <v>0</v>
      </c>
    </row>
    <row r="264">
      <c r="A264" s="7" t="n">
        <v>264</v>
      </c>
      <c r="B264" s="8" t="inlineStr">
        <is>
          <t>Polling Station 264</t>
        </is>
      </c>
      <c r="C264" s="9" t="n">
        <v>264</v>
      </c>
      <c r="D264" s="9" t="n">
        <v>0</v>
      </c>
      <c r="E264" s="9" t="n">
        <v>443</v>
      </c>
      <c r="F264" s="9" t="n">
        <v>180</v>
      </c>
      <c r="G264" s="9" t="n">
        <v>4</v>
      </c>
      <c r="H264" s="9" t="n">
        <v>0</v>
      </c>
      <c r="I264" s="9" t="n">
        <v>0</v>
      </c>
      <c r="J264" s="9" t="n">
        <v>1</v>
      </c>
      <c r="K264" s="9" t="n">
        <v>8</v>
      </c>
      <c r="L264" s="9" t="n">
        <v>0</v>
      </c>
      <c r="M264" s="9" t="n">
        <v>0</v>
      </c>
      <c r="N264" s="9" t="n">
        <v>9</v>
      </c>
      <c r="O264" s="9" t="n">
        <v>645</v>
      </c>
      <c r="P264" s="9" t="n">
        <v>0</v>
      </c>
      <c r="Q264" s="9" t="n">
        <v>15</v>
      </c>
      <c r="R264" s="10" t="n">
        <v>1569</v>
      </c>
      <c r="S264" s="10" t="n">
        <v>4</v>
      </c>
      <c r="T264" s="10" t="n">
        <v>4</v>
      </c>
      <c r="U264" s="10" t="n">
        <v>1577</v>
      </c>
      <c r="V264" s="10" t="n">
        <v>0</v>
      </c>
    </row>
    <row r="265">
      <c r="A265" s="7" t="n">
        <v>265</v>
      </c>
      <c r="B265" s="8" t="inlineStr">
        <is>
          <t>Polling Station 265</t>
        </is>
      </c>
      <c r="C265" s="9" t="n">
        <v>265</v>
      </c>
      <c r="D265" s="9" t="n">
        <v>0</v>
      </c>
      <c r="E265" s="9" t="n">
        <v>274</v>
      </c>
      <c r="F265" s="9" t="n">
        <v>181</v>
      </c>
      <c r="G265" s="9" t="n">
        <v>6</v>
      </c>
      <c r="H265" s="9" t="n">
        <v>3</v>
      </c>
      <c r="I265" s="9" t="n">
        <v>0</v>
      </c>
      <c r="J265" s="9" t="n">
        <v>0</v>
      </c>
      <c r="K265" s="9" t="n">
        <v>3</v>
      </c>
      <c r="L265" s="9" t="n">
        <v>0</v>
      </c>
      <c r="M265" s="9" t="n">
        <v>2</v>
      </c>
      <c r="N265" s="9" t="n">
        <v>15</v>
      </c>
      <c r="O265" s="9" t="n">
        <v>484</v>
      </c>
      <c r="P265" s="9" t="n">
        <v>0</v>
      </c>
      <c r="Q265" s="9" t="n">
        <v>12</v>
      </c>
      <c r="R265" s="10" t="n">
        <v>1245</v>
      </c>
      <c r="S265" s="10" t="n">
        <v>0</v>
      </c>
      <c r="T265" s="10" t="n">
        <v>0</v>
      </c>
      <c r="U265" s="10" t="n">
        <v>1245</v>
      </c>
      <c r="V265" s="10" t="n">
        <v>0</v>
      </c>
    </row>
    <row r="266">
      <c r="A266" s="7" t="n">
        <v>266</v>
      </c>
      <c r="B266" s="8" t="inlineStr">
        <is>
          <t>Polling Station 266</t>
        </is>
      </c>
      <c r="C266" s="9" t="n">
        <v>266</v>
      </c>
      <c r="D266" s="9" t="n">
        <v>0</v>
      </c>
      <c r="E266" s="9" t="n">
        <v>330</v>
      </c>
      <c r="F266" s="9" t="n">
        <v>163</v>
      </c>
      <c r="G266" s="9" t="n">
        <v>8</v>
      </c>
      <c r="H266" s="9" t="n">
        <v>5</v>
      </c>
      <c r="I266" s="9" t="n">
        <v>3</v>
      </c>
      <c r="J266" s="9" t="n">
        <v>0</v>
      </c>
      <c r="K266" s="9" t="n">
        <v>2</v>
      </c>
      <c r="L266" s="9" t="n">
        <v>0</v>
      </c>
      <c r="M266" s="9" t="n">
        <v>0</v>
      </c>
      <c r="N266" s="9" t="n">
        <v>6</v>
      </c>
      <c r="O266" s="9" t="n">
        <v>517</v>
      </c>
      <c r="P266" s="9" t="n">
        <v>0</v>
      </c>
      <c r="Q266" s="9" t="n">
        <v>13</v>
      </c>
      <c r="R266" s="10" t="n">
        <v>1313</v>
      </c>
      <c r="S266" s="10" t="n">
        <v>0</v>
      </c>
      <c r="T266" s="10" t="n">
        <v>0</v>
      </c>
      <c r="U266" s="10" t="n">
        <v>1313</v>
      </c>
      <c r="V266" s="10" t="n">
        <v>0</v>
      </c>
    </row>
    <row r="267">
      <c r="A267" s="7" t="n">
        <v>267</v>
      </c>
      <c r="B267" s="8" t="inlineStr">
        <is>
          <t>Polling Station 267</t>
        </is>
      </c>
      <c r="C267" s="9" t="n">
        <v>267</v>
      </c>
      <c r="D267" s="9" t="n">
        <v>0</v>
      </c>
      <c r="E267" s="9" t="n">
        <v>440</v>
      </c>
      <c r="F267" s="9" t="n">
        <v>216</v>
      </c>
      <c r="G267" s="9" t="n">
        <v>1</v>
      </c>
      <c r="H267" s="9" t="n">
        <v>6</v>
      </c>
      <c r="I267" s="9" t="n">
        <v>1</v>
      </c>
      <c r="J267" s="9" t="n">
        <v>2</v>
      </c>
      <c r="K267" s="9" t="n">
        <v>4</v>
      </c>
      <c r="L267" s="9" t="n">
        <v>4</v>
      </c>
      <c r="M267" s="9" t="n">
        <v>5</v>
      </c>
      <c r="N267" s="9" t="n">
        <v>9</v>
      </c>
      <c r="O267" s="9" t="n">
        <v>685</v>
      </c>
      <c r="P267" s="9" t="n">
        <v>0</v>
      </c>
      <c r="Q267" s="9" t="n">
        <v>12</v>
      </c>
      <c r="R267" s="10" t="n">
        <v>1652</v>
      </c>
      <c r="S267" s="10" t="n">
        <v>0</v>
      </c>
      <c r="T267" s="10" t="n">
        <v>0</v>
      </c>
      <c r="U267" s="10" t="n">
        <v>1652</v>
      </c>
      <c r="V267" s="10" t="n">
        <v>0</v>
      </c>
    </row>
    <row r="268">
      <c r="A268" s="7" t="n">
        <v>268</v>
      </c>
      <c r="B268" s="8" t="inlineStr">
        <is>
          <t>Polling Station 268</t>
        </is>
      </c>
      <c r="C268" s="9" t="n">
        <v>268</v>
      </c>
      <c r="D268" s="9" t="n">
        <v>0</v>
      </c>
      <c r="E268" s="9" t="n">
        <v>522</v>
      </c>
      <c r="F268" s="9" t="n">
        <v>197</v>
      </c>
      <c r="G268" s="9" t="n">
        <v>0</v>
      </c>
      <c r="H268" s="9" t="n">
        <v>1</v>
      </c>
      <c r="I268" s="9" t="n">
        <v>0</v>
      </c>
      <c r="J268" s="9" t="n">
        <v>0</v>
      </c>
      <c r="K268" s="9" t="n">
        <v>3</v>
      </c>
      <c r="L268" s="9" t="n">
        <v>4</v>
      </c>
      <c r="M268" s="9" t="n">
        <v>4</v>
      </c>
      <c r="N268" s="9" t="n">
        <v>4</v>
      </c>
      <c r="O268" s="9" t="n">
        <v>747</v>
      </c>
      <c r="P268" s="9" t="n">
        <v>0</v>
      </c>
      <c r="Q268" s="9" t="n">
        <v>14</v>
      </c>
      <c r="R268" s="10" t="n">
        <v>1764</v>
      </c>
      <c r="S268" s="10" t="n">
        <v>0</v>
      </c>
      <c r="T268" s="10" t="n">
        <v>0</v>
      </c>
      <c r="U268" s="10" t="n">
        <v>1764</v>
      </c>
      <c r="V268" s="10" t="n">
        <v>0</v>
      </c>
    </row>
    <row r="269">
      <c r="A269" s="7" t="n">
        <v>269</v>
      </c>
      <c r="B269" s="8" t="inlineStr">
        <is>
          <t>Polling Station 269</t>
        </is>
      </c>
      <c r="C269" s="9" t="n">
        <v>0</v>
      </c>
      <c r="D269" s="9" t="n">
        <v>0</v>
      </c>
      <c r="E269" s="9" t="n">
        <v>303</v>
      </c>
      <c r="F269" s="9" t="n">
        <v>383</v>
      </c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5</v>
      </c>
      <c r="L269" s="9" t="n">
        <v>4</v>
      </c>
      <c r="M269" s="9" t="n">
        <v>4</v>
      </c>
      <c r="N269" s="9" t="n">
        <v>5</v>
      </c>
      <c r="O269" s="9" t="n">
        <v>738</v>
      </c>
      <c r="P269" s="9" t="n">
        <v>0</v>
      </c>
      <c r="Q269" s="9" t="n">
        <v>7</v>
      </c>
      <c r="R269" s="10" t="n">
        <v>1449</v>
      </c>
      <c r="S269" s="10" t="n">
        <v>0</v>
      </c>
      <c r="T269" s="10" t="n">
        <v>0</v>
      </c>
      <c r="U269" s="10" t="n">
        <v>1449</v>
      </c>
      <c r="V269" s="10" t="n">
        <v>0</v>
      </c>
    </row>
    <row r="270">
      <c r="A270" s="7" t="n">
        <v>270</v>
      </c>
      <c r="B270" s="8" t="inlineStr">
        <is>
          <t>Polling Station 270</t>
        </is>
      </c>
      <c r="C270" s="9" t="n">
        <v>270</v>
      </c>
      <c r="D270" s="9" t="n">
        <v>0</v>
      </c>
      <c r="E270" s="9" t="n">
        <v>498</v>
      </c>
      <c r="F270" s="9" t="n">
        <v>232</v>
      </c>
      <c r="G270" s="9" t="n">
        <v>2</v>
      </c>
      <c r="H270" s="9" t="n">
        <v>0</v>
      </c>
      <c r="I270" s="9" t="n">
        <v>3</v>
      </c>
      <c r="J270" s="9" t="n">
        <v>1</v>
      </c>
      <c r="K270" s="9" t="n">
        <v>4</v>
      </c>
      <c r="L270" s="9" t="n">
        <v>4</v>
      </c>
      <c r="M270" s="9" t="n">
        <v>0</v>
      </c>
      <c r="N270" s="9" t="n">
        <v>0</v>
      </c>
      <c r="O270" s="9" t="n">
        <v>752</v>
      </c>
      <c r="P270" s="9" t="n">
        <v>0</v>
      </c>
      <c r="Q270" s="9" t="n">
        <v>6</v>
      </c>
      <c r="R270" s="10" t="n">
        <v>1772</v>
      </c>
      <c r="S270" s="10" t="n">
        <v>2</v>
      </c>
      <c r="T270" s="10" t="n">
        <v>2</v>
      </c>
      <c r="U270" s="10" t="n">
        <v>1776</v>
      </c>
      <c r="V270" s="10" t="n">
        <v>0</v>
      </c>
    </row>
    <row r="271">
      <c r="A271" s="7" t="n">
        <v>271</v>
      </c>
      <c r="B271" s="8" t="inlineStr">
        <is>
          <t>Polling Station 271</t>
        </is>
      </c>
      <c r="C271" s="9" t="n">
        <v>274</v>
      </c>
      <c r="D271" s="9" t="n">
        <v>0</v>
      </c>
      <c r="E271" s="9" t="n">
        <v>493</v>
      </c>
      <c r="F271" s="9" t="n">
        <v>201</v>
      </c>
      <c r="G271" s="9" t="n">
        <v>3</v>
      </c>
      <c r="H271" s="9" t="n">
        <v>3</v>
      </c>
      <c r="I271" s="9" t="n">
        <v>0</v>
      </c>
      <c r="J271" s="9" t="n">
        <v>4</v>
      </c>
      <c r="K271" s="9" t="n">
        <v>6</v>
      </c>
      <c r="L271" s="9" t="n">
        <v>3</v>
      </c>
      <c r="M271" s="9" t="n">
        <v>3</v>
      </c>
      <c r="N271" s="9" t="n">
        <v>17</v>
      </c>
      <c r="O271" s="9" t="n">
        <v>730</v>
      </c>
      <c r="P271" s="9" t="n">
        <v>0</v>
      </c>
      <c r="Q271" s="9" t="n">
        <v>14</v>
      </c>
      <c r="R271" s="10" t="n">
        <v>1751</v>
      </c>
      <c r="S271" s="10" t="n">
        <v>0</v>
      </c>
      <c r="T271" s="10" t="n">
        <v>0</v>
      </c>
      <c r="U271" s="10" t="n">
        <v>1751</v>
      </c>
      <c r="V271" s="10" t="n">
        <v>0</v>
      </c>
    </row>
    <row r="272">
      <c r="A272" s="7" t="n">
        <v>272</v>
      </c>
      <c r="B272" s="8" t="inlineStr">
        <is>
          <t>Polling Station 272</t>
        </is>
      </c>
      <c r="C272" s="9" t="n">
        <v>272</v>
      </c>
      <c r="D272" s="9" t="n">
        <v>0</v>
      </c>
      <c r="E272" s="9" t="n">
        <v>529</v>
      </c>
      <c r="F272" s="9" t="n">
        <v>0</v>
      </c>
      <c r="G272" s="9" t="n">
        <v>2</v>
      </c>
      <c r="H272" s="9" t="n">
        <v>4</v>
      </c>
      <c r="I272" s="9" t="n">
        <v>0</v>
      </c>
      <c r="J272" s="9" t="n">
        <v>2</v>
      </c>
      <c r="K272" s="9" t="n">
        <v>7</v>
      </c>
      <c r="L272" s="9" t="n">
        <v>0</v>
      </c>
      <c r="M272" s="9" t="n">
        <v>1</v>
      </c>
      <c r="N272" s="9" t="n">
        <v>5</v>
      </c>
      <c r="O272" s="9" t="n">
        <v>752</v>
      </c>
      <c r="P272" s="9" t="n">
        <v>0</v>
      </c>
      <c r="Q272" s="9" t="n">
        <v>2</v>
      </c>
      <c r="R272" s="10" t="n">
        <v>1576</v>
      </c>
      <c r="S272" s="10" t="n">
        <v>0</v>
      </c>
      <c r="T272" s="10" t="n">
        <v>0</v>
      </c>
      <c r="U272" s="10" t="n">
        <v>1576</v>
      </c>
      <c r="V272" s="10" t="n">
        <v>0</v>
      </c>
    </row>
    <row r="273">
      <c r="A273" s="7" t="n">
        <v>273</v>
      </c>
      <c r="B273" s="8" t="inlineStr">
        <is>
          <t>Polling Station 273</t>
        </is>
      </c>
      <c r="C273" s="9" t="n">
        <v>273</v>
      </c>
      <c r="D273" s="9" t="n">
        <v>0</v>
      </c>
      <c r="E273" s="9" t="n">
        <v>296</v>
      </c>
      <c r="F273" s="9" t="n">
        <v>182</v>
      </c>
      <c r="G273" s="9" t="n">
        <v>3</v>
      </c>
      <c r="H273" s="9" t="n">
        <v>4</v>
      </c>
      <c r="I273" s="9" t="n">
        <v>0</v>
      </c>
      <c r="J273" s="9" t="n">
        <v>2</v>
      </c>
      <c r="K273" s="9" t="n">
        <v>6</v>
      </c>
      <c r="L273" s="9" t="n">
        <v>2</v>
      </c>
      <c r="M273" s="9" t="n">
        <v>7</v>
      </c>
      <c r="N273" s="9" t="n">
        <v>9</v>
      </c>
      <c r="O273" s="9" t="n">
        <v>511</v>
      </c>
      <c r="P273" s="9" t="n">
        <v>0</v>
      </c>
      <c r="Q273" s="9" t="n">
        <v>13</v>
      </c>
      <c r="R273" s="10" t="n">
        <v>1308</v>
      </c>
      <c r="S273" s="10" t="n">
        <v>0</v>
      </c>
      <c r="T273" s="10" t="n">
        <v>0</v>
      </c>
      <c r="U273" s="10" t="n">
        <v>1308</v>
      </c>
      <c r="V273" s="10" t="n">
        <v>0</v>
      </c>
    </row>
    <row r="274">
      <c r="A274" s="7" t="n">
        <v>274</v>
      </c>
      <c r="B274" s="8" t="inlineStr">
        <is>
          <t>Polling Station 274</t>
        </is>
      </c>
      <c r="C274" s="9" t="n">
        <v>274</v>
      </c>
      <c r="D274" s="9" t="n">
        <v>0</v>
      </c>
      <c r="E274" s="9" t="n">
        <v>0</v>
      </c>
      <c r="F274" s="9" t="n">
        <v>144</v>
      </c>
      <c r="G274" s="9" t="n">
        <v>2</v>
      </c>
      <c r="H274" s="9" t="n">
        <v>7</v>
      </c>
      <c r="I274" s="9" t="n">
        <v>0</v>
      </c>
      <c r="J274" s="9" t="n">
        <v>0</v>
      </c>
      <c r="K274" s="9" t="n">
        <v>3</v>
      </c>
      <c r="L274" s="9" t="n">
        <v>1</v>
      </c>
      <c r="M274" s="9" t="n">
        <v>4</v>
      </c>
      <c r="N274" s="9" t="n">
        <v>5</v>
      </c>
      <c r="O274" s="9" t="n">
        <v>532</v>
      </c>
      <c r="P274" s="9" t="n">
        <v>0</v>
      </c>
      <c r="Q274" s="9" t="n">
        <v>10</v>
      </c>
      <c r="R274" s="10" t="n">
        <v>982</v>
      </c>
      <c r="S274" s="10" t="n">
        <v>0</v>
      </c>
      <c r="T274" s="10" t="n">
        <v>0</v>
      </c>
      <c r="U274" s="10" t="n">
        <v>982</v>
      </c>
      <c r="V274" s="10" t="n">
        <v>0</v>
      </c>
    </row>
    <row r="275">
      <c r="A275" s="7" t="n">
        <v>275</v>
      </c>
      <c r="B275" s="8" t="inlineStr">
        <is>
          <t>Polling Station 275</t>
        </is>
      </c>
      <c r="C275" s="9" t="n">
        <v>0</v>
      </c>
      <c r="D275" s="9" t="n">
        <v>0</v>
      </c>
      <c r="E275" s="9" t="n">
        <v>268</v>
      </c>
      <c r="F275" s="9" t="n">
        <v>194</v>
      </c>
      <c r="G275" s="9" t="n">
        <v>2</v>
      </c>
      <c r="H275" s="9" t="n">
        <v>2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8</v>
      </c>
      <c r="O275" s="9" t="n">
        <v>476</v>
      </c>
      <c r="P275" s="9" t="n">
        <v>0</v>
      </c>
      <c r="Q275" s="9" t="n">
        <v>6</v>
      </c>
      <c r="R275" s="10" t="n">
        <v>956</v>
      </c>
      <c r="S275" s="10" t="n">
        <v>0</v>
      </c>
      <c r="T275" s="10" t="n">
        <v>0</v>
      </c>
      <c r="U275" s="10" t="n">
        <v>956</v>
      </c>
      <c r="V275" s="10" t="n">
        <v>0</v>
      </c>
    </row>
    <row r="276">
      <c r="A276" s="7" t="n">
        <v>276</v>
      </c>
      <c r="B276" s="8" t="inlineStr">
        <is>
          <t>Polling Station 276</t>
        </is>
      </c>
      <c r="C276" s="9" t="n">
        <v>276</v>
      </c>
      <c r="D276" s="9" t="n">
        <v>0</v>
      </c>
      <c r="E276" s="9" t="n">
        <v>0</v>
      </c>
      <c r="F276" s="9" t="n">
        <v>210</v>
      </c>
      <c r="G276" s="9" t="n">
        <v>3</v>
      </c>
      <c r="H276" s="9" t="n">
        <v>2</v>
      </c>
      <c r="I276" s="9" t="n">
        <v>1</v>
      </c>
      <c r="J276" s="9" t="n">
        <v>0</v>
      </c>
      <c r="K276" s="9" t="n">
        <v>1</v>
      </c>
      <c r="L276" s="9" t="n">
        <v>0</v>
      </c>
      <c r="M276" s="9" t="n">
        <v>1</v>
      </c>
      <c r="N276" s="9" t="n">
        <v>5</v>
      </c>
      <c r="O276" s="9" t="n">
        <v>561</v>
      </c>
      <c r="P276" s="9" t="n">
        <v>0</v>
      </c>
      <c r="Q276" s="9" t="n">
        <v>5</v>
      </c>
      <c r="R276" s="10" t="n">
        <v>1065</v>
      </c>
      <c r="S276" s="10" t="n">
        <v>2</v>
      </c>
      <c r="T276" s="10" t="n">
        <v>2</v>
      </c>
      <c r="U276" s="10" t="n">
        <v>1069</v>
      </c>
      <c r="V276" s="10" t="n">
        <v>0</v>
      </c>
    </row>
    <row r="277">
      <c r="A277" s="7" t="n">
        <v>277</v>
      </c>
      <c r="B277" s="8" t="inlineStr">
        <is>
          <t>Polling Station 277</t>
        </is>
      </c>
      <c r="C277" s="9" t="n">
        <v>27</v>
      </c>
      <c r="D277" s="9" t="n">
        <v>0</v>
      </c>
      <c r="E277" s="9" t="n">
        <v>385</v>
      </c>
      <c r="F277" s="9" t="n">
        <v>210</v>
      </c>
      <c r="G277" s="9" t="n">
        <v>3</v>
      </c>
      <c r="H277" s="9" t="n">
        <v>9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1</v>
      </c>
      <c r="N277" s="9" t="n">
        <v>3</v>
      </c>
      <c r="O277" s="9" t="n">
        <v>611</v>
      </c>
      <c r="P277" s="9" t="n">
        <v>0</v>
      </c>
      <c r="Q277" s="9" t="n">
        <v>2</v>
      </c>
      <c r="R277" s="10" t="n">
        <v>1251</v>
      </c>
      <c r="S277" s="10" t="n">
        <v>0</v>
      </c>
      <c r="T277" s="10" t="n">
        <v>0</v>
      </c>
      <c r="U277" s="10" t="n">
        <v>1251</v>
      </c>
      <c r="V277" s="10" t="n">
        <v>0</v>
      </c>
    </row>
    <row r="278">
      <c r="A278" s="7" t="n">
        <v>278</v>
      </c>
      <c r="B278" s="8" t="inlineStr">
        <is>
          <t>Polling Station 278</t>
        </is>
      </c>
      <c r="C278" s="9" t="n">
        <v>278</v>
      </c>
      <c r="D278" s="9" t="n">
        <v>0</v>
      </c>
      <c r="E278" s="9" t="n">
        <v>324</v>
      </c>
      <c r="F278" s="9" t="n">
        <v>215</v>
      </c>
      <c r="G278" s="9" t="n">
        <v>2</v>
      </c>
      <c r="H278" s="9" t="n">
        <v>4</v>
      </c>
      <c r="I278" s="9" t="n">
        <v>20</v>
      </c>
      <c r="J278" s="9" t="n">
        <v>0</v>
      </c>
      <c r="K278" s="9" t="n">
        <v>4</v>
      </c>
      <c r="L278" s="9" t="n">
        <v>0</v>
      </c>
      <c r="M278" s="9" t="n">
        <v>1</v>
      </c>
      <c r="N278" s="9" t="n">
        <v>5</v>
      </c>
      <c r="O278" s="9" t="n">
        <v>55</v>
      </c>
      <c r="P278" s="9" t="n">
        <v>0</v>
      </c>
      <c r="Q278" s="9" t="n">
        <v>0</v>
      </c>
      <c r="R278" s="10" t="n">
        <v>908</v>
      </c>
      <c r="S278" s="10" t="n">
        <v>0</v>
      </c>
      <c r="T278" s="10" t="n">
        <v>0</v>
      </c>
      <c r="U278" s="10" t="n">
        <v>908</v>
      </c>
      <c r="V278" s="10" t="n">
        <v>0</v>
      </c>
    </row>
    <row r="279">
      <c r="A279" s="7" t="n">
        <v>279</v>
      </c>
      <c r="B279" s="8" t="inlineStr">
        <is>
          <t>Polling Station 279</t>
        </is>
      </c>
      <c r="C279" s="9" t="n">
        <v>279</v>
      </c>
      <c r="D279" s="9" t="n">
        <v>0</v>
      </c>
      <c r="E279" s="9" t="n">
        <v>576</v>
      </c>
      <c r="F279" s="9" t="n">
        <v>297</v>
      </c>
      <c r="G279" s="9" t="n">
        <v>2</v>
      </c>
      <c r="H279" s="9" t="n">
        <v>6</v>
      </c>
      <c r="I279" s="9" t="n">
        <v>41</v>
      </c>
      <c r="J279" s="9" t="n">
        <v>1</v>
      </c>
      <c r="K279" s="9" t="n">
        <v>3</v>
      </c>
      <c r="L279" s="9" t="n">
        <v>0</v>
      </c>
      <c r="M279" s="9" t="n">
        <v>2</v>
      </c>
      <c r="N279" s="9" t="n">
        <v>13</v>
      </c>
      <c r="O279" s="9" t="n">
        <v>901</v>
      </c>
      <c r="P279" s="9" t="n">
        <v>0</v>
      </c>
      <c r="Q279" s="9" t="n">
        <v>0</v>
      </c>
      <c r="R279" s="10" t="n">
        <v>2121</v>
      </c>
      <c r="S279" s="10" t="n">
        <v>0</v>
      </c>
      <c r="T279" s="10" t="n">
        <v>0</v>
      </c>
      <c r="U279" s="10" t="n">
        <v>2121</v>
      </c>
      <c r="V279" s="10" t="n">
        <v>0</v>
      </c>
    </row>
    <row r="280">
      <c r="A280" s="7" t="n">
        <v>280</v>
      </c>
      <c r="B280" s="8" t="inlineStr">
        <is>
          <t>Polling Station 280</t>
        </is>
      </c>
      <c r="C280" s="9" t="n">
        <v>0</v>
      </c>
      <c r="D280" s="9" t="n">
        <v>0</v>
      </c>
      <c r="E280" s="9" t="n">
        <v>0</v>
      </c>
      <c r="F280" s="9" t="n">
        <v>0</v>
      </c>
      <c r="G280" s="9" t="n">
        <v>1015</v>
      </c>
      <c r="H280" s="9" t="n">
        <v>0</v>
      </c>
      <c r="I280" s="9" t="n">
        <v>379</v>
      </c>
      <c r="J280" s="9" t="n">
        <v>338</v>
      </c>
      <c r="K280" s="9" t="n">
        <v>1090</v>
      </c>
      <c r="L280" s="9" t="n">
        <v>250</v>
      </c>
      <c r="M280" s="9" t="n">
        <v>47</v>
      </c>
      <c r="N280" s="9" t="n">
        <v>0</v>
      </c>
      <c r="O280" s="9" t="n">
        <v>0</v>
      </c>
      <c r="P280" s="9" t="n">
        <v>0</v>
      </c>
      <c r="Q280" s="9" t="n">
        <v>0</v>
      </c>
      <c r="R280" s="10" t="n">
        <v>3119</v>
      </c>
      <c r="S280" s="10" t="n">
        <v>0</v>
      </c>
      <c r="T280" s="10" t="n">
        <v>0</v>
      </c>
      <c r="U280" s="10" t="n">
        <v>3119</v>
      </c>
      <c r="V280" s="10" t="n">
        <v>0</v>
      </c>
    </row>
    <row r="281">
      <c r="A281" s="7" t="n">
        <v>281</v>
      </c>
      <c r="B281" s="8" t="inlineStr">
        <is>
          <t>Polling Station 281</t>
        </is>
      </c>
      <c r="C281" s="9" t="n">
        <v>0</v>
      </c>
      <c r="D281" s="9" t="n">
        <v>0</v>
      </c>
      <c r="E281" s="9" t="n">
        <v>374</v>
      </c>
      <c r="F281" s="9" t="n">
        <v>517</v>
      </c>
      <c r="G281" s="9" t="n">
        <v>9</v>
      </c>
      <c r="H281" s="9" t="n">
        <v>13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916</v>
      </c>
      <c r="P281" s="9" t="n">
        <v>0</v>
      </c>
      <c r="Q281" s="9" t="n">
        <v>0</v>
      </c>
      <c r="R281" s="10" t="n">
        <v>1829</v>
      </c>
      <c r="S281" s="10" t="n">
        <v>0</v>
      </c>
      <c r="T281" s="10" t="n">
        <v>0</v>
      </c>
      <c r="U281" s="10" t="n">
        <v>1829</v>
      </c>
      <c r="V281" s="10" t="n">
        <v>0</v>
      </c>
    </row>
    <row r="282">
      <c r="A282" s="7" t="n">
        <v>282</v>
      </c>
      <c r="B282" s="8" t="inlineStr">
        <is>
          <t>Polling Station 282</t>
        </is>
      </c>
      <c r="C282" s="9" t="n">
        <v>0</v>
      </c>
      <c r="D282" s="9" t="n">
        <v>0</v>
      </c>
      <c r="E282" s="9" t="n">
        <v>0</v>
      </c>
      <c r="F282" s="9" t="n">
        <v>0</v>
      </c>
      <c r="G282" s="9" t="n">
        <v>1024</v>
      </c>
      <c r="H282" s="9" t="n">
        <v>0</v>
      </c>
      <c r="I282" s="9" t="n">
        <v>0</v>
      </c>
      <c r="J282" s="9" t="n">
        <v>338</v>
      </c>
      <c r="K282" s="9" t="n">
        <v>1090</v>
      </c>
      <c r="L282" s="9" t="n">
        <v>250</v>
      </c>
      <c r="M282" s="9" t="n">
        <v>47</v>
      </c>
      <c r="N282" s="9" t="n">
        <v>0</v>
      </c>
      <c r="O282" s="9" t="n">
        <v>0</v>
      </c>
      <c r="P282" s="9" t="n">
        <v>0</v>
      </c>
      <c r="Q282" s="9" t="n">
        <v>0</v>
      </c>
      <c r="R282" s="10" t="n">
        <v>2749</v>
      </c>
      <c r="S282" s="10" t="n">
        <v>0</v>
      </c>
      <c r="T282" s="10" t="n">
        <v>0</v>
      </c>
      <c r="U282" s="10" t="n">
        <v>2749</v>
      </c>
      <c r="V282" s="10" t="n">
        <v>0</v>
      </c>
    </row>
    <row r="283">
      <c r="A283" s="11" t="inlineStr">
        <is>
          <t>TOTAL EVM VOTES</t>
        </is>
      </c>
      <c r="B283" s="12" t="n"/>
      <c r="C283" s="13">
        <f>SUM(C6:C282)</f>
        <v/>
      </c>
      <c r="D283" s="13">
        <f>SUM(D6:D282)</f>
        <v/>
      </c>
      <c r="E283" s="13">
        <f>SUM(E6:E282)</f>
        <v/>
      </c>
      <c r="F283" s="13">
        <f>SUM(F6:F282)</f>
        <v/>
      </c>
      <c r="G283" s="13">
        <f>SUM(G6:G282)</f>
        <v/>
      </c>
      <c r="H283" s="13">
        <f>SUM(H6:H282)</f>
        <v/>
      </c>
      <c r="I283" s="13">
        <f>SUM(I6:I282)</f>
        <v/>
      </c>
      <c r="J283" s="13">
        <f>SUM(J6:J282)</f>
        <v/>
      </c>
      <c r="K283" s="13">
        <f>SUM(K6:K282)</f>
        <v/>
      </c>
      <c r="L283" s="13">
        <f>SUM(L6:L282)</f>
        <v/>
      </c>
      <c r="M283" s="13">
        <f>SUM(M6:M282)</f>
        <v/>
      </c>
      <c r="N283" s="13">
        <f>SUM(N6:N282)</f>
        <v/>
      </c>
      <c r="O283" s="13">
        <f>SUM(O6:O282)</f>
        <v/>
      </c>
      <c r="P283" s="13">
        <f>SUM(P6:P282)</f>
        <v/>
      </c>
      <c r="Q283" s="13">
        <f>SUM(Q6:Q282)</f>
        <v/>
      </c>
      <c r="R283" s="13">
        <f>SUM(R6:R282)</f>
        <v/>
      </c>
      <c r="S283" s="13">
        <f>SUM(S6:S282)</f>
        <v/>
      </c>
      <c r="T283" s="13">
        <f>SUM(T6:T282)</f>
        <v/>
      </c>
      <c r="U283" s="13">
        <f>SUM(U6:U282)</f>
        <v/>
      </c>
      <c r="V283" s="13">
        <f>SUM(V6:V282)</f>
        <v/>
      </c>
    </row>
    <row r="284">
      <c r="A284" s="11" t="inlineStr">
        <is>
          <t>POSTAL BALLOT VOTES</t>
        </is>
      </c>
      <c r="B284" s="12" t="n"/>
      <c r="C284" s="13" t="n">
        <v>0</v>
      </c>
      <c r="D284" s="13" t="n">
        <v>0</v>
      </c>
      <c r="E284" s="13" t="n">
        <v>0</v>
      </c>
      <c r="F284" s="13" t="n">
        <v>0</v>
      </c>
      <c r="G284" s="13" t="n">
        <v>0</v>
      </c>
      <c r="H284" s="13" t="n">
        <v>0</v>
      </c>
      <c r="I284" s="13" t="n">
        <v>0</v>
      </c>
      <c r="J284" s="13" t="n">
        <v>0</v>
      </c>
      <c r="K284" s="13" t="n">
        <v>0</v>
      </c>
      <c r="L284" s="13" t="n">
        <v>0</v>
      </c>
      <c r="M284" s="13" t="n">
        <v>0</v>
      </c>
      <c r="N284" s="13" t="n">
        <v>0</v>
      </c>
      <c r="O284" s="13" t="n">
        <v>0</v>
      </c>
      <c r="P284" s="13" t="n">
        <v>0</v>
      </c>
      <c r="Q284" s="13" t="n">
        <v>0</v>
      </c>
      <c r="R284" s="13" t="n">
        <v>0</v>
      </c>
      <c r="S284" s="13" t="n">
        <v>0</v>
      </c>
      <c r="T284" s="13" t="n">
        <v>0</v>
      </c>
      <c r="U284" s="13" t="n">
        <v>0</v>
      </c>
      <c r="V284" s="13" t="n">
        <v>0</v>
      </c>
    </row>
    <row r="285">
      <c r="A285" s="11" t="inlineStr">
        <is>
          <t>TOTAL VOTES POLLED</t>
        </is>
      </c>
      <c r="B285" s="12" t="n"/>
      <c r="C285" s="14">
        <f>C283+C284</f>
        <v/>
      </c>
      <c r="D285" s="14">
        <f>D283+D284</f>
        <v/>
      </c>
      <c r="E285" s="14">
        <f>E283+E284</f>
        <v/>
      </c>
      <c r="F285" s="14">
        <f>F283+F284</f>
        <v/>
      </c>
      <c r="G285" s="14">
        <f>G283+G284</f>
        <v/>
      </c>
      <c r="H285" s="14">
        <f>H283+H284</f>
        <v/>
      </c>
      <c r="I285" s="14">
        <f>I283+I284</f>
        <v/>
      </c>
      <c r="J285" s="14">
        <f>J283+J284</f>
        <v/>
      </c>
      <c r="K285" s="14">
        <f>K283+K284</f>
        <v/>
      </c>
      <c r="L285" s="14">
        <f>L283+L284</f>
        <v/>
      </c>
      <c r="M285" s="14">
        <f>M283+M284</f>
        <v/>
      </c>
      <c r="N285" s="14">
        <f>N283+N284</f>
        <v/>
      </c>
      <c r="O285" s="14">
        <f>O283+O284</f>
        <v/>
      </c>
      <c r="P285" s="14">
        <f>P283+P284</f>
        <v/>
      </c>
      <c r="Q285" s="14">
        <f>Q283+Q284</f>
        <v/>
      </c>
      <c r="R285" s="14">
        <f>R283+R284</f>
        <v/>
      </c>
      <c r="S285" s="14">
        <f>S283+S284</f>
        <v/>
      </c>
      <c r="T285" s="14">
        <f>T283+T284</f>
        <v/>
      </c>
      <c r="U285" s="14">
        <f>U283+U284</f>
        <v/>
      </c>
      <c r="V285" s="14">
        <f>V283+V284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21" customWidth="1" min="3" max="3"/>
    <col width="24" customWidth="1" min="4" max="4"/>
    <col width="26" customWidth="1" min="5" max="5"/>
    <col width="24" customWidth="1" min="6" max="6"/>
    <col width="27" customWidth="1" min="7" max="7"/>
    <col width="17" customWidth="1" min="8" max="8"/>
    <col width="17" customWidth="1" min="9" max="9"/>
    <col width="19" customWidth="1" min="10" max="10"/>
    <col width="16" customWidth="1" min="11" max="11"/>
    <col width="19" customWidth="1" min="12" max="12"/>
    <col width="22" customWidth="1" min="13" max="13"/>
    <col width="21" customWidth="1" min="14" max="14"/>
    <col width="29" customWidth="1" min="15" max="15"/>
    <col width="16" customWidth="1" min="16" max="16"/>
    <col width="22" customWidth="1" min="17" max="17"/>
    <col width="21" customWidth="1" min="18" max="18"/>
    <col width="20" customWidth="1" min="19" max="19"/>
    <col width="17" customWidth="1" min="20" max="20"/>
    <col width="16" customWidth="1" min="21" max="21"/>
    <col width="16" customWidth="1" min="22" max="22"/>
    <col width="17" customWidth="1" min="23" max="23"/>
    <col width="23" customWidth="1" min="24" max="24"/>
  </cols>
  <sheetData>
    <row r="1">
      <c r="A1" s="15" t="inlineStr">
        <is>
          <t>ANNEXURE - XLI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15" t="inlineStr">
        <is>
          <t>FINAL RESULT SHEET [SEE RULE 56(7)]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15" t="inlineStr">
        <is>
          <t>GENERAL ELECTION TO THE TSLA - 2018 FROM THE 32-HUSNABAD ASSEMBLY CONSTITUENCY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15" t="inlineStr">
        <is>
          <t>PART - I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42" customHeight="1">
      <c r="A5" s="16" t="inlineStr">
        <is>
          <t>PS_No</t>
        </is>
      </c>
      <c r="B5" s="16" t="inlineStr">
        <is>
          <t>PS_Name</t>
        </is>
      </c>
      <c r="C5" s="16" t="inlineStr">
        <is>
          <t>CHADA VENKAT REDDY</t>
        </is>
      </c>
      <c r="D5" s="16" t="inlineStr">
        <is>
          <t>CHADA SRINIVASA REDDY</t>
        </is>
      </c>
      <c r="E5" s="16" t="inlineStr">
        <is>
          <t>NAROJU KOTESHWARA CHARI</t>
        </is>
      </c>
      <c r="F5" s="16" t="inlineStr">
        <is>
          <t>SATISH KUMAR VODITELA</t>
        </is>
      </c>
      <c r="G5" s="16" t="inlineStr">
        <is>
          <t>AILENI MALLIKARJUN REDDY</t>
        </is>
      </c>
      <c r="H5" s="16" t="inlineStr">
        <is>
          <t>ERROLLA RAMESH</t>
        </is>
      </c>
      <c r="I5" s="16" t="inlineStr">
        <is>
          <t>KAPARTHI RAGHU</t>
        </is>
      </c>
      <c r="J5" s="16" t="inlineStr">
        <is>
          <t>KOMMULA RAVINDER</t>
        </is>
      </c>
      <c r="K5" s="16" t="inlineStr">
        <is>
          <t>GOLI RAVI</t>
        </is>
      </c>
      <c r="L5" s="16" t="inlineStr">
        <is>
          <t>DASARI KANAKAIAH</t>
        </is>
      </c>
      <c r="M5" s="16" t="inlineStr">
        <is>
          <t>BOINI SADAN MAHARAJ</t>
        </is>
      </c>
      <c r="N5" s="16" t="inlineStr">
        <is>
          <t>LINGAMPELLY LAXMAN</t>
        </is>
      </c>
      <c r="O5" s="16" t="inlineStr">
        <is>
          <t>VADLAKONDA RAVIKUMAR REDDY</t>
        </is>
      </c>
      <c r="P5" s="16" t="inlineStr">
        <is>
          <t>SAMPATH NALLA</t>
        </is>
      </c>
      <c r="Q5" s="16" t="inlineStr">
        <is>
          <t>SINGAPURAM MALLAIAH</t>
        </is>
      </c>
      <c r="R5" s="16" t="inlineStr">
        <is>
          <t>SURAM VENKAT REDDY</t>
        </is>
      </c>
      <c r="S5" s="16" t="inlineStr">
        <is>
          <t>Total_Valid_Votes</t>
        </is>
      </c>
      <c r="T5" s="16" t="inlineStr">
        <is>
          <t>Rejected_Votes</t>
        </is>
      </c>
      <c r="U5" s="16" t="inlineStr">
        <is>
          <t>NOTA</t>
        </is>
      </c>
      <c r="V5" s="16" t="inlineStr">
        <is>
          <t>Total_Votes</t>
        </is>
      </c>
      <c r="W5" s="16" t="inlineStr">
        <is>
          <t>Tendered_Votes</t>
        </is>
      </c>
      <c r="X5" s="16" t="inlineStr">
        <is>
          <t>Checksum_Diff</t>
        </is>
      </c>
    </row>
    <row r="6">
      <c r="A6" s="18" t="n">
        <v>1</v>
      </c>
      <c r="B6" s="27" t="inlineStr">
        <is>
          <t>PANDILLA</t>
        </is>
      </c>
      <c r="C6" s="20" t="n">
        <v>143</v>
      </c>
      <c r="D6" s="20" t="n">
        <v>19</v>
      </c>
      <c r="E6" s="20" t="n">
        <v>5</v>
      </c>
      <c r="F6" s="20" t="n">
        <v>471</v>
      </c>
      <c r="G6" s="20" t="n">
        <v>33</v>
      </c>
      <c r="H6" s="20" t="n">
        <v>4</v>
      </c>
      <c r="I6" s="20" t="n">
        <v>7</v>
      </c>
      <c r="J6" s="20" t="n">
        <v>6</v>
      </c>
      <c r="K6" s="20" t="n">
        <v>2</v>
      </c>
      <c r="L6" s="20" t="n">
        <v>16</v>
      </c>
      <c r="M6" s="20" t="n">
        <v>4</v>
      </c>
      <c r="N6" s="20" t="n">
        <v>3</v>
      </c>
      <c r="O6" s="20" t="n">
        <v>0</v>
      </c>
      <c r="P6" s="20" t="n">
        <v>0</v>
      </c>
      <c r="Q6" s="20" t="n">
        <v>2</v>
      </c>
      <c r="R6" s="20" t="n">
        <v>715</v>
      </c>
      <c r="S6" s="20" t="n">
        <v>1430</v>
      </c>
      <c r="T6" s="20" t="n">
        <v>12</v>
      </c>
      <c r="U6" s="20" t="n">
        <v>0</v>
      </c>
      <c r="V6" s="20" t="n">
        <v>1442</v>
      </c>
      <c r="W6" s="20" t="n">
        <v>0</v>
      </c>
      <c r="X6" s="20">
        <f>SUM(C7:R7)-S7</f>
        <v/>
      </c>
    </row>
    <row r="7">
      <c r="A7" s="18" t="n">
        <v>2</v>
      </c>
      <c r="B7" s="27" t="inlineStr">
        <is>
          <t>PANDILLA</t>
        </is>
      </c>
      <c r="C7" s="20" t="n">
        <v>68</v>
      </c>
      <c r="D7" s="20" t="n">
        <v>13</v>
      </c>
      <c r="E7" s="20" t="n">
        <v>7</v>
      </c>
      <c r="F7" s="20" t="n">
        <v>541</v>
      </c>
      <c r="G7" s="20" t="n">
        <v>55</v>
      </c>
      <c r="H7" s="20" t="n">
        <v>2</v>
      </c>
      <c r="I7" s="20" t="n">
        <v>11</v>
      </c>
      <c r="J7" s="20" t="n">
        <v>2</v>
      </c>
      <c r="K7" s="20" t="n">
        <v>4</v>
      </c>
      <c r="L7" s="20" t="n">
        <v>26</v>
      </c>
      <c r="M7" s="20" t="n">
        <v>12</v>
      </c>
      <c r="N7" s="20" t="n">
        <v>5</v>
      </c>
      <c r="O7" s="20" t="n">
        <v>8</v>
      </c>
      <c r="P7" s="20" t="n">
        <v>5</v>
      </c>
      <c r="Q7" s="20" t="n">
        <v>5</v>
      </c>
      <c r="R7" s="20" t="n">
        <v>764</v>
      </c>
      <c r="S7" s="20" t="n">
        <v>1528</v>
      </c>
      <c r="T7" s="20" t="n">
        <v>29</v>
      </c>
      <c r="U7" s="20" t="n">
        <v>0</v>
      </c>
      <c r="V7" s="20" t="n">
        <v>1557</v>
      </c>
      <c r="W7" s="20" t="n">
        <v>0</v>
      </c>
      <c r="X7" s="20">
        <f>SUM(C8:R8)-S8</f>
        <v/>
      </c>
    </row>
    <row r="8">
      <c r="A8" s="18" t="n">
        <v>3</v>
      </c>
      <c r="B8" s="27" t="inlineStr">
        <is>
          <t>BANJERUPALLE</t>
        </is>
      </c>
      <c r="C8" s="20" t="n">
        <v>69</v>
      </c>
      <c r="D8" s="20" t="n">
        <v>6</v>
      </c>
      <c r="E8" s="20" t="n">
        <v>6</v>
      </c>
      <c r="F8" s="20" t="n">
        <v>379</v>
      </c>
      <c r="G8" s="20" t="n">
        <v>12</v>
      </c>
      <c r="H8" s="20" t="n">
        <v>1</v>
      </c>
      <c r="I8" s="20" t="n">
        <v>5</v>
      </c>
      <c r="J8" s="20" t="n">
        <v>4</v>
      </c>
      <c r="K8" s="20" t="n">
        <v>2</v>
      </c>
      <c r="L8" s="20" t="n">
        <v>18</v>
      </c>
      <c r="M8" s="20" t="n">
        <v>1</v>
      </c>
      <c r="N8" s="20" t="n">
        <v>1</v>
      </c>
      <c r="O8" s="20" t="n">
        <v>2</v>
      </c>
      <c r="P8" s="20" t="n">
        <v>2</v>
      </c>
      <c r="Q8" s="20" t="n">
        <v>3</v>
      </c>
      <c r="R8" s="20" t="n">
        <v>511</v>
      </c>
      <c r="S8" s="20" t="n">
        <v>1022</v>
      </c>
      <c r="T8" s="20" t="n">
        <v>14</v>
      </c>
      <c r="U8" s="20" t="n">
        <v>0</v>
      </c>
      <c r="V8" s="20" t="n">
        <v>1036</v>
      </c>
      <c r="W8" s="20" t="n">
        <v>0</v>
      </c>
      <c r="X8" s="20">
        <f>SUM(C9:R9)-S9</f>
        <v/>
      </c>
    </row>
    <row r="9">
      <c r="A9" s="18" t="n">
        <v>4</v>
      </c>
      <c r="B9" s="27" t="inlineStr">
        <is>
          <t>POTLAPALLE</t>
        </is>
      </c>
      <c r="C9" s="20" t="n">
        <v>161</v>
      </c>
      <c r="D9" s="20" t="n">
        <v>9</v>
      </c>
      <c r="E9" s="20" t="n">
        <v>10</v>
      </c>
      <c r="F9" s="20" t="n">
        <v>525</v>
      </c>
      <c r="G9" s="20" t="n">
        <v>27</v>
      </c>
      <c r="H9" s="20" t="n">
        <v>6</v>
      </c>
      <c r="I9" s="20" t="n">
        <v>9</v>
      </c>
      <c r="J9" s="20" t="n">
        <v>3</v>
      </c>
      <c r="K9" s="20" t="n">
        <v>3</v>
      </c>
      <c r="L9" s="20" t="n">
        <v>23</v>
      </c>
      <c r="M9" s="20" t="n">
        <v>4</v>
      </c>
      <c r="N9" s="20" t="n">
        <v>6</v>
      </c>
      <c r="O9" s="20" t="n">
        <v>4</v>
      </c>
      <c r="P9" s="20" t="n">
        <v>4</v>
      </c>
      <c r="Q9" s="20" t="n">
        <v>3</v>
      </c>
      <c r="R9" s="20" t="n">
        <v>797</v>
      </c>
      <c r="S9" s="20" t="n">
        <v>1594</v>
      </c>
      <c r="T9" s="20" t="n">
        <v>16</v>
      </c>
      <c r="U9" s="20" t="n">
        <v>0</v>
      </c>
      <c r="V9" s="20" t="n">
        <v>1610</v>
      </c>
      <c r="W9" s="20" t="n">
        <v>0</v>
      </c>
      <c r="X9" s="20">
        <f>SUM(C10:R10)-S10</f>
        <v/>
      </c>
    </row>
    <row r="10">
      <c r="A10" s="18" t="n">
        <v>5</v>
      </c>
      <c r="B10" s="27" t="inlineStr">
        <is>
          <t>POTLAPALLI</t>
        </is>
      </c>
      <c r="C10" s="20" t="n">
        <v>148</v>
      </c>
      <c r="D10" s="20" t="n">
        <v>6</v>
      </c>
      <c r="E10" s="20" t="n">
        <v>12</v>
      </c>
      <c r="F10" s="20" t="n">
        <v>595</v>
      </c>
      <c r="G10" s="20" t="n">
        <v>22</v>
      </c>
      <c r="H10" s="20" t="n">
        <v>6</v>
      </c>
      <c r="I10" s="20" t="n">
        <v>0</v>
      </c>
      <c r="J10" s="20" t="n">
        <v>6</v>
      </c>
      <c r="K10" s="20" t="n">
        <v>2</v>
      </c>
      <c r="L10" s="20" t="n">
        <v>33</v>
      </c>
      <c r="M10" s="20" t="n">
        <v>4</v>
      </c>
      <c r="N10" s="20" t="n">
        <v>0</v>
      </c>
      <c r="O10" s="20" t="n">
        <v>5</v>
      </c>
      <c r="P10" s="20" t="n">
        <v>0</v>
      </c>
      <c r="Q10" s="20" t="n">
        <v>3</v>
      </c>
      <c r="R10" s="20" t="n">
        <v>849</v>
      </c>
      <c r="S10" s="20" t="n">
        <v>1691</v>
      </c>
      <c r="T10" s="20" t="n">
        <v>14</v>
      </c>
      <c r="U10" s="20" t="n">
        <v>0</v>
      </c>
      <c r="V10" s="20" t="n">
        <v>1705</v>
      </c>
      <c r="W10" s="20" t="n">
        <v>0</v>
      </c>
      <c r="X10" s="20">
        <f>SUM(C11:R11)-S11</f>
        <v/>
      </c>
    </row>
    <row r="11">
      <c r="A11" s="18" t="n">
        <v>6</v>
      </c>
      <c r="B11" s="27" t="inlineStr">
        <is>
          <t>HUSNABAD</t>
        </is>
      </c>
      <c r="C11" s="20" t="n">
        <v>106</v>
      </c>
      <c r="D11" s="20" t="n">
        <v>22</v>
      </c>
      <c r="E11" s="20" t="n">
        <v>7</v>
      </c>
      <c r="F11" s="20" t="n">
        <v>454</v>
      </c>
      <c r="G11" s="20" t="n">
        <v>18</v>
      </c>
      <c r="H11" s="20" t="n">
        <v>1</v>
      </c>
      <c r="I11" s="20" t="n">
        <v>0</v>
      </c>
      <c r="J11" s="20" t="n">
        <v>0</v>
      </c>
      <c r="K11" s="20" t="n">
        <v>0</v>
      </c>
      <c r="L11" s="20" t="n">
        <v>3</v>
      </c>
      <c r="M11" s="20" t="n">
        <v>0</v>
      </c>
      <c r="N11" s="20" t="n">
        <v>1</v>
      </c>
      <c r="O11" s="20" t="n">
        <v>0</v>
      </c>
      <c r="P11" s="20" t="n">
        <v>2</v>
      </c>
      <c r="Q11" s="20" t="n">
        <v>0</v>
      </c>
      <c r="R11" s="20" t="n">
        <v>615</v>
      </c>
      <c r="S11" s="20" t="n">
        <v>1229</v>
      </c>
      <c r="T11" s="20" t="n">
        <v>13</v>
      </c>
      <c r="U11" s="20" t="n">
        <v>0</v>
      </c>
      <c r="V11" s="20" t="n">
        <v>1242</v>
      </c>
      <c r="W11" s="20" t="n">
        <v>0</v>
      </c>
      <c r="X11" s="20">
        <f>SUM(C12:R12)-S12</f>
        <v/>
      </c>
    </row>
    <row r="12">
      <c r="A12" s="18" t="n">
        <v>7</v>
      </c>
      <c r="B12" s="27" t="inlineStr">
        <is>
          <t>HUSNABAD</t>
        </is>
      </c>
      <c r="C12" s="20" t="n">
        <v>120</v>
      </c>
      <c r="D12" s="20" t="n">
        <v>8</v>
      </c>
      <c r="E12" s="20" t="n">
        <v>7</v>
      </c>
      <c r="F12" s="20" t="n">
        <v>519</v>
      </c>
      <c r="G12" s="20" t="n">
        <v>31</v>
      </c>
      <c r="H12" s="20" t="n">
        <v>2</v>
      </c>
      <c r="I12" s="20" t="n">
        <v>6</v>
      </c>
      <c r="J12" s="20" t="n">
        <v>0</v>
      </c>
      <c r="K12" s="20" t="n">
        <v>3</v>
      </c>
      <c r="L12" s="20" t="n">
        <v>14</v>
      </c>
      <c r="M12" s="20" t="n">
        <v>1</v>
      </c>
      <c r="N12" s="20" t="n">
        <v>1</v>
      </c>
      <c r="O12" s="20" t="n">
        <v>3</v>
      </c>
      <c r="P12" s="20" t="n">
        <v>0</v>
      </c>
      <c r="Q12" s="20" t="n">
        <v>1</v>
      </c>
      <c r="R12" s="20" t="n">
        <v>716</v>
      </c>
      <c r="S12" s="20" t="n">
        <v>1432</v>
      </c>
      <c r="T12" s="20" t="n">
        <v>9</v>
      </c>
      <c r="U12" s="20" t="n">
        <v>0</v>
      </c>
      <c r="V12" s="20" t="n">
        <v>1441</v>
      </c>
      <c r="W12" s="20" t="n">
        <v>0</v>
      </c>
      <c r="X12" s="20">
        <f>SUM(C13:R13)-S13</f>
        <v/>
      </c>
    </row>
    <row r="13">
      <c r="A13" s="18" t="n">
        <v>8</v>
      </c>
      <c r="B13" s="27" t="inlineStr">
        <is>
          <t>HUSNABAD</t>
        </is>
      </c>
      <c r="C13" s="20" t="n">
        <v>116</v>
      </c>
      <c r="D13" s="20" t="n">
        <v>15</v>
      </c>
      <c r="E13" s="20" t="n">
        <v>11</v>
      </c>
      <c r="F13" s="20" t="n">
        <v>511</v>
      </c>
      <c r="G13" s="20" t="n">
        <v>18</v>
      </c>
      <c r="H13" s="20" t="n">
        <v>1</v>
      </c>
      <c r="I13" s="20" t="n">
        <v>8</v>
      </c>
      <c r="J13" s="20" t="n">
        <v>0</v>
      </c>
      <c r="K13" s="20" t="n">
        <v>3</v>
      </c>
      <c r="L13" s="20" t="n">
        <v>18</v>
      </c>
      <c r="M13" s="20" t="n">
        <v>1</v>
      </c>
      <c r="N13" s="20" t="n">
        <v>2</v>
      </c>
      <c r="O13" s="20" t="n">
        <v>3</v>
      </c>
      <c r="P13" s="20" t="n">
        <v>4</v>
      </c>
      <c r="Q13" s="20" t="n">
        <v>4</v>
      </c>
      <c r="R13" s="20" t="n">
        <v>716</v>
      </c>
      <c r="S13" s="20" t="n">
        <v>1431</v>
      </c>
      <c r="T13" s="20" t="n">
        <v>20</v>
      </c>
      <c r="U13" s="20" t="n">
        <v>0</v>
      </c>
      <c r="V13" s="20" t="n">
        <v>1451</v>
      </c>
      <c r="W13" s="20" t="n">
        <v>0</v>
      </c>
      <c r="X13" s="20">
        <f>SUM(C14:R14)-S14</f>
        <v/>
      </c>
    </row>
    <row r="14">
      <c r="A14" s="18" t="n">
        <v>9</v>
      </c>
      <c r="B14" s="27" t="inlineStr">
        <is>
          <t>HUSNABAD</t>
        </is>
      </c>
      <c r="C14" s="20" t="n">
        <v>172</v>
      </c>
      <c r="D14" s="20" t="n">
        <v>9</v>
      </c>
      <c r="E14" s="20" t="n">
        <v>10</v>
      </c>
      <c r="F14" s="20" t="n">
        <v>826</v>
      </c>
      <c r="G14" s="20" t="n">
        <v>18</v>
      </c>
      <c r="H14" s="20" t="n">
        <v>1</v>
      </c>
      <c r="I14" s="20" t="n">
        <v>4</v>
      </c>
      <c r="J14" s="20" t="n">
        <v>2</v>
      </c>
      <c r="K14" s="20" t="n">
        <v>1</v>
      </c>
      <c r="L14" s="20" t="n">
        <v>23</v>
      </c>
      <c r="M14" s="20" t="n">
        <v>5</v>
      </c>
      <c r="N14" s="20" t="n">
        <v>4</v>
      </c>
      <c r="O14" s="20" t="n">
        <v>5</v>
      </c>
      <c r="P14" s="20" t="n">
        <v>3</v>
      </c>
      <c r="Q14" s="20" t="n">
        <v>2</v>
      </c>
      <c r="R14" s="20" t="n">
        <v>1085</v>
      </c>
      <c r="S14" s="20" t="n">
        <v>2170</v>
      </c>
      <c r="T14" s="20" t="n">
        <v>23</v>
      </c>
      <c r="U14" s="20" t="n">
        <v>0</v>
      </c>
      <c r="V14" s="20" t="n">
        <v>2193</v>
      </c>
      <c r="W14" s="20" t="n">
        <v>0</v>
      </c>
      <c r="X14" s="20">
        <f>SUM(C15:R15)-S15</f>
        <v/>
      </c>
    </row>
    <row r="15">
      <c r="A15" s="18" t="n">
        <v>10</v>
      </c>
      <c r="B15" s="27" t="inlineStr">
        <is>
          <t>Mandala Parishad Primary School
(New Building) Arepally H/o
Husnabad</t>
        </is>
      </c>
      <c r="C15" s="20" t="n">
        <v>185</v>
      </c>
      <c r="D15" s="20" t="n">
        <v>22</v>
      </c>
      <c r="E15" s="20" t="n">
        <v>16</v>
      </c>
      <c r="F15" s="20" t="n">
        <v>786</v>
      </c>
      <c r="G15" s="20" t="n">
        <v>26</v>
      </c>
      <c r="H15" s="20" t="n">
        <v>4</v>
      </c>
      <c r="I15" s="20" t="n">
        <v>9</v>
      </c>
      <c r="J15" s="20" t="n">
        <v>2</v>
      </c>
      <c r="K15" s="20" t="n">
        <v>2</v>
      </c>
      <c r="L15" s="20" t="n">
        <v>30</v>
      </c>
      <c r="M15" s="20" t="n">
        <v>0</v>
      </c>
      <c r="N15" s="20" t="n">
        <v>7</v>
      </c>
      <c r="O15" s="20" t="n">
        <v>9</v>
      </c>
      <c r="P15" s="20" t="n">
        <v>2</v>
      </c>
      <c r="Q15" s="20" t="n">
        <v>3</v>
      </c>
      <c r="R15" s="20" t="n">
        <v>1103</v>
      </c>
      <c r="S15" s="20" t="n">
        <v>2206</v>
      </c>
      <c r="T15" s="20" t="n">
        <v>20</v>
      </c>
      <c r="U15" s="20" t="n">
        <v>0</v>
      </c>
      <c r="V15" s="20" t="n">
        <v>2226</v>
      </c>
      <c r="W15" s="20" t="n">
        <v>0</v>
      </c>
      <c r="X15" s="20">
        <f>SUM(C16:R16)-S16</f>
        <v/>
      </c>
    </row>
    <row r="16">
      <c r="A16" s="18" t="n">
        <v>11</v>
      </c>
      <c r="B16" s="27" t="inlineStr">
        <is>
          <t>HUSNABAD</t>
        </is>
      </c>
      <c r="C16" s="20" t="n">
        <v>161</v>
      </c>
      <c r="D16" s="20" t="n">
        <v>19</v>
      </c>
      <c r="E16" s="20" t="n">
        <v>7</v>
      </c>
      <c r="F16" s="20" t="n">
        <v>543</v>
      </c>
      <c r="G16" s="20" t="n">
        <v>24</v>
      </c>
      <c r="H16" s="20" t="n">
        <v>4</v>
      </c>
      <c r="I16" s="20" t="n">
        <v>2</v>
      </c>
      <c r="J16" s="20" t="n">
        <v>1</v>
      </c>
      <c r="K16" s="20" t="n">
        <v>2</v>
      </c>
      <c r="L16" s="20" t="n">
        <v>6</v>
      </c>
      <c r="M16" s="20" t="n">
        <v>2</v>
      </c>
      <c r="N16" s="20" t="n">
        <v>1</v>
      </c>
      <c r="O16" s="20" t="n">
        <v>0</v>
      </c>
      <c r="P16" s="20" t="n">
        <v>0</v>
      </c>
      <c r="Q16" s="20" t="n">
        <v>4</v>
      </c>
      <c r="R16" s="20" t="n">
        <v>770</v>
      </c>
      <c r="S16" s="20" t="n">
        <v>1546</v>
      </c>
      <c r="T16" s="20" t="n">
        <v>20</v>
      </c>
      <c r="U16" s="20" t="n">
        <v>0</v>
      </c>
      <c r="V16" s="20" t="n">
        <v>1566</v>
      </c>
      <c r="W16" s="20" t="n">
        <v>4</v>
      </c>
      <c r="X16" s="20">
        <f>SUM(C17:R17)-S17</f>
        <v/>
      </c>
    </row>
    <row r="17">
      <c r="A17" s="18" t="n">
        <v>12</v>
      </c>
      <c r="B17" s="27" t="inlineStr">
        <is>
          <t>HUSNABAD</t>
        </is>
      </c>
      <c r="C17" s="20" t="n">
        <v>176</v>
      </c>
      <c r="D17" s="20" t="n">
        <v>21</v>
      </c>
      <c r="E17" s="20" t="n">
        <v>5</v>
      </c>
      <c r="F17" s="20" t="n">
        <v>571</v>
      </c>
      <c r="G17" s="20" t="n">
        <v>26</v>
      </c>
      <c r="H17" s="20" t="n">
        <v>0</v>
      </c>
      <c r="I17" s="20" t="n">
        <v>10</v>
      </c>
      <c r="J17" s="20" t="n">
        <v>2</v>
      </c>
      <c r="K17" s="20" t="n">
        <v>0</v>
      </c>
      <c r="L17" s="20" t="n">
        <v>8</v>
      </c>
      <c r="M17" s="20" t="n">
        <v>2</v>
      </c>
      <c r="N17" s="20" t="n">
        <v>0</v>
      </c>
      <c r="O17" s="20" t="n">
        <v>1</v>
      </c>
      <c r="P17" s="20" t="n">
        <v>1</v>
      </c>
      <c r="Q17" s="20" t="n">
        <v>0</v>
      </c>
      <c r="R17" s="20" t="n">
        <v>823</v>
      </c>
      <c r="S17" s="20" t="n">
        <v>1646</v>
      </c>
      <c r="T17" s="20" t="n">
        <v>17</v>
      </c>
      <c r="U17" s="20" t="n">
        <v>0</v>
      </c>
      <c r="V17" s="20" t="n">
        <v>1663</v>
      </c>
      <c r="W17" s="20" t="n">
        <v>4</v>
      </c>
      <c r="X17" s="20">
        <f>SUM(C18:R18)-S18</f>
        <v/>
      </c>
    </row>
    <row r="18">
      <c r="A18" s="18" t="n">
        <v>13</v>
      </c>
      <c r="B18" s="27" t="inlineStr">
        <is>
          <t>HUSNABAD</t>
        </is>
      </c>
      <c r="C18" s="20" t="n">
        <v>79</v>
      </c>
      <c r="D18" s="20" t="n">
        <v>8</v>
      </c>
      <c r="E18" s="20" t="n">
        <v>0</v>
      </c>
      <c r="F18" s="20" t="n">
        <v>371</v>
      </c>
      <c r="G18" s="20" t="n">
        <v>24</v>
      </c>
      <c r="H18" s="20" t="n">
        <v>0</v>
      </c>
      <c r="I18" s="20" t="n">
        <v>8</v>
      </c>
      <c r="J18" s="20" t="n">
        <v>0</v>
      </c>
      <c r="K18" s="20" t="n">
        <v>0</v>
      </c>
      <c r="L18" s="20" t="n">
        <v>1</v>
      </c>
      <c r="M18" s="20" t="n">
        <v>0</v>
      </c>
      <c r="N18" s="20" t="n">
        <v>0</v>
      </c>
      <c r="O18" s="20" t="n">
        <v>0</v>
      </c>
      <c r="P18" s="20" t="n">
        <v>1</v>
      </c>
      <c r="Q18" s="20" t="n">
        <v>0</v>
      </c>
      <c r="R18" s="20" t="n">
        <v>492</v>
      </c>
      <c r="S18" s="20" t="n">
        <v>984</v>
      </c>
      <c r="T18" s="20" t="n">
        <v>11</v>
      </c>
      <c r="U18" s="20" t="n">
        <v>0</v>
      </c>
      <c r="V18" s="20" t="n">
        <v>995</v>
      </c>
      <c r="W18" s="20" t="n">
        <v>0</v>
      </c>
      <c r="X18" s="20">
        <f>SUM(C19:R19)-S19</f>
        <v/>
      </c>
    </row>
    <row r="19">
      <c r="A19" s="18" t="n">
        <v>14</v>
      </c>
      <c r="B19" s="27" t="inlineStr">
        <is>
          <t>HUSNABAD</t>
        </is>
      </c>
      <c r="C19" s="20" t="n">
        <v>137</v>
      </c>
      <c r="D19" s="20" t="n">
        <v>18</v>
      </c>
      <c r="E19" s="20" t="n">
        <v>7</v>
      </c>
      <c r="F19" s="20" t="n">
        <v>589</v>
      </c>
      <c r="G19" s="20" t="n">
        <v>19</v>
      </c>
      <c r="H19" s="20" t="n">
        <v>0</v>
      </c>
      <c r="I19" s="20" t="n">
        <v>5</v>
      </c>
      <c r="J19" s="20" t="n">
        <v>0</v>
      </c>
      <c r="K19" s="20" t="n">
        <v>0</v>
      </c>
      <c r="L19" s="20" t="n">
        <v>7</v>
      </c>
      <c r="M19" s="20" t="n">
        <v>0</v>
      </c>
      <c r="N19" s="20" t="n">
        <v>2</v>
      </c>
      <c r="O19" s="20" t="n">
        <v>3</v>
      </c>
      <c r="P19" s="20" t="n">
        <v>0</v>
      </c>
      <c r="Q19" s="20" t="n">
        <v>1</v>
      </c>
      <c r="R19" s="20" t="n">
        <v>788</v>
      </c>
      <c r="S19" s="20" t="n">
        <v>1576</v>
      </c>
      <c r="T19" s="20" t="n">
        <v>18</v>
      </c>
      <c r="U19" s="20" t="n">
        <v>0</v>
      </c>
      <c r="V19" s="20" t="n">
        <v>1594</v>
      </c>
      <c r="W19" s="20" t="n">
        <v>4</v>
      </c>
      <c r="X19" s="20">
        <f>SUM(C20:R20)-S20</f>
        <v/>
      </c>
    </row>
    <row r="20">
      <c r="A20" s="18" t="n">
        <v>15</v>
      </c>
      <c r="B20" s="27" t="inlineStr">
        <is>
          <t>HUSNABAD,</t>
        </is>
      </c>
      <c r="C20" s="20" t="n">
        <v>136</v>
      </c>
      <c r="D20" s="20" t="n">
        <v>8</v>
      </c>
      <c r="E20" s="20" t="n">
        <v>1</v>
      </c>
      <c r="F20" s="20" t="n">
        <v>365</v>
      </c>
      <c r="G20" s="20" t="n">
        <v>24</v>
      </c>
      <c r="H20" s="20" t="n">
        <v>0</v>
      </c>
      <c r="I20" s="20" t="n">
        <v>4</v>
      </c>
      <c r="J20" s="20" t="n">
        <v>0</v>
      </c>
      <c r="K20" s="20" t="n">
        <v>1</v>
      </c>
      <c r="L20" s="20" t="n">
        <v>3</v>
      </c>
      <c r="M20" s="20" t="n">
        <v>1</v>
      </c>
      <c r="N20" s="20" t="n">
        <v>0</v>
      </c>
      <c r="O20" s="20" t="n">
        <v>0</v>
      </c>
      <c r="P20" s="20" t="n">
        <v>1</v>
      </c>
      <c r="Q20" s="20" t="n">
        <v>0</v>
      </c>
      <c r="R20" s="20" t="n">
        <v>543</v>
      </c>
      <c r="S20" s="20" t="n">
        <v>1087</v>
      </c>
      <c r="T20" s="20" t="n">
        <v>13</v>
      </c>
      <c r="U20" s="20" t="n">
        <v>0</v>
      </c>
      <c r="V20" s="20" t="n">
        <v>1100</v>
      </c>
      <c r="W20" s="20" t="n">
        <v>4</v>
      </c>
      <c r="X20" s="20">
        <f>SUM(C21:R21)-S21</f>
        <v/>
      </c>
    </row>
    <row r="21">
      <c r="A21" s="18" t="n">
        <v>16</v>
      </c>
      <c r="B21" s="27" t="inlineStr">
        <is>
          <t>HUSNABAD</t>
        </is>
      </c>
      <c r="C21" s="20" t="n">
        <v>187</v>
      </c>
      <c r="D21" s="20" t="n">
        <v>19</v>
      </c>
      <c r="E21" s="20" t="n">
        <v>6</v>
      </c>
      <c r="F21" s="20" t="n">
        <v>548</v>
      </c>
      <c r="G21" s="20" t="n">
        <v>43</v>
      </c>
      <c r="H21" s="20" t="n">
        <v>0</v>
      </c>
      <c r="I21" s="20" t="n">
        <v>6</v>
      </c>
      <c r="J21" s="20" t="n">
        <v>0</v>
      </c>
      <c r="K21" s="20" t="n">
        <v>1</v>
      </c>
      <c r="L21" s="20" t="n">
        <v>6</v>
      </c>
      <c r="M21" s="20" t="n">
        <v>0</v>
      </c>
      <c r="N21" s="20" t="n">
        <v>4</v>
      </c>
      <c r="O21" s="20" t="n">
        <v>0</v>
      </c>
      <c r="P21" s="20" t="n">
        <v>2</v>
      </c>
      <c r="Q21" s="20" t="n">
        <v>0</v>
      </c>
      <c r="R21" s="20" t="n">
        <v>819</v>
      </c>
      <c r="S21" s="20" t="n">
        <v>1641</v>
      </c>
      <c r="T21" s="20" t="n">
        <v>13</v>
      </c>
      <c r="U21" s="20" t="n">
        <v>0</v>
      </c>
      <c r="V21" s="20" t="n">
        <v>1654</v>
      </c>
      <c r="W21" s="20" t="n">
        <v>4</v>
      </c>
      <c r="X21" s="20">
        <f>SUM(C22:R22)-S22</f>
        <v/>
      </c>
    </row>
    <row r="22">
      <c r="A22" s="18" t="n">
        <v>17</v>
      </c>
      <c r="B22" s="27" t="inlineStr">
        <is>
          <t>HUSNABAD</t>
        </is>
      </c>
      <c r="C22" s="20" t="n">
        <v>176</v>
      </c>
      <c r="D22" s="20" t="n">
        <v>8</v>
      </c>
      <c r="E22" s="20" t="n">
        <v>8</v>
      </c>
      <c r="F22" s="20" t="n">
        <v>442</v>
      </c>
      <c r="G22" s="20" t="n">
        <v>23</v>
      </c>
      <c r="H22" s="20" t="n">
        <v>1</v>
      </c>
      <c r="I22" s="20" t="n">
        <v>4</v>
      </c>
      <c r="J22" s="20" t="n">
        <v>0</v>
      </c>
      <c r="K22" s="20" t="n">
        <v>1</v>
      </c>
      <c r="L22" s="20" t="n">
        <v>6</v>
      </c>
      <c r="M22" s="20" t="n">
        <v>0</v>
      </c>
      <c r="N22" s="20" t="n">
        <v>0</v>
      </c>
      <c r="O22" s="20" t="n">
        <v>1</v>
      </c>
      <c r="P22" s="20" t="n">
        <v>0</v>
      </c>
      <c r="Q22" s="20" t="n">
        <v>2</v>
      </c>
      <c r="R22" s="20" t="n">
        <v>672</v>
      </c>
      <c r="S22" s="20" t="n">
        <v>1344</v>
      </c>
      <c r="T22" s="20" t="n">
        <v>8</v>
      </c>
      <c r="U22" s="20" t="n">
        <v>0</v>
      </c>
      <c r="V22" s="20" t="n">
        <v>1352</v>
      </c>
      <c r="W22" s="20" t="n">
        <v>4</v>
      </c>
      <c r="X22" s="20">
        <f>SUM(C23:R23)-S23</f>
        <v/>
      </c>
    </row>
    <row r="23">
      <c r="A23" s="18" t="n">
        <v>18</v>
      </c>
      <c r="B23" s="27" t="inlineStr">
        <is>
          <t>HUSNABAD</t>
        </is>
      </c>
      <c r="C23" s="20" t="n">
        <v>144</v>
      </c>
      <c r="D23" s="20" t="n">
        <v>10</v>
      </c>
      <c r="E23" s="20" t="n">
        <v>7</v>
      </c>
      <c r="F23" s="20" t="n">
        <v>510</v>
      </c>
      <c r="G23" s="20" t="n">
        <v>25</v>
      </c>
      <c r="H23" s="20" t="n">
        <v>0</v>
      </c>
      <c r="I23" s="20" t="n">
        <v>4</v>
      </c>
      <c r="J23" s="20" t="n">
        <v>1</v>
      </c>
      <c r="K23" s="20" t="n">
        <v>0</v>
      </c>
      <c r="L23" s="20" t="n">
        <v>13</v>
      </c>
      <c r="M23" s="20" t="n">
        <v>4</v>
      </c>
      <c r="N23" s="20" t="n">
        <v>3</v>
      </c>
      <c r="O23" s="20" t="n">
        <v>7</v>
      </c>
      <c r="P23" s="20" t="n">
        <v>1</v>
      </c>
      <c r="Q23" s="20" t="n">
        <v>0</v>
      </c>
      <c r="R23" s="20" t="n">
        <v>729</v>
      </c>
      <c r="S23" s="20" t="n">
        <v>1458</v>
      </c>
      <c r="T23" s="20" t="n">
        <v>14</v>
      </c>
      <c r="U23" s="20" t="n">
        <v>0</v>
      </c>
      <c r="V23" s="20" t="n">
        <v>1472</v>
      </c>
      <c r="W23" s="20" t="n">
        <v>4</v>
      </c>
      <c r="X23" s="20">
        <f>SUM(C24:R24)-S24</f>
        <v/>
      </c>
    </row>
    <row r="24">
      <c r="A24" s="18" t="n">
        <v>19</v>
      </c>
      <c r="B24" s="27" t="inlineStr">
        <is>
          <t>HUSNABAD</t>
        </is>
      </c>
      <c r="C24" s="20" t="n">
        <v>74</v>
      </c>
      <c r="D24" s="20" t="n">
        <v>7</v>
      </c>
      <c r="E24" s="20" t="n">
        <v>5</v>
      </c>
      <c r="F24" s="20" t="n">
        <v>553</v>
      </c>
      <c r="G24" s="20" t="n">
        <v>21</v>
      </c>
      <c r="H24" s="20" t="n">
        <v>2</v>
      </c>
      <c r="I24" s="20" t="n">
        <v>5</v>
      </c>
      <c r="J24" s="20" t="n">
        <v>0</v>
      </c>
      <c r="K24" s="20" t="n">
        <v>2</v>
      </c>
      <c r="L24" s="20" t="n">
        <v>15</v>
      </c>
      <c r="M24" s="20" t="n">
        <v>0</v>
      </c>
      <c r="N24" s="20" t="n">
        <v>4</v>
      </c>
      <c r="O24" s="20" t="n">
        <v>13</v>
      </c>
      <c r="P24" s="20" t="n">
        <v>2</v>
      </c>
      <c r="Q24" s="20" t="n">
        <v>3</v>
      </c>
      <c r="R24" s="20" t="n">
        <v>707</v>
      </c>
      <c r="S24" s="20" t="n">
        <v>1413</v>
      </c>
      <c r="T24" s="20" t="n">
        <v>12</v>
      </c>
      <c r="U24" s="20" t="n">
        <v>0</v>
      </c>
      <c r="V24" s="20" t="n">
        <v>1425</v>
      </c>
      <c r="W24" s="20" t="n">
        <v>0</v>
      </c>
      <c r="X24" s="20">
        <f>SUM(C25:R25)-S25</f>
        <v/>
      </c>
    </row>
    <row r="25">
      <c r="A25" s="18" t="n">
        <v>20</v>
      </c>
      <c r="B25" s="27" t="inlineStr">
        <is>
          <t>HUSNABAD</t>
        </is>
      </c>
      <c r="C25" s="20" t="n">
        <v>104</v>
      </c>
      <c r="D25" s="20" t="n">
        <v>7</v>
      </c>
      <c r="E25" s="20" t="n">
        <v>6</v>
      </c>
      <c r="F25" s="20" t="n">
        <v>337</v>
      </c>
      <c r="G25" s="20" t="n">
        <v>20</v>
      </c>
      <c r="H25" s="20" t="n">
        <v>2</v>
      </c>
      <c r="I25" s="20" t="n">
        <v>3</v>
      </c>
      <c r="J25" s="20" t="n">
        <v>1</v>
      </c>
      <c r="K25" s="20" t="n">
        <v>0</v>
      </c>
      <c r="L25" s="20" t="n">
        <v>2</v>
      </c>
      <c r="M25" s="20" t="n">
        <v>1</v>
      </c>
      <c r="N25" s="20" t="n">
        <v>0</v>
      </c>
      <c r="O25" s="20" t="n">
        <v>3</v>
      </c>
      <c r="P25" s="20" t="n">
        <v>1</v>
      </c>
      <c r="Q25" s="20" t="n">
        <v>1</v>
      </c>
      <c r="R25" s="20" t="n">
        <v>488</v>
      </c>
      <c r="S25" s="20" t="n">
        <v>976</v>
      </c>
      <c r="T25" s="20" t="n">
        <v>7</v>
      </c>
      <c r="U25" s="20" t="n">
        <v>495</v>
      </c>
      <c r="V25" s="20" t="n">
        <v>1478</v>
      </c>
      <c r="W25" s="20" t="n">
        <v>4</v>
      </c>
      <c r="X25" s="20">
        <f>SUM(C26:R26)-S26</f>
        <v/>
      </c>
    </row>
    <row r="26">
      <c r="A26" s="18" t="n">
        <v>21</v>
      </c>
      <c r="B26" s="27" t="inlineStr">
        <is>
          <t>HUSNABAD</t>
        </is>
      </c>
      <c r="C26" s="20" t="n">
        <v>121</v>
      </c>
      <c r="D26" s="20" t="n">
        <v>21</v>
      </c>
      <c r="E26" s="20" t="n">
        <v>4</v>
      </c>
      <c r="F26" s="20" t="n">
        <v>440</v>
      </c>
      <c r="G26" s="20" t="n">
        <v>33</v>
      </c>
      <c r="H26" s="20" t="n">
        <v>3</v>
      </c>
      <c r="I26" s="20" t="n">
        <v>2</v>
      </c>
      <c r="J26" s="20" t="n">
        <v>1</v>
      </c>
      <c r="K26" s="20" t="n">
        <v>0</v>
      </c>
      <c r="L26" s="20" t="n">
        <v>1</v>
      </c>
      <c r="M26" s="20" t="n">
        <v>0</v>
      </c>
      <c r="N26" s="20" t="n">
        <v>0</v>
      </c>
      <c r="O26" s="20" t="n">
        <v>1</v>
      </c>
      <c r="P26" s="20" t="n">
        <v>3</v>
      </c>
      <c r="Q26" s="20" t="n">
        <v>0</v>
      </c>
      <c r="R26" s="20" t="n">
        <v>631</v>
      </c>
      <c r="S26" s="20" t="n">
        <v>1261</v>
      </c>
      <c r="T26" s="20" t="n">
        <v>7</v>
      </c>
      <c r="U26" s="20" t="n">
        <v>0</v>
      </c>
      <c r="V26" s="20" t="n">
        <v>1268</v>
      </c>
      <c r="W26" s="20" t="n">
        <v>4</v>
      </c>
      <c r="X26" s="20">
        <f>SUM(C27:R27)-S27</f>
        <v/>
      </c>
    </row>
    <row r="27">
      <c r="A27" s="18" t="n">
        <v>22</v>
      </c>
      <c r="B27" s="27" t="inlineStr">
        <is>
          <t>HUSNABAD</t>
        </is>
      </c>
      <c r="C27" s="20" t="n">
        <v>233</v>
      </c>
      <c r="D27" s="20" t="n">
        <v>9</v>
      </c>
      <c r="E27" s="20" t="n">
        <v>6</v>
      </c>
      <c r="F27" s="20" t="n">
        <v>334</v>
      </c>
      <c r="G27" s="20" t="n">
        <v>27</v>
      </c>
      <c r="H27" s="20" t="n">
        <v>2</v>
      </c>
      <c r="I27" s="20" t="n">
        <v>2</v>
      </c>
      <c r="J27" s="20" t="n">
        <v>1</v>
      </c>
      <c r="K27" s="20" t="n">
        <v>0</v>
      </c>
      <c r="L27" s="20" t="n">
        <v>4</v>
      </c>
      <c r="M27" s="20" t="n">
        <v>2</v>
      </c>
      <c r="N27" s="20" t="n">
        <v>2</v>
      </c>
      <c r="O27" s="20" t="n">
        <v>0</v>
      </c>
      <c r="P27" s="20" t="n">
        <v>3</v>
      </c>
      <c r="Q27" s="20" t="n">
        <v>0</v>
      </c>
      <c r="R27" s="20" t="n">
        <v>628</v>
      </c>
      <c r="S27" s="20" t="n">
        <v>1253</v>
      </c>
      <c r="T27" s="20" t="n">
        <v>4</v>
      </c>
      <c r="U27" s="20" t="n">
        <v>0</v>
      </c>
      <c r="V27" s="20" t="n">
        <v>1257</v>
      </c>
      <c r="W27" s="20" t="n">
        <v>0</v>
      </c>
      <c r="X27" s="20">
        <f>SUM(C28:R28)-S28</f>
        <v/>
      </c>
    </row>
    <row r="28">
      <c r="A28" s="18" t="n">
        <v>23</v>
      </c>
      <c r="B28" s="27" t="inlineStr">
        <is>
          <t>Mandal Parishad Upper Primay
School Madadha</t>
        </is>
      </c>
      <c r="C28" s="20" t="n">
        <v>2</v>
      </c>
      <c r="D28" s="20" t="n">
        <v>3</v>
      </c>
      <c r="E28" s="20" t="n">
        <v>4</v>
      </c>
      <c r="F28" s="20" t="n">
        <v>5</v>
      </c>
      <c r="G28" s="20" t="n">
        <v>6</v>
      </c>
      <c r="H28" s="20" t="n">
        <v>0</v>
      </c>
      <c r="I28" s="20" t="n">
        <v>8</v>
      </c>
      <c r="J28" s="20" t="n">
        <v>9</v>
      </c>
      <c r="K28" s="20" t="n">
        <v>10</v>
      </c>
      <c r="L28" s="20" t="n">
        <v>1</v>
      </c>
      <c r="M28" s="20" t="n">
        <v>12</v>
      </c>
      <c r="N28" s="20" t="n">
        <v>13</v>
      </c>
      <c r="O28" s="20" t="n">
        <v>14</v>
      </c>
      <c r="P28" s="20" t="n">
        <v>15</v>
      </c>
      <c r="Q28" s="20" t="n">
        <v>16</v>
      </c>
      <c r="R28" s="20" t="n">
        <v>17</v>
      </c>
      <c r="S28" s="20" t="n">
        <v>135</v>
      </c>
      <c r="T28" s="20" t="n">
        <v>19</v>
      </c>
      <c r="U28" s="20" t="n">
        <v>20</v>
      </c>
      <c r="V28" s="20" t="n">
        <v>174</v>
      </c>
      <c r="W28" s="20" t="n">
        <v>0</v>
      </c>
      <c r="X28" s="20">
        <f>SUM(C29:R29)-S29</f>
        <v/>
      </c>
    </row>
    <row r="29">
      <c r="A29" s="18" t="n">
        <v>24</v>
      </c>
      <c r="B29" s="27" t="inlineStr">
        <is>
          <t>MADADHA.</t>
        </is>
      </c>
      <c r="C29" s="20" t="n">
        <v>107</v>
      </c>
      <c r="D29" s="20" t="n">
        <v>18</v>
      </c>
      <c r="E29" s="20" t="n">
        <v>25</v>
      </c>
      <c r="F29" s="20" t="n">
        <v>664</v>
      </c>
      <c r="G29" s="20" t="n">
        <v>12</v>
      </c>
      <c r="H29" s="20" t="n">
        <v>4</v>
      </c>
      <c r="I29" s="20" t="n">
        <v>0</v>
      </c>
      <c r="J29" s="20" t="n">
        <v>0</v>
      </c>
      <c r="K29" s="20" t="n">
        <v>1</v>
      </c>
      <c r="L29" s="20" t="n">
        <v>18</v>
      </c>
      <c r="M29" s="20" t="n">
        <v>5</v>
      </c>
      <c r="N29" s="20" t="n">
        <v>1</v>
      </c>
      <c r="O29" s="20" t="n">
        <v>2</v>
      </c>
      <c r="P29" s="20" t="n">
        <v>3</v>
      </c>
      <c r="Q29" s="20" t="n">
        <v>2</v>
      </c>
      <c r="R29" s="20" t="n">
        <v>869</v>
      </c>
      <c r="S29" s="20" t="n">
        <v>1731</v>
      </c>
      <c r="T29" s="20" t="n">
        <v>6</v>
      </c>
      <c r="U29" s="20" t="n">
        <v>0</v>
      </c>
      <c r="V29" s="20" t="n">
        <v>1737</v>
      </c>
      <c r="W29" s="20" t="n">
        <v>0</v>
      </c>
      <c r="X29" s="20">
        <f>SUM(C30:R30)-S30</f>
        <v/>
      </c>
    </row>
    <row r="30">
      <c r="A30" s="18" t="n">
        <v>25</v>
      </c>
      <c r="B30" s="27" t="inlineStr">
        <is>
          <t>MOHMMADAPUR</t>
        </is>
      </c>
      <c r="C30" s="20" t="n">
        <v>117</v>
      </c>
      <c r="D30" s="20" t="n">
        <v>3</v>
      </c>
      <c r="E30" s="20" t="n">
        <v>6</v>
      </c>
      <c r="F30" s="20" t="n">
        <v>423</v>
      </c>
      <c r="G30" s="20" t="n">
        <v>18</v>
      </c>
      <c r="H30" s="20" t="n">
        <v>2</v>
      </c>
      <c r="I30" s="20" t="n">
        <v>5</v>
      </c>
      <c r="J30" s="20" t="n">
        <v>2</v>
      </c>
      <c r="K30" s="20" t="n">
        <v>1</v>
      </c>
      <c r="L30" s="20" t="n">
        <v>10</v>
      </c>
      <c r="M30" s="20" t="n">
        <v>1</v>
      </c>
      <c r="N30" s="20" t="n">
        <v>0</v>
      </c>
      <c r="O30" s="20" t="n">
        <v>2</v>
      </c>
      <c r="P30" s="20" t="n">
        <v>2</v>
      </c>
      <c r="Q30" s="20" t="n">
        <v>2</v>
      </c>
      <c r="R30" s="20" t="n">
        <v>594</v>
      </c>
      <c r="S30" s="20" t="n">
        <v>1188</v>
      </c>
      <c r="T30" s="20" t="n">
        <v>15</v>
      </c>
      <c r="U30" s="20" t="n">
        <v>0</v>
      </c>
      <c r="V30" s="20" t="n">
        <v>1203</v>
      </c>
      <c r="W30" s="20" t="n">
        <v>0</v>
      </c>
      <c r="X30" s="20">
        <f>SUM(C31:R31)-S31</f>
        <v/>
      </c>
    </row>
    <row r="31">
      <c r="A31" s="18" t="n">
        <v>26</v>
      </c>
      <c r="B31" s="27" t="inlineStr">
        <is>
          <t>MAHMMADAPOOR</t>
        </is>
      </c>
      <c r="C31" s="20" t="n">
        <v>162</v>
      </c>
      <c r="D31" s="20" t="n">
        <v>22</v>
      </c>
      <c r="E31" s="20" t="n">
        <v>2</v>
      </c>
      <c r="F31" s="20" t="n">
        <v>446</v>
      </c>
      <c r="G31" s="20" t="n">
        <v>10</v>
      </c>
      <c r="H31" s="20" t="n">
        <v>0</v>
      </c>
      <c r="I31" s="20" t="n">
        <v>3</v>
      </c>
      <c r="J31" s="20" t="n">
        <v>1</v>
      </c>
      <c r="K31" s="20" t="n">
        <v>2</v>
      </c>
      <c r="L31" s="20" t="n">
        <v>16</v>
      </c>
      <c r="M31" s="20" t="n">
        <v>5</v>
      </c>
      <c r="N31" s="20" t="n">
        <v>2</v>
      </c>
      <c r="O31" s="20" t="n">
        <v>0</v>
      </c>
      <c r="P31" s="20" t="n">
        <v>0</v>
      </c>
      <c r="Q31" s="20" t="n">
        <v>3</v>
      </c>
      <c r="R31" s="20" t="n">
        <v>675</v>
      </c>
      <c r="S31" s="20" t="n">
        <v>1349</v>
      </c>
      <c r="T31" s="20" t="n">
        <v>28</v>
      </c>
      <c r="U31" s="20" t="n">
        <v>0</v>
      </c>
      <c r="V31" s="20" t="n">
        <v>1377</v>
      </c>
      <c r="W31" s="20" t="n">
        <v>0</v>
      </c>
      <c r="X31" s="20">
        <f>SUM(C32:R32)-S32</f>
        <v/>
      </c>
    </row>
    <row r="32">
      <c r="A32" s="18" t="n">
        <v>27</v>
      </c>
      <c r="B32" s="27" t="inlineStr">
        <is>
          <t>NAGARAM</t>
        </is>
      </c>
      <c r="C32" s="20" t="n">
        <v>147</v>
      </c>
      <c r="D32" s="20" t="n">
        <v>16</v>
      </c>
      <c r="E32" s="20" t="n">
        <v>6</v>
      </c>
      <c r="F32" s="20" t="n">
        <v>405</v>
      </c>
      <c r="G32" s="20" t="n">
        <v>23</v>
      </c>
      <c r="H32" s="20" t="n">
        <v>1</v>
      </c>
      <c r="I32" s="20" t="n">
        <v>5</v>
      </c>
      <c r="J32" s="20" t="n">
        <v>41</v>
      </c>
      <c r="K32" s="20" t="n">
        <v>0</v>
      </c>
      <c r="L32" s="20" t="n">
        <v>8</v>
      </c>
      <c r="M32" s="20" t="n">
        <v>1</v>
      </c>
      <c r="N32" s="20" t="n">
        <v>3</v>
      </c>
      <c r="O32" s="20" t="n">
        <v>0</v>
      </c>
      <c r="P32" s="20" t="n">
        <v>0</v>
      </c>
      <c r="Q32" s="20" t="n">
        <v>3</v>
      </c>
      <c r="R32" s="20" t="n">
        <v>619</v>
      </c>
      <c r="S32" s="20" t="n">
        <v>1278</v>
      </c>
      <c r="T32" s="20" t="n">
        <v>0</v>
      </c>
      <c r="U32" s="20" t="n">
        <v>0</v>
      </c>
      <c r="V32" s="20" t="n">
        <v>1278</v>
      </c>
      <c r="W32" s="20" t="n">
        <v>0</v>
      </c>
      <c r="X32" s="20">
        <f>SUM(C33:R33)-S33</f>
        <v/>
      </c>
    </row>
    <row r="33">
      <c r="A33" s="18" t="n">
        <v>28</v>
      </c>
      <c r="B33" s="27" t="inlineStr">
        <is>
          <t>POTHARAM(S)</t>
        </is>
      </c>
      <c r="C33" s="20" t="n">
        <v>142</v>
      </c>
      <c r="D33" s="20" t="n">
        <v>15</v>
      </c>
      <c r="E33" s="20" t="n">
        <v>7</v>
      </c>
      <c r="F33" s="20" t="n">
        <v>575</v>
      </c>
      <c r="G33" s="20" t="n">
        <v>18</v>
      </c>
      <c r="H33" s="20" t="n">
        <v>0</v>
      </c>
      <c r="I33" s="20" t="n">
        <v>2</v>
      </c>
      <c r="J33" s="20" t="n">
        <v>0</v>
      </c>
      <c r="K33" s="20" t="n">
        <v>1</v>
      </c>
      <c r="L33" s="20" t="n">
        <v>19</v>
      </c>
      <c r="M33" s="20" t="n">
        <v>3</v>
      </c>
      <c r="N33" s="20" t="n">
        <v>0</v>
      </c>
      <c r="O33" s="20" t="n">
        <v>3</v>
      </c>
      <c r="P33" s="20" t="n">
        <v>0</v>
      </c>
      <c r="Q33" s="20" t="n">
        <v>2</v>
      </c>
      <c r="R33" s="20" t="n">
        <v>787</v>
      </c>
      <c r="S33" s="20" t="n">
        <v>1574</v>
      </c>
      <c r="T33" s="20" t="n">
        <v>10</v>
      </c>
      <c r="U33" s="20" t="n">
        <v>0</v>
      </c>
      <c r="V33" s="20" t="n">
        <v>1584</v>
      </c>
      <c r="W33" s="20" t="n">
        <v>0</v>
      </c>
      <c r="X33" s="20">
        <f>SUM(C34:R34)-S34</f>
        <v/>
      </c>
    </row>
    <row r="34">
      <c r="A34" s="18" t="n">
        <v>29</v>
      </c>
      <c r="B34" s="27" t="inlineStr">
        <is>
          <t>POTHARAM(S)</t>
        </is>
      </c>
      <c r="C34" s="20" t="n">
        <v>112</v>
      </c>
      <c r="D34" s="20" t="n">
        <v>11</v>
      </c>
      <c r="E34" s="20" t="n">
        <v>4</v>
      </c>
      <c r="F34" s="20" t="n">
        <v>485</v>
      </c>
      <c r="G34" s="20" t="n">
        <v>17</v>
      </c>
      <c r="H34" s="20" t="n">
        <v>4</v>
      </c>
      <c r="I34" s="20" t="n">
        <v>6</v>
      </c>
      <c r="J34" s="20" t="n">
        <v>6</v>
      </c>
      <c r="K34" s="20" t="n">
        <v>3</v>
      </c>
      <c r="L34" s="20" t="n">
        <v>22</v>
      </c>
      <c r="M34" s="20" t="n">
        <v>3</v>
      </c>
      <c r="N34" s="20" t="n">
        <v>3</v>
      </c>
      <c r="O34" s="20" t="n">
        <v>2</v>
      </c>
      <c r="P34" s="20" t="n">
        <v>2</v>
      </c>
      <c r="Q34" s="20" t="n">
        <v>3</v>
      </c>
      <c r="R34" s="20" t="n">
        <v>683</v>
      </c>
      <c r="S34" s="20" t="n">
        <v>1366</v>
      </c>
      <c r="T34" s="20" t="n">
        <v>12</v>
      </c>
      <c r="U34" s="20" t="n">
        <v>0</v>
      </c>
      <c r="V34" s="20" t="n">
        <v>1378</v>
      </c>
      <c r="W34" s="20" t="n">
        <v>0</v>
      </c>
      <c r="X34" s="20">
        <f>SUM(C35:R35)-S35</f>
        <v/>
      </c>
    </row>
    <row r="35">
      <c r="A35" s="18" t="n">
        <v>30</v>
      </c>
      <c r="B35" s="27" t="inlineStr">
        <is>
          <t>KUCHANPALLT</t>
        </is>
      </c>
      <c r="C35" s="20" t="n">
        <v>65</v>
      </c>
      <c r="D35" s="20" t="n">
        <v>13</v>
      </c>
      <c r="E35" s="20" t="n">
        <v>5</v>
      </c>
      <c r="F35" s="20" t="n">
        <v>47</v>
      </c>
      <c r="G35" s="20" t="n">
        <v>143</v>
      </c>
      <c r="H35" s="20" t="n">
        <v>0</v>
      </c>
      <c r="I35" s="20" t="n">
        <v>8</v>
      </c>
      <c r="J35" s="20" t="n">
        <v>2</v>
      </c>
      <c r="K35" s="20" t="n">
        <v>0</v>
      </c>
      <c r="L35" s="20" t="n">
        <v>17</v>
      </c>
      <c r="M35" s="20" t="n">
        <v>2</v>
      </c>
      <c r="N35" s="20" t="n">
        <v>0</v>
      </c>
      <c r="O35" s="20" t="n">
        <v>5</v>
      </c>
      <c r="P35" s="20" t="n">
        <v>1</v>
      </c>
      <c r="Q35" s="20" t="n">
        <v>2</v>
      </c>
      <c r="R35" s="20" t="n">
        <v>682</v>
      </c>
      <c r="S35" s="20" t="n">
        <v>992</v>
      </c>
      <c r="T35" s="20" t="n">
        <v>10</v>
      </c>
      <c r="U35" s="20" t="n">
        <v>0</v>
      </c>
      <c r="V35" s="20" t="n">
        <v>1002</v>
      </c>
      <c r="W35" s="20" t="n">
        <v>0</v>
      </c>
      <c r="X35" s="20">
        <f>SUM(C36:R36)-S36</f>
        <v/>
      </c>
    </row>
    <row r="36">
      <c r="A36" s="18" t="n">
        <v>31</v>
      </c>
      <c r="B36" s="27" t="inlineStr">
        <is>
          <t>MATA PAIL</t>
        </is>
      </c>
      <c r="C36" s="20" t="n">
        <v>87</v>
      </c>
      <c r="D36" s="20" t="n">
        <v>1</v>
      </c>
      <c r="E36" s="20" t="n">
        <v>7</v>
      </c>
      <c r="F36" s="20" t="n">
        <v>287</v>
      </c>
      <c r="G36" s="20" t="n">
        <v>2</v>
      </c>
      <c r="H36" s="20" t="n">
        <v>1</v>
      </c>
      <c r="I36" s="20" t="n">
        <v>0</v>
      </c>
      <c r="J36" s="20" t="n">
        <v>0</v>
      </c>
      <c r="K36" s="20" t="n">
        <v>1</v>
      </c>
      <c r="L36" s="20" t="n">
        <v>4</v>
      </c>
      <c r="M36" s="20" t="n">
        <v>1</v>
      </c>
      <c r="N36" s="20" t="n">
        <v>0</v>
      </c>
      <c r="O36" s="20" t="n">
        <v>0</v>
      </c>
      <c r="P36" s="20" t="n">
        <v>1</v>
      </c>
      <c r="Q36" s="20" t="n">
        <v>0</v>
      </c>
      <c r="R36" s="20" t="n">
        <v>392</v>
      </c>
      <c r="S36" s="20" t="n">
        <v>784</v>
      </c>
      <c r="T36" s="20" t="n">
        <v>11</v>
      </c>
      <c r="U36" s="20" t="n">
        <v>403</v>
      </c>
      <c r="V36" s="20" t="n">
        <v>1198</v>
      </c>
      <c r="W36" s="20" t="n">
        <v>0</v>
      </c>
      <c r="X36" s="20">
        <f>SUM(C37:R37)-S37</f>
        <v/>
      </c>
    </row>
    <row r="37">
      <c r="A37" s="18" t="n">
        <v>32</v>
      </c>
      <c r="B37" s="27" t="inlineStr">
        <is>
          <t>REGONDA</t>
        </is>
      </c>
      <c r="C37" s="20" t="n">
        <v>89</v>
      </c>
      <c r="D37" s="20" t="n">
        <v>17</v>
      </c>
      <c r="E37" s="20" t="n">
        <v>15</v>
      </c>
      <c r="F37" s="20" t="n">
        <v>263</v>
      </c>
      <c r="G37" s="20" t="n">
        <v>19</v>
      </c>
      <c r="H37" s="20" t="n">
        <v>2</v>
      </c>
      <c r="I37" s="20" t="n">
        <v>6</v>
      </c>
      <c r="J37" s="20" t="n">
        <v>5</v>
      </c>
      <c r="K37" s="20" t="n">
        <v>3</v>
      </c>
      <c r="L37" s="20" t="n">
        <v>21</v>
      </c>
      <c r="M37" s="20" t="n">
        <v>2</v>
      </c>
      <c r="N37" s="20" t="n">
        <v>1</v>
      </c>
      <c r="O37" s="20" t="n">
        <v>2</v>
      </c>
      <c r="P37" s="20" t="n">
        <v>0</v>
      </c>
      <c r="Q37" s="20" t="n">
        <v>1</v>
      </c>
      <c r="R37" s="20" t="n">
        <v>446</v>
      </c>
      <c r="S37" s="20" t="n">
        <v>892</v>
      </c>
      <c r="T37" s="20" t="n">
        <v>5</v>
      </c>
      <c r="U37" s="20" t="n">
        <v>451</v>
      </c>
      <c r="V37" s="20" t="n">
        <v>1348</v>
      </c>
      <c r="W37" s="20" t="n">
        <v>0</v>
      </c>
      <c r="X37" s="20">
        <f>SUM(C38:R38)-S38</f>
        <v/>
      </c>
    </row>
    <row r="38">
      <c r="A38" s="18" t="n">
        <v>33</v>
      </c>
      <c r="B38" s="27" t="inlineStr">
        <is>
          <t>GOVARDHANAGIRI</t>
        </is>
      </c>
      <c r="C38" s="20" t="n">
        <v>256</v>
      </c>
      <c r="D38" s="20" t="n">
        <v>8</v>
      </c>
      <c r="E38" s="20" t="n">
        <v>8</v>
      </c>
      <c r="F38" s="20" t="n">
        <v>369</v>
      </c>
      <c r="G38" s="20" t="n">
        <v>10</v>
      </c>
      <c r="H38" s="20" t="n">
        <v>5</v>
      </c>
      <c r="I38" s="20" t="n">
        <v>13</v>
      </c>
      <c r="J38" s="20" t="n">
        <v>2</v>
      </c>
      <c r="K38" s="20" t="n">
        <v>1</v>
      </c>
      <c r="L38" s="20" t="n">
        <v>21</v>
      </c>
      <c r="M38" s="20" t="n">
        <v>3</v>
      </c>
      <c r="N38" s="20" t="n">
        <v>1</v>
      </c>
      <c r="O38" s="20" t="n">
        <v>4</v>
      </c>
      <c r="P38" s="20" t="n">
        <v>2</v>
      </c>
      <c r="Q38" s="20" t="n">
        <v>2</v>
      </c>
      <c r="R38" s="20" t="n">
        <v>705</v>
      </c>
      <c r="S38" s="20" t="n">
        <v>1410</v>
      </c>
      <c r="T38" s="20" t="n">
        <v>19</v>
      </c>
      <c r="U38" s="20" t="n">
        <v>0</v>
      </c>
      <c r="V38" s="20" t="n">
        <v>1429</v>
      </c>
      <c r="W38" s="20" t="n">
        <v>0</v>
      </c>
      <c r="X38" s="20">
        <f>SUM(C39:R39)-S39</f>
        <v/>
      </c>
    </row>
    <row r="39">
      <c r="A39" s="18" t="n">
        <v>34</v>
      </c>
      <c r="B39" s="27" t="inlineStr">
        <is>
          <t>GOVARDHANAGIRI</t>
        </is>
      </c>
      <c r="C39" s="20" t="n">
        <v>184</v>
      </c>
      <c r="D39" s="20" t="n">
        <v>8</v>
      </c>
      <c r="E39" s="20" t="n">
        <v>7</v>
      </c>
      <c r="F39" s="20" t="n">
        <v>243</v>
      </c>
      <c r="G39" s="20" t="n">
        <v>1</v>
      </c>
      <c r="H39" s="20" t="n">
        <v>2</v>
      </c>
      <c r="I39" s="20" t="n">
        <v>8</v>
      </c>
      <c r="J39" s="20" t="n">
        <v>1</v>
      </c>
      <c r="K39" s="20" t="n">
        <v>1</v>
      </c>
      <c r="L39" s="20" t="n">
        <v>10</v>
      </c>
      <c r="M39" s="20" t="n">
        <v>2</v>
      </c>
      <c r="N39" s="20" t="n">
        <v>2</v>
      </c>
      <c r="O39" s="20" t="n">
        <v>2</v>
      </c>
      <c r="P39" s="20" t="n">
        <v>1</v>
      </c>
      <c r="Q39" s="20" t="n">
        <v>0</v>
      </c>
      <c r="R39" s="20" t="n">
        <v>472</v>
      </c>
      <c r="S39" s="20" t="n">
        <v>944</v>
      </c>
      <c r="T39" s="20" t="n">
        <v>8</v>
      </c>
      <c r="U39" s="20" t="n">
        <v>480</v>
      </c>
      <c r="V39" s="20" t="n">
        <v>1432</v>
      </c>
      <c r="W39" s="20" t="n">
        <v>0</v>
      </c>
      <c r="X39" s="20">
        <f>SUM(C40:R40)-S40</f>
        <v/>
      </c>
    </row>
    <row r="40">
      <c r="A40" s="18" t="n">
        <v>35</v>
      </c>
      <c r="B40" s="27" t="inlineStr">
        <is>
          <t>GOVARDHANAGIRI</t>
        </is>
      </c>
      <c r="C40" s="20" t="n">
        <v>140</v>
      </c>
      <c r="D40" s="20" t="n">
        <v>4</v>
      </c>
      <c r="E40" s="20" t="n">
        <v>3</v>
      </c>
      <c r="F40" s="20" t="n">
        <v>323</v>
      </c>
      <c r="G40" s="20" t="n">
        <v>10</v>
      </c>
      <c r="H40" s="20" t="n">
        <v>1</v>
      </c>
      <c r="I40" s="20" t="n">
        <v>2</v>
      </c>
      <c r="J40" s="20" t="n">
        <v>0</v>
      </c>
      <c r="K40" s="20" t="n">
        <v>4</v>
      </c>
      <c r="L40" s="20" t="n">
        <v>17</v>
      </c>
      <c r="M40" s="20" t="n">
        <v>2</v>
      </c>
      <c r="N40" s="20" t="n">
        <v>1</v>
      </c>
      <c r="O40" s="20" t="n">
        <v>0</v>
      </c>
      <c r="P40" s="20" t="n">
        <v>0</v>
      </c>
      <c r="Q40" s="20" t="n">
        <v>1</v>
      </c>
      <c r="R40" s="20" t="n">
        <v>505</v>
      </c>
      <c r="S40" s="20" t="n">
        <v>1013</v>
      </c>
      <c r="T40" s="20" t="n">
        <v>3</v>
      </c>
      <c r="U40" s="20" t="n">
        <v>0</v>
      </c>
      <c r="V40" s="20" t="n">
        <v>1016</v>
      </c>
      <c r="W40" s="20" t="n">
        <v>0</v>
      </c>
      <c r="X40" s="20">
        <f>SUM(C41:R41)-S41</f>
        <v/>
      </c>
    </row>
    <row r="41">
      <c r="A41" s="18" t="n">
        <v>36</v>
      </c>
      <c r="B41" s="27" t="inlineStr">
        <is>
          <t>Rao</t>
        </is>
      </c>
      <c r="C41" s="20" t="n">
        <v>215</v>
      </c>
      <c r="D41" s="20" t="n">
        <v>8</v>
      </c>
      <c r="E41" s="20" t="n">
        <v>3</v>
      </c>
      <c r="F41" s="20" t="n">
        <v>177</v>
      </c>
      <c r="G41" s="20" t="n">
        <v>2</v>
      </c>
      <c r="H41" s="20" t="n">
        <v>1</v>
      </c>
      <c r="I41" s="20" t="n">
        <v>3</v>
      </c>
      <c r="J41" s="20" t="n">
        <v>0</v>
      </c>
      <c r="K41" s="20" t="n">
        <v>2</v>
      </c>
      <c r="L41" s="20" t="n">
        <v>13</v>
      </c>
      <c r="M41" s="20" t="n">
        <v>1</v>
      </c>
      <c r="N41" s="20" t="n">
        <v>1</v>
      </c>
      <c r="O41" s="20" t="n">
        <v>2</v>
      </c>
      <c r="P41" s="20" t="n">
        <v>0</v>
      </c>
      <c r="Q41" s="20" t="n">
        <v>1</v>
      </c>
      <c r="R41" s="20" t="n">
        <v>429</v>
      </c>
      <c r="S41" s="20" t="n">
        <v>858</v>
      </c>
      <c r="T41" s="20" t="n">
        <v>0</v>
      </c>
      <c r="U41" s="20" t="n">
        <v>433</v>
      </c>
      <c r="V41" s="20" t="n">
        <v>1291</v>
      </c>
      <c r="W41" s="20" t="n">
        <v>0</v>
      </c>
      <c r="X41" s="20">
        <f>SUM(C42:R42)-S42</f>
        <v/>
      </c>
    </row>
    <row r="42">
      <c r="A42" s="18" t="n">
        <v>37</v>
      </c>
      <c r="B42" s="27" t="inlineStr">
        <is>
          <t>Lancer</t>
        </is>
      </c>
      <c r="C42" s="20" t="n">
        <v>14</v>
      </c>
      <c r="D42" s="20" t="n">
        <v>3</v>
      </c>
      <c r="E42" s="20" t="n">
        <v>2</v>
      </c>
      <c r="F42" s="20" t="n">
        <v>299</v>
      </c>
      <c r="G42" s="20" t="n">
        <v>2</v>
      </c>
      <c r="H42" s="20" t="n">
        <v>0</v>
      </c>
      <c r="I42" s="20" t="n">
        <v>3</v>
      </c>
      <c r="J42" s="20" t="n">
        <v>2</v>
      </c>
      <c r="K42" s="20" t="n">
        <v>2</v>
      </c>
      <c r="L42" s="20" t="n">
        <v>11</v>
      </c>
      <c r="M42" s="20" t="n">
        <v>2</v>
      </c>
      <c r="N42" s="20" t="n">
        <v>0</v>
      </c>
      <c r="O42" s="20" t="n">
        <v>6</v>
      </c>
      <c r="P42" s="20" t="n">
        <v>1</v>
      </c>
      <c r="Q42" s="20" t="n">
        <v>3</v>
      </c>
      <c r="R42" s="20" t="n">
        <v>352</v>
      </c>
      <c r="S42" s="20" t="n">
        <v>702</v>
      </c>
      <c r="T42" s="20" t="n">
        <v>4</v>
      </c>
      <c r="U42" s="20" t="n">
        <v>356</v>
      </c>
      <c r="V42" s="20" t="n">
        <v>1062</v>
      </c>
      <c r="W42" s="20" t="n">
        <v>0</v>
      </c>
      <c r="X42" s="20">
        <f>SUM(C43:R43)-S43</f>
        <v/>
      </c>
    </row>
    <row r="43">
      <c r="A43" s="18" t="n">
        <v>38</v>
      </c>
      <c r="B43" s="27" t="inlineStr">
        <is>
          <t>NANNARAM</t>
        </is>
      </c>
      <c r="C43" s="20" t="n">
        <v>477</v>
      </c>
      <c r="D43" s="20" t="n">
        <v>15</v>
      </c>
      <c r="E43" s="20" t="n">
        <v>14</v>
      </c>
      <c r="F43" s="20" t="n">
        <v>491</v>
      </c>
      <c r="G43" s="20" t="n">
        <v>16</v>
      </c>
      <c r="H43" s="20" t="n">
        <v>4</v>
      </c>
      <c r="I43" s="20" t="n">
        <v>6</v>
      </c>
      <c r="J43" s="20" t="n">
        <v>3</v>
      </c>
      <c r="K43" s="20" t="n">
        <v>3</v>
      </c>
      <c r="L43" s="20" t="n">
        <v>19</v>
      </c>
      <c r="M43" s="20" t="n">
        <v>5</v>
      </c>
      <c r="N43" s="20" t="n">
        <v>3</v>
      </c>
      <c r="O43" s="20" t="n">
        <v>4</v>
      </c>
      <c r="P43" s="20" t="n">
        <v>0</v>
      </c>
      <c r="Q43" s="20" t="n">
        <v>1</v>
      </c>
      <c r="R43" s="20" t="n">
        <v>758</v>
      </c>
      <c r="S43" s="20" t="n">
        <v>1819</v>
      </c>
      <c r="T43" s="20" t="n">
        <v>9</v>
      </c>
      <c r="U43" s="20" t="n">
        <v>0</v>
      </c>
      <c r="V43" s="20" t="n">
        <v>1828</v>
      </c>
      <c r="W43" s="20" t="n">
        <v>0</v>
      </c>
      <c r="X43" s="20">
        <f>SUM(C44:R44)-S44</f>
        <v/>
      </c>
    </row>
    <row r="44">
      <c r="A44" s="18" t="n">
        <v>39</v>
      </c>
      <c r="B44" s="27" t="inlineStr">
        <is>
          <t>POTHARAM(N</t>
        </is>
      </c>
      <c r="C44" s="20" t="n">
        <v>15</v>
      </c>
      <c r="D44" s="20" t="n">
        <v>8</v>
      </c>
      <c r="E44" s="20" t="n">
        <v>10</v>
      </c>
      <c r="F44" s="20" t="n">
        <v>472</v>
      </c>
      <c r="G44" s="20" t="n">
        <v>4</v>
      </c>
      <c r="H44" s="20" t="n">
        <v>0</v>
      </c>
      <c r="I44" s="20" t="n">
        <v>3</v>
      </c>
      <c r="J44" s="20" t="n">
        <v>0</v>
      </c>
      <c r="K44" s="20" t="n">
        <v>0</v>
      </c>
      <c r="L44" s="20" t="n">
        <v>9</v>
      </c>
      <c r="M44" s="20" t="n">
        <v>0</v>
      </c>
      <c r="N44" s="20" t="n">
        <v>0</v>
      </c>
      <c r="O44" s="20" t="n">
        <v>0</v>
      </c>
      <c r="P44" s="20" t="n">
        <v>1</v>
      </c>
      <c r="Q44" s="20" t="n">
        <v>0</v>
      </c>
      <c r="R44" s="20" t="n">
        <v>622</v>
      </c>
      <c r="S44" s="20" t="n">
        <v>1144</v>
      </c>
      <c r="T44" s="20" t="n">
        <v>4</v>
      </c>
      <c r="U44" s="20" t="n">
        <v>0</v>
      </c>
      <c r="V44" s="20" t="n">
        <v>1148</v>
      </c>
      <c r="W44" s="20" t="n">
        <v>0</v>
      </c>
      <c r="X44" s="20">
        <f>SUM(C45:R45)-S45</f>
        <v/>
      </c>
    </row>
    <row r="45">
      <c r="A45" s="18" t="n">
        <v>40</v>
      </c>
      <c r="B45" s="27" t="inlineStr">
        <is>
          <t>RAMAVARAM.</t>
        </is>
      </c>
      <c r="C45" s="20" t="n">
        <v>150</v>
      </c>
      <c r="D45" s="20" t="n">
        <v>5</v>
      </c>
      <c r="E45" s="20" t="n">
        <v>2</v>
      </c>
      <c r="F45" s="20" t="n">
        <v>280</v>
      </c>
      <c r="G45" s="20" t="n">
        <v>6</v>
      </c>
      <c r="H45" s="20" t="n">
        <v>3</v>
      </c>
      <c r="I45" s="20" t="n">
        <v>1</v>
      </c>
      <c r="J45" s="20" t="n">
        <v>3</v>
      </c>
      <c r="K45" s="20" t="n">
        <v>14</v>
      </c>
      <c r="L45" s="20" t="n">
        <v>7</v>
      </c>
      <c r="M45" s="20" t="n">
        <v>2</v>
      </c>
      <c r="N45" s="20" t="n">
        <v>1</v>
      </c>
      <c r="O45" s="20" t="n">
        <v>7</v>
      </c>
      <c r="P45" s="20" t="n">
        <v>1</v>
      </c>
      <c r="Q45" s="20" t="n">
        <v>3</v>
      </c>
      <c r="R45" s="20" t="n">
        <v>472</v>
      </c>
      <c r="S45" s="20" t="n">
        <v>957</v>
      </c>
      <c r="T45" s="20" t="n">
        <v>4</v>
      </c>
      <c r="U45" s="20" t="n">
        <v>476</v>
      </c>
      <c r="V45" s="20" t="n">
        <v>1437</v>
      </c>
      <c r="W45" s="20" t="n">
        <v>0</v>
      </c>
      <c r="X45" s="20">
        <f>SUM(C46:R46)-S46</f>
        <v/>
      </c>
    </row>
    <row r="46">
      <c r="A46" s="18" t="n">
        <v>41</v>
      </c>
      <c r="B46" s="27" t="inlineStr">
        <is>
          <t>RAMAVARAM</t>
        </is>
      </c>
      <c r="C46" s="20" t="n">
        <v>228</v>
      </c>
      <c r="D46" s="20" t="n">
        <v>5</v>
      </c>
      <c r="E46" s="20" t="n">
        <v>15</v>
      </c>
      <c r="F46" s="20" t="n">
        <v>453</v>
      </c>
      <c r="G46" s="20" t="n">
        <v>7</v>
      </c>
      <c r="H46" s="20" t="n">
        <v>1</v>
      </c>
      <c r="I46" s="20" t="n">
        <v>6</v>
      </c>
      <c r="J46" s="20" t="n">
        <v>0</v>
      </c>
      <c r="K46" s="20" t="n">
        <v>0</v>
      </c>
      <c r="L46" s="20" t="n">
        <v>28</v>
      </c>
      <c r="M46" s="20" t="n">
        <v>4</v>
      </c>
      <c r="N46" s="20" t="n">
        <v>1</v>
      </c>
      <c r="O46" s="20" t="n">
        <v>8</v>
      </c>
      <c r="P46" s="20" t="n">
        <v>5</v>
      </c>
      <c r="Q46" s="20" t="n">
        <v>4</v>
      </c>
      <c r="R46" s="20" t="n">
        <v>759</v>
      </c>
      <c r="S46" s="20" t="n">
        <v>1524</v>
      </c>
      <c r="T46" s="20" t="n">
        <v>0</v>
      </c>
      <c r="U46" s="20" t="n">
        <v>0</v>
      </c>
      <c r="V46" s="20" t="n">
        <v>1524</v>
      </c>
      <c r="W46" s="20" t="n">
        <v>0</v>
      </c>
      <c r="X46" s="20">
        <f>SUM(C47:R47)-S47</f>
        <v/>
      </c>
    </row>
    <row r="47">
      <c r="A47" s="18" t="n">
        <v>42</v>
      </c>
      <c r="B47" s="27" t="inlineStr">
        <is>
          <t>GANDIPATIT</t>
        </is>
      </c>
      <c r="C47" s="20" t="n">
        <v>191</v>
      </c>
      <c r="D47" s="20" t="n">
        <v>7</v>
      </c>
      <c r="E47" s="20" t="n">
        <v>7</v>
      </c>
      <c r="F47" s="20" t="n">
        <v>492</v>
      </c>
      <c r="G47" s="20" t="n">
        <v>4</v>
      </c>
      <c r="H47" s="20" t="n">
        <v>8</v>
      </c>
      <c r="I47" s="20" t="n">
        <v>17</v>
      </c>
      <c r="J47" s="20" t="n">
        <v>3</v>
      </c>
      <c r="K47" s="20" t="n">
        <v>0</v>
      </c>
      <c r="L47" s="20" t="n">
        <v>37</v>
      </c>
      <c r="M47" s="20" t="n">
        <v>2</v>
      </c>
      <c r="N47" s="20" t="n">
        <v>4</v>
      </c>
      <c r="O47" s="20" t="n">
        <v>6</v>
      </c>
      <c r="P47" s="20" t="n">
        <v>3</v>
      </c>
      <c r="Q47" s="20" t="n">
        <v>2</v>
      </c>
      <c r="R47" s="20" t="n">
        <v>784</v>
      </c>
      <c r="S47" s="20" t="n">
        <v>1567</v>
      </c>
      <c r="T47" s="20" t="n">
        <v>10</v>
      </c>
      <c r="U47" s="20" t="n">
        <v>0</v>
      </c>
      <c r="V47" s="20" t="n">
        <v>1577</v>
      </c>
      <c r="W47" s="20" t="n">
        <v>0</v>
      </c>
      <c r="X47" s="20">
        <f>SUM(C48:R48)-S48</f>
        <v/>
      </c>
    </row>
    <row r="48">
      <c r="A48" s="18" t="n">
        <v>43</v>
      </c>
      <c r="B48" s="27" t="inlineStr">
        <is>
          <t>KUNDANVANI PALLI</t>
        </is>
      </c>
      <c r="C48" s="20" t="n">
        <v>166</v>
      </c>
      <c r="D48" s="20" t="n">
        <v>7</v>
      </c>
      <c r="E48" s="20" t="n">
        <v>12</v>
      </c>
      <c r="F48" s="20" t="n">
        <v>496</v>
      </c>
      <c r="G48" s="20" t="n">
        <v>6</v>
      </c>
      <c r="H48" s="20" t="n">
        <v>6</v>
      </c>
      <c r="I48" s="20" t="n">
        <v>0</v>
      </c>
      <c r="J48" s="20" t="n">
        <v>2</v>
      </c>
      <c r="K48" s="20" t="n">
        <v>4</v>
      </c>
      <c r="L48" s="20" t="n">
        <v>20</v>
      </c>
      <c r="M48" s="20" t="n">
        <v>2</v>
      </c>
      <c r="N48" s="20" t="n">
        <v>0</v>
      </c>
      <c r="O48" s="20" t="n">
        <v>0</v>
      </c>
      <c r="P48" s="20" t="n">
        <v>2</v>
      </c>
      <c r="Q48" s="20" t="n">
        <v>3</v>
      </c>
      <c r="R48" s="20" t="n">
        <v>732</v>
      </c>
      <c r="S48" s="20" t="n">
        <v>1458</v>
      </c>
      <c r="T48" s="20" t="n">
        <v>8</v>
      </c>
      <c r="U48" s="20" t="n">
        <v>0</v>
      </c>
      <c r="V48" s="20" t="n">
        <v>1466</v>
      </c>
      <c r="W48" s="20" t="n">
        <v>0</v>
      </c>
      <c r="X48" s="20">
        <f>SUM(C49:R49)-S49</f>
        <v/>
      </c>
    </row>
    <row r="49">
      <c r="A49" s="18" t="n">
        <v>44</v>
      </c>
      <c r="B49" s="27" t="inlineStr">
        <is>
          <t>Me Avata vac</t>
        </is>
      </c>
      <c r="C49" s="20" t="n">
        <v>2</v>
      </c>
      <c r="D49" s="20" t="n">
        <v>4</v>
      </c>
      <c r="E49" s="20" t="n">
        <v>6</v>
      </c>
      <c r="F49" s="20" t="n">
        <v>168</v>
      </c>
      <c r="G49" s="20" t="n">
        <v>0</v>
      </c>
      <c r="H49" s="20" t="n">
        <v>4</v>
      </c>
      <c r="I49" s="20" t="n">
        <v>2</v>
      </c>
      <c r="J49" s="20" t="n">
        <v>0</v>
      </c>
      <c r="K49" s="20" t="n">
        <v>2</v>
      </c>
      <c r="L49" s="20" t="n">
        <v>8</v>
      </c>
      <c r="M49" s="20" t="n">
        <v>4</v>
      </c>
      <c r="N49" s="20" t="n">
        <v>3</v>
      </c>
      <c r="O49" s="20" t="n">
        <v>4</v>
      </c>
      <c r="P49" s="20" t="n">
        <v>4</v>
      </c>
      <c r="Q49" s="20" t="n">
        <v>4</v>
      </c>
      <c r="R49" s="20" t="n">
        <v>220</v>
      </c>
      <c r="S49" s="20" t="n">
        <v>435</v>
      </c>
      <c r="T49" s="20" t="n">
        <v>4</v>
      </c>
      <c r="U49" s="20" t="n">
        <v>224</v>
      </c>
      <c r="V49" s="20" t="n">
        <v>663</v>
      </c>
      <c r="W49" s="20" t="n">
        <v>0</v>
      </c>
      <c r="X49" s="20">
        <f>SUM(C50:R50)-S50</f>
        <v/>
      </c>
    </row>
    <row r="50">
      <c r="A50" s="18" t="n">
        <v>45</v>
      </c>
      <c r="B50" s="27" t="inlineStr">
        <is>
          <t>IGANDIPALLI</t>
        </is>
      </c>
      <c r="C50" s="20" t="n">
        <v>84</v>
      </c>
      <c r="D50" s="20" t="n">
        <v>3</v>
      </c>
      <c r="E50" s="20" t="n">
        <v>7</v>
      </c>
      <c r="F50" s="20" t="n">
        <v>365</v>
      </c>
      <c r="G50" s="20" t="n">
        <v>11</v>
      </c>
      <c r="H50" s="20" t="n">
        <v>7</v>
      </c>
      <c r="I50" s="20" t="n">
        <v>12</v>
      </c>
      <c r="J50" s="20" t="n">
        <v>3</v>
      </c>
      <c r="K50" s="20" t="n">
        <v>2</v>
      </c>
      <c r="L50" s="20" t="n">
        <v>27</v>
      </c>
      <c r="M50" s="20" t="n">
        <v>2</v>
      </c>
      <c r="N50" s="20" t="n">
        <v>14</v>
      </c>
      <c r="O50" s="20" t="n">
        <v>1</v>
      </c>
      <c r="P50" s="20" t="n">
        <v>3</v>
      </c>
      <c r="Q50" s="20" t="n">
        <v>2</v>
      </c>
      <c r="R50" s="20" t="n">
        <v>530</v>
      </c>
      <c r="S50" s="20" t="n">
        <v>1073</v>
      </c>
      <c r="T50" s="20" t="n">
        <v>5</v>
      </c>
      <c r="U50" s="20" t="n">
        <v>0</v>
      </c>
      <c r="V50" s="20" t="n">
        <v>1078</v>
      </c>
      <c r="W50" s="20" t="n">
        <v>0</v>
      </c>
      <c r="X50" s="20">
        <f>SUM(C51:R51)-S51</f>
        <v/>
      </c>
    </row>
    <row r="51">
      <c r="A51" s="18" t="n">
        <v>46</v>
      </c>
      <c r="B51" s="27" t="inlineStr">
        <is>
          <t>IGOURA VELL!</t>
        </is>
      </c>
      <c r="C51" s="20" t="n">
        <v>296</v>
      </c>
      <c r="D51" s="20" t="n">
        <v>9</v>
      </c>
      <c r="E51" s="20" t="n">
        <v>8</v>
      </c>
      <c r="F51" s="20" t="n">
        <v>340</v>
      </c>
      <c r="G51" s="20" t="n">
        <v>44</v>
      </c>
      <c r="H51" s="20" t="n">
        <v>2</v>
      </c>
      <c r="I51" s="20" t="n">
        <v>4</v>
      </c>
      <c r="J51" s="20" t="n">
        <v>0</v>
      </c>
      <c r="K51" s="20" t="n">
        <v>3</v>
      </c>
      <c r="L51" s="20" t="n">
        <v>14</v>
      </c>
      <c r="M51" s="20" t="n">
        <v>4</v>
      </c>
      <c r="N51" s="20" t="n">
        <v>1</v>
      </c>
      <c r="O51" s="20" t="n">
        <v>0</v>
      </c>
      <c r="P51" s="20" t="n">
        <v>3</v>
      </c>
      <c r="Q51" s="20" t="n">
        <v>4</v>
      </c>
      <c r="R51" s="20" t="n">
        <v>699</v>
      </c>
      <c r="S51" s="20" t="n">
        <v>1431</v>
      </c>
      <c r="T51" s="20" t="n">
        <v>44</v>
      </c>
      <c r="U51" s="20" t="n">
        <v>0</v>
      </c>
      <c r="V51" s="20" t="n">
        <v>1475</v>
      </c>
      <c r="W51" s="20" t="n">
        <v>0</v>
      </c>
      <c r="X51" s="20">
        <f>SUM(C52:R52)-S52</f>
        <v/>
      </c>
    </row>
    <row r="52">
      <c r="A52" s="18" t="n">
        <v>47</v>
      </c>
      <c r="B52" s="27" t="inlineStr">
        <is>
          <t>IGOURA VELLI</t>
        </is>
      </c>
      <c r="C52" s="20" t="n">
        <v>182</v>
      </c>
      <c r="D52" s="20" t="n">
        <v>16</v>
      </c>
      <c r="E52" s="20" t="n">
        <v>7</v>
      </c>
      <c r="F52" s="20" t="n">
        <v>372</v>
      </c>
      <c r="G52" s="20" t="n">
        <v>12</v>
      </c>
      <c r="H52" s="20" t="n">
        <v>2</v>
      </c>
      <c r="I52" s="20" t="n">
        <v>2</v>
      </c>
      <c r="J52" s="20" t="n">
        <v>0</v>
      </c>
      <c r="K52" s="20" t="n">
        <v>0</v>
      </c>
      <c r="L52" s="20" t="n">
        <v>13</v>
      </c>
      <c r="M52" s="20" t="n">
        <v>0</v>
      </c>
      <c r="N52" s="20" t="n">
        <v>1</v>
      </c>
      <c r="O52" s="20" t="n">
        <v>14</v>
      </c>
      <c r="P52" s="20" t="n">
        <v>4</v>
      </c>
      <c r="Q52" s="20" t="n">
        <v>0</v>
      </c>
      <c r="R52" s="20" t="n">
        <v>609</v>
      </c>
      <c r="S52" s="20" t="n">
        <v>1234</v>
      </c>
      <c r="T52" s="20" t="n">
        <v>8</v>
      </c>
      <c r="U52" s="20" t="n">
        <v>0</v>
      </c>
      <c r="V52" s="20" t="n">
        <v>1242</v>
      </c>
      <c r="W52" s="20" t="n">
        <v>0</v>
      </c>
      <c r="X52" s="20">
        <f>SUM(C53:R53)-S53</f>
        <v/>
      </c>
    </row>
    <row r="53">
      <c r="A53" s="18" t="n">
        <v>48</v>
      </c>
      <c r="B53" s="27" t="inlineStr">
        <is>
          <t>IGUDATI PALLI</t>
        </is>
      </c>
      <c r="C53" s="20" t="n">
        <v>276</v>
      </c>
      <c r="D53" s="20" t="n">
        <v>11</v>
      </c>
      <c r="E53" s="20" t="n">
        <v>9</v>
      </c>
      <c r="F53" s="20" t="n">
        <v>458</v>
      </c>
      <c r="G53" s="20" t="n">
        <v>12</v>
      </c>
      <c r="H53" s="20" t="n">
        <v>4</v>
      </c>
      <c r="I53" s="20" t="n">
        <v>5</v>
      </c>
      <c r="J53" s="20" t="n">
        <v>4</v>
      </c>
      <c r="K53" s="20" t="n">
        <v>14</v>
      </c>
      <c r="L53" s="20" t="n">
        <v>20</v>
      </c>
      <c r="M53" s="20" t="n">
        <v>1</v>
      </c>
      <c r="N53" s="20" t="n">
        <v>0</v>
      </c>
      <c r="O53" s="20" t="n">
        <v>4</v>
      </c>
      <c r="P53" s="20" t="n">
        <v>1</v>
      </c>
      <c r="Q53" s="20" t="n">
        <v>2</v>
      </c>
      <c r="R53" s="20" t="n">
        <v>802</v>
      </c>
      <c r="S53" s="20" t="n">
        <v>1623</v>
      </c>
      <c r="T53" s="20" t="n">
        <v>13</v>
      </c>
      <c r="U53" s="20" t="n">
        <v>0</v>
      </c>
      <c r="V53" s="20" t="n">
        <v>1636</v>
      </c>
      <c r="W53" s="20" t="n">
        <v>0</v>
      </c>
      <c r="X53" s="20">
        <f>SUM(C54:R54)-S54</f>
        <v/>
      </c>
    </row>
    <row r="54">
      <c r="A54" s="18" t="n">
        <v>49</v>
      </c>
      <c r="B54" s="27" t="inlineStr">
        <is>
          <t>ITENUGU PALLI</t>
        </is>
      </c>
      <c r="C54" s="20" t="n">
        <v>281</v>
      </c>
      <c r="D54" s="20" t="n">
        <v>1</v>
      </c>
      <c r="E54" s="20" t="n">
        <v>16</v>
      </c>
      <c r="F54" s="20" t="n">
        <v>557</v>
      </c>
      <c r="G54" s="20" t="n">
        <v>0</v>
      </c>
      <c r="H54" s="20" t="n">
        <v>7</v>
      </c>
      <c r="I54" s="20" t="n">
        <v>18</v>
      </c>
      <c r="J54" s="20" t="n">
        <v>4</v>
      </c>
      <c r="K54" s="20" t="n">
        <v>4</v>
      </c>
      <c r="L54" s="20" t="n">
        <v>28</v>
      </c>
      <c r="M54" s="20" t="n">
        <v>3</v>
      </c>
      <c r="N54" s="20" t="n">
        <v>6</v>
      </c>
      <c r="O54" s="20" t="n">
        <v>4</v>
      </c>
      <c r="P54" s="20" t="n">
        <v>1</v>
      </c>
      <c r="Q54" s="20" t="n">
        <v>4</v>
      </c>
      <c r="R54" s="20" t="n">
        <v>950</v>
      </c>
      <c r="S54" s="20" t="n">
        <v>1884</v>
      </c>
      <c r="T54" s="20" t="n">
        <v>13</v>
      </c>
      <c r="U54" s="20" t="n">
        <v>0</v>
      </c>
      <c r="V54" s="20" t="n">
        <v>1897</v>
      </c>
      <c r="W54" s="20" t="n">
        <v>0</v>
      </c>
      <c r="X54" s="20">
        <f>SUM(C55:R55)-S55</f>
        <v/>
      </c>
    </row>
    <row r="55">
      <c r="A55" s="18" t="n">
        <v>50</v>
      </c>
      <c r="B55" s="27" t="inlineStr">
        <is>
          <t>JANAGAM</t>
        </is>
      </c>
      <c r="C55" s="20" t="n">
        <v>111</v>
      </c>
      <c r="D55" s="20" t="n">
        <v>11</v>
      </c>
      <c r="E55" s="20" t="n">
        <v>44</v>
      </c>
      <c r="F55" s="20" t="n">
        <v>358</v>
      </c>
      <c r="G55" s="20" t="n">
        <v>1</v>
      </c>
      <c r="H55" s="20" t="n">
        <v>2</v>
      </c>
      <c r="I55" s="20" t="n">
        <v>9</v>
      </c>
      <c r="J55" s="20" t="n">
        <v>4</v>
      </c>
      <c r="K55" s="20" t="n">
        <v>14</v>
      </c>
      <c r="L55" s="20" t="n">
        <v>114</v>
      </c>
      <c r="M55" s="20" t="n">
        <v>2</v>
      </c>
      <c r="N55" s="20" t="n">
        <v>4</v>
      </c>
      <c r="O55" s="20" t="n">
        <v>6</v>
      </c>
      <c r="P55" s="20" t="n">
        <v>4</v>
      </c>
      <c r="Q55" s="20" t="n">
        <v>3</v>
      </c>
      <c r="R55" s="20" t="n">
        <v>571</v>
      </c>
      <c r="S55" s="20" t="n">
        <v>1258</v>
      </c>
      <c r="T55" s="20" t="n">
        <v>10</v>
      </c>
      <c r="U55" s="20" t="n">
        <v>0</v>
      </c>
      <c r="V55" s="20" t="n">
        <v>1268</v>
      </c>
      <c r="W55" s="20" t="n">
        <v>0</v>
      </c>
      <c r="X55" s="20">
        <f>SUM(C56:R56)-S56</f>
        <v/>
      </c>
    </row>
    <row r="56">
      <c r="A56" s="18" t="n">
        <v>51</v>
      </c>
      <c r="B56" s="27" t="inlineStr">
        <is>
          <t>JANAGAM</t>
        </is>
      </c>
      <c r="C56" s="20" t="n">
        <v>103</v>
      </c>
      <c r="D56" s="20" t="n">
        <v>34</v>
      </c>
      <c r="E56" s="20" t="n">
        <v>3</v>
      </c>
      <c r="F56" s="20" t="n">
        <v>339</v>
      </c>
      <c r="G56" s="20" t="n">
        <v>0</v>
      </c>
      <c r="H56" s="20" t="n">
        <v>2</v>
      </c>
      <c r="I56" s="20" t="n">
        <v>8</v>
      </c>
      <c r="J56" s="20" t="n">
        <v>4</v>
      </c>
      <c r="K56" s="20" t="n">
        <v>14</v>
      </c>
      <c r="L56" s="20" t="n">
        <v>10</v>
      </c>
      <c r="M56" s="20" t="n">
        <v>0</v>
      </c>
      <c r="N56" s="20" t="n">
        <v>0</v>
      </c>
      <c r="O56" s="20" t="n">
        <v>2</v>
      </c>
      <c r="P56" s="20" t="n">
        <v>2</v>
      </c>
      <c r="Q56" s="20" t="n">
        <v>4</v>
      </c>
      <c r="R56" s="20" t="n">
        <v>509</v>
      </c>
      <c r="S56" s="20" t="n">
        <v>1034</v>
      </c>
      <c r="T56" s="20" t="n">
        <v>9</v>
      </c>
      <c r="U56" s="20" t="n">
        <v>0</v>
      </c>
      <c r="V56" s="20" t="n">
        <v>1043</v>
      </c>
      <c r="W56" s="20" t="n">
        <v>0</v>
      </c>
      <c r="X56" s="20">
        <f>SUM(C57:R57)-S57</f>
        <v/>
      </c>
    </row>
    <row r="57">
      <c r="A57" s="18" t="n">
        <v>52</v>
      </c>
      <c r="B57" s="27" t="inlineStr">
        <is>
          <t>JJANAGAM</t>
        </is>
      </c>
      <c r="C57" s="20" t="n">
        <v>51</v>
      </c>
      <c r="D57" s="20" t="n">
        <v>44</v>
      </c>
      <c r="E57" s="20" t="n">
        <v>6</v>
      </c>
      <c r="F57" s="20" t="n">
        <v>369</v>
      </c>
      <c r="G57" s="20" t="n">
        <v>2</v>
      </c>
      <c r="H57" s="20" t="n">
        <v>1</v>
      </c>
      <c r="I57" s="20" t="n">
        <v>6</v>
      </c>
      <c r="J57" s="20" t="n">
        <v>4</v>
      </c>
      <c r="K57" s="20" t="n">
        <v>2</v>
      </c>
      <c r="L57" s="20" t="n">
        <v>7</v>
      </c>
      <c r="M57" s="20" t="n">
        <v>4</v>
      </c>
      <c r="N57" s="20" t="n">
        <v>0</v>
      </c>
      <c r="O57" s="20" t="n">
        <v>1</v>
      </c>
      <c r="P57" s="20" t="n">
        <v>2</v>
      </c>
      <c r="Q57" s="20" t="n">
        <v>0</v>
      </c>
      <c r="R57" s="20" t="n">
        <v>466</v>
      </c>
      <c r="S57" s="20" t="n">
        <v>965</v>
      </c>
      <c r="T57" s="20" t="n">
        <v>4</v>
      </c>
      <c r="U57" s="20" t="n">
        <v>467</v>
      </c>
      <c r="V57" s="20" t="n">
        <v>1436</v>
      </c>
      <c r="W57" s="20" t="n">
        <v>0</v>
      </c>
      <c r="X57" s="20">
        <f>SUM(C58:R58)-S58</f>
        <v/>
      </c>
    </row>
    <row r="58">
      <c r="A58" s="18" t="n">
        <v>53</v>
      </c>
      <c r="B58" s="27" t="inlineStr">
        <is>
          <t>GUBBADI J</t>
        </is>
      </c>
      <c r="C58" s="20" t="n">
        <v>30</v>
      </c>
      <c r="D58" s="20" t="n">
        <v>1</v>
      </c>
      <c r="E58" s="20" t="n">
        <v>4</v>
      </c>
      <c r="F58" s="20" t="n">
        <v>286</v>
      </c>
      <c r="G58" s="20" t="n">
        <v>2</v>
      </c>
      <c r="H58" s="20" t="n">
        <v>4</v>
      </c>
      <c r="I58" s="20" t="n">
        <v>4</v>
      </c>
      <c r="J58" s="20" t="n">
        <v>4</v>
      </c>
      <c r="K58" s="20" t="n">
        <v>0</v>
      </c>
      <c r="L58" s="20" t="n">
        <v>10</v>
      </c>
      <c r="M58" s="20" t="n">
        <v>0</v>
      </c>
      <c r="N58" s="20" t="n">
        <v>0</v>
      </c>
      <c r="O58" s="20" t="n">
        <v>1</v>
      </c>
      <c r="P58" s="20" t="n">
        <v>0</v>
      </c>
      <c r="Q58" s="20" t="n">
        <v>4</v>
      </c>
      <c r="R58" s="20" t="n">
        <v>341</v>
      </c>
      <c r="S58" s="20" t="n">
        <v>691</v>
      </c>
      <c r="T58" s="20" t="n">
        <v>414</v>
      </c>
      <c r="U58" s="20" t="n">
        <v>342</v>
      </c>
      <c r="V58" s="20" t="n">
        <v>1447</v>
      </c>
      <c r="W58" s="20" t="n">
        <v>0</v>
      </c>
      <c r="X58" s="20">
        <f>SUM(C59:R59)-S59</f>
        <v/>
      </c>
    </row>
    <row r="59">
      <c r="A59" s="18" t="n">
        <v>54</v>
      </c>
      <c r="B59" s="27" t="inlineStr">
        <is>
          <t>—z 1</t>
        </is>
      </c>
      <c r="C59" s="20" t="n">
        <v>0</v>
      </c>
      <c r="D59" s="20" t="n">
        <v>0</v>
      </c>
      <c r="E59" s="20" t="n">
        <v>0</v>
      </c>
      <c r="F59" s="20" t="n">
        <v>5</v>
      </c>
      <c r="G59" s="20" t="n">
        <v>6</v>
      </c>
      <c r="H59" s="20" t="n">
        <v>7</v>
      </c>
      <c r="I59" s="20" t="n">
        <v>8</v>
      </c>
      <c r="J59" s="20" t="n">
        <v>0</v>
      </c>
      <c r="K59" s="20" t="n">
        <v>10</v>
      </c>
      <c r="L59" s="20" t="n">
        <v>11</v>
      </c>
      <c r="M59" s="20" t="n">
        <v>12</v>
      </c>
      <c r="N59" s="20" t="n">
        <v>13</v>
      </c>
      <c r="O59" s="20" t="n">
        <v>14</v>
      </c>
      <c r="P59" s="20" t="n">
        <v>15</v>
      </c>
      <c r="Q59" s="20" t="n">
        <v>16</v>
      </c>
      <c r="R59" s="20" t="n">
        <v>17</v>
      </c>
      <c r="S59" s="20" t="n">
        <v>134</v>
      </c>
      <c r="T59" s="20" t="n">
        <v>19</v>
      </c>
      <c r="U59" s="20" t="n">
        <v>20</v>
      </c>
      <c r="V59" s="20" t="n">
        <v>173</v>
      </c>
      <c r="W59" s="20" t="n">
        <v>0</v>
      </c>
      <c r="X59" s="20">
        <f>SUM(C60:R60)-S60</f>
        <v/>
      </c>
    </row>
    <row r="60">
      <c r="A60" s="18" t="n">
        <v>55</v>
      </c>
      <c r="B60" s="27" t="inlineStr">
        <is>
          <t>THOTA PALI SY</t>
        </is>
      </c>
      <c r="C60" s="20" t="n">
        <v>114</v>
      </c>
      <c r="D60" s="20" t="n">
        <v>0</v>
      </c>
      <c r="E60" s="20" t="n">
        <v>5</v>
      </c>
      <c r="F60" s="20" t="n">
        <v>382</v>
      </c>
      <c r="G60" s="20" t="n">
        <v>2</v>
      </c>
      <c r="H60" s="20" t="n">
        <v>2</v>
      </c>
      <c r="I60" s="20" t="n">
        <v>7</v>
      </c>
      <c r="J60" s="20" t="n">
        <v>2</v>
      </c>
      <c r="K60" s="20" t="n">
        <v>2</v>
      </c>
      <c r="L60" s="20" t="n">
        <v>13</v>
      </c>
      <c r="M60" s="20" t="n">
        <v>1</v>
      </c>
      <c r="N60" s="20" t="n">
        <v>3</v>
      </c>
      <c r="O60" s="20" t="n">
        <v>3</v>
      </c>
      <c r="P60" s="20" t="n">
        <v>2</v>
      </c>
      <c r="Q60" s="20" t="n">
        <v>0</v>
      </c>
      <c r="R60" s="20" t="n">
        <v>546</v>
      </c>
      <c r="S60" s="20" t="n">
        <v>1084</v>
      </c>
      <c r="T60" s="20" t="n">
        <v>0</v>
      </c>
      <c r="U60" s="20" t="n">
        <v>0</v>
      </c>
      <c r="V60" s="20" t="n">
        <v>1084</v>
      </c>
      <c r="W60" s="20" t="n">
        <v>0</v>
      </c>
      <c r="X60" s="20">
        <f>SUM(C61:R61)-S61</f>
        <v/>
      </c>
    </row>
    <row r="61">
      <c r="A61" s="18" t="n">
        <v>56</v>
      </c>
      <c r="B61" s="27" t="inlineStr">
        <is>
          <t>RANDHINAGAR</t>
        </is>
      </c>
      <c r="C61" s="20" t="n">
        <v>455</v>
      </c>
      <c r="D61" s="20" t="n">
        <v>12</v>
      </c>
      <c r="E61" s="20" t="n">
        <v>66</v>
      </c>
      <c r="F61" s="20" t="n">
        <v>711</v>
      </c>
      <c r="G61" s="20" t="n">
        <v>9</v>
      </c>
      <c r="H61" s="20" t="n">
        <v>1</v>
      </c>
      <c r="I61" s="20" t="n">
        <v>12</v>
      </c>
      <c r="J61" s="20" t="n">
        <v>4</v>
      </c>
      <c r="K61" s="20" t="n">
        <v>41</v>
      </c>
      <c r="L61" s="20" t="n">
        <v>23</v>
      </c>
      <c r="M61" s="20" t="n">
        <v>0</v>
      </c>
      <c r="N61" s="20" t="n">
        <v>6</v>
      </c>
      <c r="O61" s="20" t="n">
        <v>5</v>
      </c>
      <c r="P61" s="20" t="n">
        <v>0</v>
      </c>
      <c r="Q61" s="20" t="n">
        <v>1</v>
      </c>
      <c r="R61" s="20" t="n">
        <v>1006</v>
      </c>
      <c r="S61" s="20" t="n">
        <v>2352</v>
      </c>
      <c r="T61" s="20" t="n">
        <v>16</v>
      </c>
      <c r="U61" s="20" t="n">
        <v>0</v>
      </c>
      <c r="V61" s="20" t="n">
        <v>2368</v>
      </c>
      <c r="W61" s="20" t="n">
        <v>0</v>
      </c>
      <c r="X61" s="20">
        <f>SUM(C62:R62)-S62</f>
        <v/>
      </c>
    </row>
    <row r="62">
      <c r="A62" s="18" t="n">
        <v>57</v>
      </c>
      <c r="B62" s="27" t="inlineStr">
        <is>
          <t>ANTAKKA PFTA</t>
        </is>
      </c>
      <c r="C62" s="20" t="n">
        <v>0</v>
      </c>
      <c r="D62" s="20" t="n">
        <v>0</v>
      </c>
      <c r="E62" s="20" t="n">
        <v>40</v>
      </c>
      <c r="F62" s="20" t="n">
        <v>311</v>
      </c>
      <c r="G62" s="20" t="n">
        <v>7</v>
      </c>
      <c r="H62" s="20" t="n">
        <v>0</v>
      </c>
      <c r="I62" s="20" t="n">
        <v>5</v>
      </c>
      <c r="J62" s="20" t="n">
        <v>2</v>
      </c>
      <c r="K62" s="20" t="n">
        <v>1</v>
      </c>
      <c r="L62" s="20" t="n">
        <v>14</v>
      </c>
      <c r="M62" s="20" t="n">
        <v>4</v>
      </c>
      <c r="N62" s="20" t="n">
        <v>1</v>
      </c>
      <c r="O62" s="20" t="n">
        <v>4</v>
      </c>
      <c r="P62" s="20" t="n">
        <v>1</v>
      </c>
      <c r="Q62" s="20" t="n">
        <v>2</v>
      </c>
      <c r="R62" s="20" t="n">
        <v>460</v>
      </c>
      <c r="S62" s="20" t="n">
        <v>852</v>
      </c>
      <c r="T62" s="20" t="n">
        <v>8</v>
      </c>
      <c r="U62" s="20" t="n">
        <v>468</v>
      </c>
      <c r="V62" s="20" t="n">
        <v>1328</v>
      </c>
      <c r="W62" s="20" t="n">
        <v>3</v>
      </c>
      <c r="X62" s="20">
        <f>SUM(C63:R63)-S63</f>
        <v/>
      </c>
    </row>
    <row r="63">
      <c r="A63" s="18" t="n">
        <v>58</v>
      </c>
      <c r="B63" s="27" t="inlineStr">
        <is>
          <t>ANTHAKKAPFT.</t>
        </is>
      </c>
      <c r="C63" s="20" t="n">
        <v>2</v>
      </c>
      <c r="D63" s="20" t="n">
        <v>3</v>
      </c>
      <c r="E63" s="20" t="n">
        <v>7</v>
      </c>
      <c r="F63" s="20" t="n">
        <v>384</v>
      </c>
      <c r="G63" s="20" t="n">
        <v>2</v>
      </c>
      <c r="H63" s="20" t="n">
        <v>0</v>
      </c>
      <c r="I63" s="20" t="n">
        <v>3</v>
      </c>
      <c r="J63" s="20" t="n">
        <v>0</v>
      </c>
      <c r="K63" s="20" t="n">
        <v>0</v>
      </c>
      <c r="L63" s="20" t="n">
        <v>8</v>
      </c>
      <c r="M63" s="20" t="n">
        <v>4</v>
      </c>
      <c r="N63" s="20" t="n">
        <v>1</v>
      </c>
      <c r="O63" s="20" t="n">
        <v>0</v>
      </c>
      <c r="P63" s="20" t="n">
        <v>0</v>
      </c>
      <c r="Q63" s="20" t="n">
        <v>0</v>
      </c>
      <c r="R63" s="20" t="n">
        <v>491</v>
      </c>
      <c r="S63" s="20" t="n">
        <v>905</v>
      </c>
      <c r="T63" s="20" t="n">
        <v>0</v>
      </c>
      <c r="U63" s="20" t="n">
        <v>497</v>
      </c>
      <c r="V63" s="20" t="n">
        <v>1402</v>
      </c>
      <c r="W63" s="20" t="n">
        <v>4</v>
      </c>
      <c r="X63" s="20">
        <f>SUM(C64:R64)-S64</f>
        <v/>
      </c>
    </row>
    <row r="64">
      <c r="A64" s="18" t="n">
        <v>59</v>
      </c>
      <c r="B64" s="27" t="inlineStr">
        <is>
          <t>ANTAKKA PFTA</t>
        </is>
      </c>
      <c r="C64" s="20" t="n">
        <v>49</v>
      </c>
      <c r="D64" s="20" t="n">
        <v>11</v>
      </c>
      <c r="E64" s="20" t="n">
        <v>4</v>
      </c>
      <c r="F64" s="20" t="n">
        <v>270</v>
      </c>
      <c r="G64" s="20" t="n">
        <v>5</v>
      </c>
      <c r="H64" s="20" t="n">
        <v>0</v>
      </c>
      <c r="I64" s="20" t="n">
        <v>2</v>
      </c>
      <c r="J64" s="20" t="n">
        <v>0</v>
      </c>
      <c r="K64" s="20" t="n">
        <v>0</v>
      </c>
      <c r="L64" s="20" t="n">
        <v>12</v>
      </c>
      <c r="M64" s="20" t="n">
        <v>4</v>
      </c>
      <c r="N64" s="20" t="n">
        <v>0</v>
      </c>
      <c r="O64" s="20" t="n">
        <v>1</v>
      </c>
      <c r="P64" s="20" t="n">
        <v>1</v>
      </c>
      <c r="Q64" s="20" t="n">
        <v>0</v>
      </c>
      <c r="R64" s="20" t="n">
        <v>357</v>
      </c>
      <c r="S64" s="20" t="n">
        <v>716</v>
      </c>
      <c r="T64" s="20" t="n">
        <v>0</v>
      </c>
      <c r="U64" s="20" t="n">
        <v>358</v>
      </c>
      <c r="V64" s="20" t="n">
        <v>1074</v>
      </c>
      <c r="W64" s="20" t="n">
        <v>0</v>
      </c>
      <c r="X64" s="20">
        <f>SUM(C65:R65)-S65</f>
        <v/>
      </c>
    </row>
    <row r="65">
      <c r="A65" s="18" t="n">
        <v>60</v>
      </c>
      <c r="B65" s="27" t="inlineStr">
        <is>
          <t>ANTHAKKAPFT</t>
        </is>
      </c>
      <c r="C65" s="20" t="n">
        <v>0</v>
      </c>
      <c r="D65" s="20" t="n">
        <v>7</v>
      </c>
      <c r="E65" s="20" t="n">
        <v>7</v>
      </c>
      <c r="F65" s="20" t="n">
        <v>206</v>
      </c>
      <c r="G65" s="20" t="n">
        <v>3</v>
      </c>
      <c r="H65" s="20" t="n">
        <v>0</v>
      </c>
      <c r="I65" s="20" t="n">
        <v>2</v>
      </c>
      <c r="J65" s="20" t="n">
        <v>0</v>
      </c>
      <c r="K65" s="20" t="n">
        <v>1</v>
      </c>
      <c r="L65" s="20" t="n">
        <v>8</v>
      </c>
      <c r="M65" s="20" t="n">
        <v>0</v>
      </c>
      <c r="N65" s="20" t="n">
        <v>0</v>
      </c>
      <c r="O65" s="20" t="n">
        <v>4</v>
      </c>
      <c r="P65" s="20" t="n">
        <v>0</v>
      </c>
      <c r="Q65" s="20" t="n">
        <v>0</v>
      </c>
      <c r="R65" s="20" t="n">
        <v>319</v>
      </c>
      <c r="S65" s="20" t="n">
        <v>557</v>
      </c>
      <c r="T65" s="20" t="n">
        <v>2</v>
      </c>
      <c r="U65" s="20" t="n">
        <v>321</v>
      </c>
      <c r="V65" s="20" t="n">
        <v>880</v>
      </c>
      <c r="W65" s="20" t="n">
        <v>0</v>
      </c>
      <c r="X65" s="20">
        <f>SUM(C66:R66)-S66</f>
        <v/>
      </c>
    </row>
    <row r="66">
      <c r="A66" s="18" t="n">
        <v>61</v>
      </c>
      <c r="B66" s="27" t="inlineStr">
        <is>
          <t>WANNA PETA</t>
        </is>
      </c>
      <c r="C66" s="20" t="n">
        <v>74</v>
      </c>
      <c r="D66" s="20" t="n">
        <v>0</v>
      </c>
      <c r="E66" s="20" t="n">
        <v>40</v>
      </c>
      <c r="F66" s="20" t="n">
        <v>645</v>
      </c>
      <c r="G66" s="20" t="n">
        <v>6</v>
      </c>
      <c r="H66" s="20" t="n">
        <v>7</v>
      </c>
      <c r="I66" s="20" t="n">
        <v>6</v>
      </c>
      <c r="J66" s="20" t="n">
        <v>4</v>
      </c>
      <c r="K66" s="20" t="n">
        <v>3</v>
      </c>
      <c r="L66" s="20" t="n">
        <v>15</v>
      </c>
      <c r="M66" s="20" t="n">
        <v>0</v>
      </c>
      <c r="N66" s="20" t="n">
        <v>1</v>
      </c>
      <c r="O66" s="20" t="n">
        <v>0</v>
      </c>
      <c r="P66" s="20" t="n">
        <v>4</v>
      </c>
      <c r="Q66" s="20" t="n">
        <v>0</v>
      </c>
      <c r="R66" s="20" t="n">
        <v>780</v>
      </c>
      <c r="S66" s="20" t="n">
        <v>1585</v>
      </c>
      <c r="T66" s="20" t="n">
        <v>8</v>
      </c>
      <c r="U66" s="20" t="n">
        <v>0</v>
      </c>
      <c r="V66" s="20" t="n">
        <v>1593</v>
      </c>
      <c r="W66" s="20" t="n">
        <v>4</v>
      </c>
      <c r="X66" s="20">
        <f>SUM(C67:R67)-S67</f>
        <v/>
      </c>
    </row>
    <row r="67">
      <c r="A67" s="18" t="n">
        <v>62</v>
      </c>
      <c r="B67" s="27" t="inlineStr">
        <is>
          <t>AKANNA PFTA</t>
        </is>
      </c>
      <c r="C67" s="20" t="n">
        <v>451</v>
      </c>
      <c r="D67" s="20" t="n">
        <v>33</v>
      </c>
      <c r="E67" s="20" t="n">
        <v>43</v>
      </c>
      <c r="F67" s="20" t="n">
        <v>631</v>
      </c>
      <c r="G67" s="20" t="n">
        <v>6</v>
      </c>
      <c r="H67" s="20" t="n">
        <v>3</v>
      </c>
      <c r="I67" s="20" t="n">
        <v>16</v>
      </c>
      <c r="J67" s="20" t="n">
        <v>0</v>
      </c>
      <c r="K67" s="20" t="n">
        <v>1</v>
      </c>
      <c r="L67" s="20" t="n">
        <v>30</v>
      </c>
      <c r="M67" s="20" t="n">
        <v>1</v>
      </c>
      <c r="N67" s="20" t="n">
        <v>3</v>
      </c>
      <c r="O67" s="20" t="n">
        <v>6</v>
      </c>
      <c r="P67" s="20" t="n">
        <v>1</v>
      </c>
      <c r="Q67" s="20" t="n">
        <v>2</v>
      </c>
      <c r="R67" s="20" t="n">
        <v>928</v>
      </c>
      <c r="S67" s="20" t="n">
        <v>2155</v>
      </c>
      <c r="T67" s="20" t="n">
        <v>13</v>
      </c>
      <c r="U67" s="20" t="n">
        <v>0</v>
      </c>
      <c r="V67" s="20" t="n">
        <v>2168</v>
      </c>
      <c r="W67" s="20" t="n">
        <v>0</v>
      </c>
      <c r="X67" s="20">
        <f>SUM(C68:R68)-S68</f>
        <v/>
      </c>
    </row>
    <row r="68">
      <c r="A68" s="18" t="n">
        <v>63</v>
      </c>
      <c r="B68" s="27" t="inlineStr">
        <is>
          <t>DaNTHIN THANNA</t>
        </is>
      </c>
      <c r="C68" s="20" t="n">
        <v>402</v>
      </c>
      <c r="D68" s="20" t="n">
        <v>6</v>
      </c>
      <c r="E68" s="20" t="n">
        <v>0</v>
      </c>
      <c r="F68" s="20" t="n">
        <v>360</v>
      </c>
      <c r="G68" s="20" t="n">
        <v>2</v>
      </c>
      <c r="H68" s="20" t="n">
        <v>3</v>
      </c>
      <c r="I68" s="20" t="n">
        <v>7</v>
      </c>
      <c r="J68" s="20" t="n">
        <v>5</v>
      </c>
      <c r="K68" s="20" t="n">
        <v>1</v>
      </c>
      <c r="L68" s="20" t="n">
        <v>32</v>
      </c>
      <c r="M68" s="20" t="n">
        <v>74</v>
      </c>
      <c r="N68" s="20" t="n">
        <v>7</v>
      </c>
      <c r="O68" s="20" t="n">
        <v>3</v>
      </c>
      <c r="P68" s="20" t="n">
        <v>1</v>
      </c>
      <c r="Q68" s="20" t="n">
        <v>7</v>
      </c>
      <c r="R68" s="20" t="n">
        <v>546</v>
      </c>
      <c r="S68" s="20" t="n">
        <v>1456</v>
      </c>
      <c r="T68" s="20" t="n">
        <v>17</v>
      </c>
      <c r="U68" s="20" t="n">
        <v>0</v>
      </c>
      <c r="V68" s="20" t="n">
        <v>1473</v>
      </c>
      <c r="W68" s="20" t="n">
        <v>4</v>
      </c>
      <c r="X68" s="20">
        <f>SUM(C69:R69)-S69</f>
        <v/>
      </c>
    </row>
    <row r="69">
      <c r="A69" s="18" t="n">
        <v>64</v>
      </c>
      <c r="B69" s="27" t="inlineStr">
        <is>
          <t>KESHANAYAK THANDA</t>
        </is>
      </c>
      <c r="C69" s="20" t="n">
        <v>62</v>
      </c>
      <c r="D69" s="20" t="n">
        <v>1</v>
      </c>
      <c r="E69" s="20" t="n">
        <v>1</v>
      </c>
      <c r="F69" s="20" t="n">
        <v>303</v>
      </c>
      <c r="G69" s="20" t="n">
        <v>6</v>
      </c>
      <c r="H69" s="20" t="n">
        <v>1</v>
      </c>
      <c r="I69" s="20" t="n">
        <v>4</v>
      </c>
      <c r="J69" s="20" t="n">
        <v>1</v>
      </c>
      <c r="K69" s="20" t="n">
        <v>0</v>
      </c>
      <c r="L69" s="20" t="n">
        <v>12</v>
      </c>
      <c r="M69" s="20" t="n">
        <v>0</v>
      </c>
      <c r="N69" s="20" t="n">
        <v>0</v>
      </c>
      <c r="O69" s="20" t="n">
        <v>0</v>
      </c>
      <c r="P69" s="20" t="n">
        <v>1</v>
      </c>
      <c r="Q69" s="20" t="n">
        <v>2</v>
      </c>
      <c r="R69" s="20" t="n">
        <v>394</v>
      </c>
      <c r="S69" s="20" t="n">
        <v>788</v>
      </c>
      <c r="T69" s="20" t="n">
        <v>2</v>
      </c>
      <c r="U69" s="20" t="n">
        <v>396</v>
      </c>
      <c r="V69" s="20" t="n">
        <v>1186</v>
      </c>
      <c r="W69" s="20" t="n">
        <v>0</v>
      </c>
      <c r="X69" s="20">
        <f>SUM(C70:R70)-S70</f>
        <v/>
      </c>
    </row>
    <row r="70">
      <c r="A70" s="18" t="n">
        <v>65</v>
      </c>
      <c r="B70" s="27" t="inlineStr">
        <is>
          <t>KKANNAPFT</t>
        </is>
      </c>
      <c r="C70" s="20" t="n">
        <v>10</v>
      </c>
      <c r="D70" s="20" t="n">
        <v>4</v>
      </c>
      <c r="E70" s="20" t="n">
        <v>0</v>
      </c>
      <c r="F70" s="20" t="n">
        <v>153</v>
      </c>
      <c r="G70" s="20" t="n">
        <v>7</v>
      </c>
      <c r="H70" s="20" t="n">
        <v>2</v>
      </c>
      <c r="I70" s="20" t="n">
        <v>1</v>
      </c>
      <c r="J70" s="20" t="n">
        <v>4</v>
      </c>
      <c r="K70" s="20" t="n">
        <v>0</v>
      </c>
      <c r="L70" s="20" t="n">
        <v>8</v>
      </c>
      <c r="M70" s="20" t="n">
        <v>0</v>
      </c>
      <c r="N70" s="20" t="n">
        <v>1</v>
      </c>
      <c r="O70" s="20" t="n">
        <v>0</v>
      </c>
      <c r="P70" s="20" t="n">
        <v>0</v>
      </c>
      <c r="Q70" s="20" t="n">
        <v>0</v>
      </c>
      <c r="R70" s="20" t="n">
        <v>187</v>
      </c>
      <c r="S70" s="20" t="n">
        <v>377</v>
      </c>
      <c r="T70" s="20" t="n">
        <v>6</v>
      </c>
      <c r="U70" s="20" t="n">
        <v>193</v>
      </c>
      <c r="V70" s="20" t="n">
        <v>576</v>
      </c>
      <c r="W70" s="20" t="n">
        <v>0</v>
      </c>
      <c r="X70" s="20">
        <f>SUM(C71:R71)-S71</f>
        <v/>
      </c>
    </row>
    <row r="71">
      <c r="A71" s="18" t="n">
        <v>66</v>
      </c>
      <c r="B71" s="27" t="inlineStr">
        <is>
          <t>TT FT AGANNA</t>
        </is>
      </c>
      <c r="C71" s="20" t="n">
        <v>0</v>
      </c>
      <c r="D71" s="20" t="n">
        <v>0</v>
      </c>
      <c r="E71" s="20" t="n">
        <v>15</v>
      </c>
      <c r="F71" s="20" t="n">
        <v>611</v>
      </c>
      <c r="G71" s="20" t="n">
        <v>1</v>
      </c>
      <c r="H71" s="20" t="n">
        <v>3</v>
      </c>
      <c r="I71" s="20" t="n">
        <v>5</v>
      </c>
      <c r="J71" s="20" t="n">
        <v>0</v>
      </c>
      <c r="K71" s="20" t="n">
        <v>2</v>
      </c>
      <c r="L71" s="20" t="n">
        <v>9</v>
      </c>
      <c r="M71" s="20" t="n">
        <v>3</v>
      </c>
      <c r="N71" s="20" t="n">
        <v>2</v>
      </c>
      <c r="O71" s="20" t="n">
        <v>0</v>
      </c>
      <c r="P71" s="20" t="n">
        <v>0</v>
      </c>
      <c r="Q71" s="20" t="n">
        <v>3</v>
      </c>
      <c r="R71" s="20" t="n">
        <v>758</v>
      </c>
      <c r="S71" s="20" t="n">
        <v>1412</v>
      </c>
      <c r="T71" s="20" t="n">
        <v>7</v>
      </c>
      <c r="U71" s="20" t="n">
        <v>0</v>
      </c>
      <c r="V71" s="20" t="n">
        <v>1419</v>
      </c>
      <c r="W71" s="20" t="n">
        <v>0</v>
      </c>
      <c r="X71" s="20">
        <f>SUM(C72:R72)-S72</f>
        <v/>
      </c>
    </row>
    <row r="72">
      <c r="A72" s="18" t="n">
        <v>67</v>
      </c>
      <c r="B72" s="27" t="inlineStr">
        <is>
          <t>TIMMAPLIR</t>
        </is>
      </c>
      <c r="C72" s="20" t="n">
        <v>0</v>
      </c>
      <c r="D72" s="20" t="n">
        <v>41</v>
      </c>
      <c r="E72" s="20" t="n">
        <v>2</v>
      </c>
      <c r="F72" s="20" t="n">
        <v>179</v>
      </c>
      <c r="G72" s="20" t="n">
        <v>3</v>
      </c>
      <c r="H72" s="20" t="n">
        <v>0</v>
      </c>
      <c r="I72" s="20" t="n">
        <v>1</v>
      </c>
      <c r="J72" s="20" t="n">
        <v>1</v>
      </c>
      <c r="K72" s="20" t="n">
        <v>41</v>
      </c>
      <c r="L72" s="20" t="n">
        <v>4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238</v>
      </c>
      <c r="S72" s="20" t="n">
        <v>510</v>
      </c>
      <c r="T72" s="20" t="n">
        <v>3</v>
      </c>
      <c r="U72" s="20" t="n">
        <v>241</v>
      </c>
      <c r="V72" s="20" t="n">
        <v>754</v>
      </c>
      <c r="W72" s="20" t="n">
        <v>0</v>
      </c>
      <c r="X72" s="20">
        <f>SUM(C73:R73)-S73</f>
        <v/>
      </c>
    </row>
    <row r="73">
      <c r="A73" s="18" t="n">
        <v>68</v>
      </c>
      <c r="B73" s="27" t="inlineStr">
        <is>
          <t>MIRZAPLIR</t>
        </is>
      </c>
      <c r="C73" s="20" t="n">
        <v>0</v>
      </c>
      <c r="D73" s="20" t="n">
        <v>320</v>
      </c>
      <c r="E73" s="20" t="n">
        <v>47</v>
      </c>
      <c r="F73" s="20" t="n">
        <v>625</v>
      </c>
      <c r="G73" s="20" t="n">
        <v>19</v>
      </c>
      <c r="H73" s="20" t="n">
        <v>2</v>
      </c>
      <c r="I73" s="20" t="n">
        <v>7</v>
      </c>
      <c r="J73" s="20" t="n">
        <v>0</v>
      </c>
      <c r="K73" s="20" t="n">
        <v>0</v>
      </c>
      <c r="L73" s="20" t="n">
        <v>28</v>
      </c>
      <c r="M73" s="20" t="n">
        <v>1</v>
      </c>
      <c r="N73" s="20" t="n">
        <v>2</v>
      </c>
      <c r="O73" s="20" t="n">
        <v>3</v>
      </c>
      <c r="P73" s="20" t="n">
        <v>2</v>
      </c>
      <c r="Q73" s="20" t="n">
        <v>3</v>
      </c>
      <c r="R73" s="20" t="n">
        <v>853</v>
      </c>
      <c r="S73" s="20" t="n">
        <v>1912</v>
      </c>
      <c r="T73" s="20" t="n">
        <v>20</v>
      </c>
      <c r="U73" s="20" t="n">
        <v>0</v>
      </c>
      <c r="V73" s="20" t="n">
        <v>1932</v>
      </c>
      <c r="W73" s="20" t="n">
        <v>0</v>
      </c>
      <c r="X73" s="20">
        <f>SUM(C74:R74)-S74</f>
        <v/>
      </c>
    </row>
    <row r="74">
      <c r="A74" s="18" t="n">
        <v>69</v>
      </c>
      <c r="B74" s="27" t="inlineStr">
        <is>
          <t>MiR7APLIR</t>
        </is>
      </c>
      <c r="C74" s="20" t="n">
        <v>2</v>
      </c>
      <c r="D74" s="20" t="n">
        <v>1</v>
      </c>
      <c r="E74" s="20" t="n">
        <v>0</v>
      </c>
      <c r="F74" s="20" t="n">
        <v>430</v>
      </c>
      <c r="G74" s="20" t="n">
        <v>1</v>
      </c>
      <c r="H74" s="20" t="n">
        <v>0</v>
      </c>
      <c r="I74" s="20" t="n">
        <v>7</v>
      </c>
      <c r="J74" s="20" t="n">
        <v>0</v>
      </c>
      <c r="K74" s="20" t="n">
        <v>0</v>
      </c>
      <c r="L74" s="20" t="n">
        <v>7</v>
      </c>
      <c r="M74" s="20" t="n">
        <v>2</v>
      </c>
      <c r="N74" s="20" t="n">
        <v>1</v>
      </c>
      <c r="O74" s="20" t="n">
        <v>0</v>
      </c>
      <c r="P74" s="20" t="n">
        <v>0</v>
      </c>
      <c r="Q74" s="20" t="n">
        <v>0</v>
      </c>
      <c r="R74" s="20" t="n">
        <v>503</v>
      </c>
      <c r="S74" s="20" t="n">
        <v>954</v>
      </c>
      <c r="T74" s="20" t="n">
        <v>2</v>
      </c>
      <c r="U74" s="20" t="n">
        <v>0</v>
      </c>
      <c r="V74" s="20" t="n">
        <v>956</v>
      </c>
      <c r="W74" s="20" t="n">
        <v>0</v>
      </c>
      <c r="X74" s="20">
        <f>SUM(C75:R75)-S75</f>
        <v/>
      </c>
    </row>
    <row r="75">
      <c r="A75" s="18" t="n">
        <v>70</v>
      </c>
      <c r="B75" s="27" t="inlineStr">
        <is>
          <t>Mandal Parishad Upper Primary
School Keshavapur (South) Wing</t>
        </is>
      </c>
      <c r="C75" s="20" t="n">
        <v>162</v>
      </c>
      <c r="D75" s="20" t="n">
        <v>42</v>
      </c>
      <c r="E75" s="20" t="n">
        <v>10</v>
      </c>
      <c r="F75" s="20" t="n">
        <v>446</v>
      </c>
      <c r="G75" s="20" t="n">
        <v>12</v>
      </c>
      <c r="H75" s="20" t="n">
        <v>1</v>
      </c>
      <c r="I75" s="20" t="n">
        <v>10</v>
      </c>
      <c r="J75" s="20" t="n">
        <v>3</v>
      </c>
      <c r="K75" s="20" t="n">
        <v>2</v>
      </c>
      <c r="L75" s="20" t="n">
        <v>20</v>
      </c>
      <c r="M75" s="20" t="n">
        <v>3</v>
      </c>
      <c r="N75" s="20" t="n">
        <v>5</v>
      </c>
      <c r="O75" s="20" t="n">
        <v>2</v>
      </c>
      <c r="P75" s="20" t="n">
        <v>4</v>
      </c>
      <c r="Q75" s="20" t="n">
        <v>3</v>
      </c>
      <c r="R75" s="20" t="n">
        <v>692</v>
      </c>
      <c r="S75" s="20" t="n">
        <v>1417</v>
      </c>
      <c r="T75" s="20" t="n">
        <v>6</v>
      </c>
      <c r="U75" s="20" t="n">
        <v>0</v>
      </c>
      <c r="V75" s="20" t="n">
        <v>1423</v>
      </c>
      <c r="W75" s="20" t="n">
        <v>0</v>
      </c>
      <c r="X75" s="20">
        <f>SUM(C76:R76)-S76</f>
        <v/>
      </c>
    </row>
    <row r="76">
      <c r="A76" s="18" t="n">
        <v>71</v>
      </c>
      <c r="B76" s="27" t="inlineStr">
        <is>
          <t>Yecuavapie</t>
        </is>
      </c>
      <c r="C76" s="20" t="n">
        <v>0</v>
      </c>
      <c r="D76" s="20" t="n">
        <v>0</v>
      </c>
      <c r="E76" s="20" t="n">
        <v>0</v>
      </c>
      <c r="F76" s="20" t="n">
        <v>424</v>
      </c>
      <c r="G76" s="20" t="n">
        <v>3</v>
      </c>
      <c r="H76" s="20" t="n">
        <v>4</v>
      </c>
      <c r="I76" s="20" t="n">
        <v>15</v>
      </c>
      <c r="J76" s="20" t="n">
        <v>2</v>
      </c>
      <c r="K76" s="20" t="n">
        <v>7</v>
      </c>
      <c r="L76" s="20" t="n">
        <v>19</v>
      </c>
      <c r="M76" s="20" t="n">
        <v>4</v>
      </c>
      <c r="N76" s="20" t="n">
        <v>27</v>
      </c>
      <c r="O76" s="20" t="n">
        <v>4</v>
      </c>
      <c r="P76" s="20" t="n">
        <v>2</v>
      </c>
      <c r="Q76" s="20" t="n">
        <v>3</v>
      </c>
      <c r="R76" s="20" t="n">
        <v>824</v>
      </c>
      <c r="S76" s="20" t="n">
        <v>1338</v>
      </c>
      <c r="T76" s="20" t="n">
        <v>14</v>
      </c>
      <c r="U76" s="20" t="n">
        <v>0</v>
      </c>
      <c r="V76" s="20" t="n">
        <v>1352</v>
      </c>
      <c r="W76" s="20" t="n">
        <v>0</v>
      </c>
      <c r="X76" s="20">
        <f>SUM(C77:R77)-S77</f>
        <v/>
      </c>
    </row>
    <row r="77">
      <c r="A77" s="18" t="n">
        <v>72</v>
      </c>
      <c r="B77" s="27" t="inlineStr">
        <is>
          <t>WESHAVAPIIR</t>
        </is>
      </c>
      <c r="C77" s="20" t="n">
        <v>0</v>
      </c>
      <c r="D77" s="20" t="n">
        <v>3</v>
      </c>
      <c r="E77" s="20" t="n">
        <v>7</v>
      </c>
      <c r="F77" s="20" t="n">
        <v>437</v>
      </c>
      <c r="G77" s="20" t="n">
        <v>0</v>
      </c>
      <c r="H77" s="20" t="n">
        <v>2</v>
      </c>
      <c r="I77" s="20" t="n">
        <v>7</v>
      </c>
      <c r="J77" s="20" t="n">
        <v>0</v>
      </c>
      <c r="K77" s="20" t="n">
        <v>2</v>
      </c>
      <c r="L77" s="20" t="n">
        <v>13</v>
      </c>
      <c r="M77" s="20" t="n">
        <v>0</v>
      </c>
      <c r="N77" s="20" t="n">
        <v>3</v>
      </c>
      <c r="O77" s="20" t="n">
        <v>2</v>
      </c>
      <c r="P77" s="20" t="n">
        <v>4</v>
      </c>
      <c r="Q77" s="20" t="n">
        <v>0</v>
      </c>
      <c r="R77" s="20" t="n">
        <v>507</v>
      </c>
      <c r="S77" s="20" t="n">
        <v>987</v>
      </c>
      <c r="T77" s="20" t="n">
        <v>6</v>
      </c>
      <c r="U77" s="20" t="n">
        <v>13</v>
      </c>
      <c r="V77" s="20" t="n">
        <v>1006</v>
      </c>
      <c r="W77" s="20" t="n">
        <v>0</v>
      </c>
      <c r="X77" s="20">
        <f>SUM(C78:R78)-S78</f>
        <v/>
      </c>
    </row>
    <row r="78">
      <c r="A78" s="18" t="n">
        <v>73</v>
      </c>
      <c r="B78" s="27" t="inlineStr">
        <is>
          <t>PuanTAPArIt</t>
        </is>
      </c>
      <c r="C78" s="20" t="n">
        <v>0</v>
      </c>
      <c r="D78" s="20" t="n">
        <v>0</v>
      </c>
      <c r="E78" s="20" t="n">
        <v>0</v>
      </c>
      <c r="F78" s="20" t="n">
        <v>354</v>
      </c>
      <c r="G78" s="20" t="n">
        <v>9</v>
      </c>
      <c r="H78" s="20" t="n">
        <v>0</v>
      </c>
      <c r="I78" s="20" t="n">
        <v>5</v>
      </c>
      <c r="J78" s="20" t="n">
        <v>0</v>
      </c>
      <c r="K78" s="20" t="n">
        <v>4</v>
      </c>
      <c r="L78" s="20" t="n">
        <v>8</v>
      </c>
      <c r="M78" s="20" t="n">
        <v>0</v>
      </c>
      <c r="N78" s="20" t="n">
        <v>0</v>
      </c>
      <c r="O78" s="20" t="n">
        <v>5</v>
      </c>
      <c r="P78" s="20" t="n">
        <v>0</v>
      </c>
      <c r="Q78" s="20" t="n">
        <v>0</v>
      </c>
      <c r="R78" s="20" t="n">
        <v>439</v>
      </c>
      <c r="S78" s="20" t="n">
        <v>824</v>
      </c>
      <c r="T78" s="20" t="n">
        <v>8</v>
      </c>
      <c r="U78" s="20" t="n">
        <v>447</v>
      </c>
      <c r="V78" s="20" t="n">
        <v>1279</v>
      </c>
      <c r="W78" s="20" t="n">
        <v>0</v>
      </c>
      <c r="X78" s="20">
        <f>SUM(C79:R79)-S79</f>
        <v/>
      </c>
    </row>
    <row r="79">
      <c r="A79" s="18" t="n">
        <v>74</v>
      </c>
      <c r="B79" s="27" t="inlineStr">
        <is>
          <t>HONTAPATIT</t>
        </is>
      </c>
      <c r="C79" s="20" t="n">
        <v>7</v>
      </c>
      <c r="D79" s="20" t="n">
        <v>45</v>
      </c>
      <c r="E79" s="20" t="n">
        <v>4</v>
      </c>
      <c r="F79" s="20" t="n">
        <v>353</v>
      </c>
      <c r="G79" s="20" t="n">
        <v>7</v>
      </c>
      <c r="H79" s="20" t="n">
        <v>1</v>
      </c>
      <c r="I79" s="20" t="n">
        <v>5</v>
      </c>
      <c r="J79" s="20" t="n">
        <v>2</v>
      </c>
      <c r="K79" s="20" t="n">
        <v>0</v>
      </c>
      <c r="L79" s="20" t="n">
        <v>44</v>
      </c>
      <c r="M79" s="20" t="n">
        <v>2</v>
      </c>
      <c r="N79" s="20" t="n">
        <v>3</v>
      </c>
      <c r="O79" s="20" t="n">
        <v>4</v>
      </c>
      <c r="P79" s="20" t="n">
        <v>1</v>
      </c>
      <c r="Q79" s="20" t="n">
        <v>5</v>
      </c>
      <c r="R79" s="20" t="n">
        <v>487</v>
      </c>
      <c r="S79" s="20" t="n">
        <v>970</v>
      </c>
      <c r="T79" s="20" t="n">
        <v>0</v>
      </c>
      <c r="U79" s="20" t="n">
        <v>496</v>
      </c>
      <c r="V79" s="20" t="n">
        <v>1466</v>
      </c>
      <c r="W79" s="20" t="n">
        <v>0</v>
      </c>
      <c r="X79" s="20">
        <f>SUM(C80:R80)-S80</f>
        <v/>
      </c>
    </row>
    <row r="80">
      <c r="A80" s="18" t="n">
        <v>75</v>
      </c>
      <c r="B80" s="27" t="inlineStr">
        <is>
          <t>Mai 1 AMAPAII1</t>
        </is>
      </c>
      <c r="C80" s="20" t="n">
        <v>184</v>
      </c>
      <c r="D80" s="20" t="n">
        <v>0</v>
      </c>
      <c r="E80" s="20" t="n">
        <v>0</v>
      </c>
      <c r="F80" s="20" t="n">
        <v>589</v>
      </c>
      <c r="G80" s="20" t="n">
        <v>8</v>
      </c>
      <c r="H80" s="20" t="n">
        <v>0</v>
      </c>
      <c r="I80" s="20" t="n">
        <v>7</v>
      </c>
      <c r="J80" s="20" t="n">
        <v>3</v>
      </c>
      <c r="K80" s="20" t="n">
        <v>0</v>
      </c>
      <c r="L80" s="20" t="n">
        <v>16</v>
      </c>
      <c r="M80" s="20" t="n">
        <v>14</v>
      </c>
      <c r="N80" s="20" t="n">
        <v>3</v>
      </c>
      <c r="O80" s="20" t="n">
        <v>1</v>
      </c>
      <c r="P80" s="20" t="n">
        <v>3</v>
      </c>
      <c r="Q80" s="20" t="n">
        <v>2</v>
      </c>
      <c r="R80" s="20" t="n">
        <v>818</v>
      </c>
      <c r="S80" s="20" t="n">
        <v>1648</v>
      </c>
      <c r="T80" s="20" t="n">
        <v>14</v>
      </c>
      <c r="U80" s="20" t="n">
        <v>0</v>
      </c>
      <c r="V80" s="20" t="n">
        <v>1662</v>
      </c>
      <c r="W80" s="20" t="n">
        <v>0</v>
      </c>
      <c r="X80" s="20">
        <f>SUM(C81:R81)-S81</f>
        <v/>
      </c>
    </row>
    <row r="81">
      <c r="A81" s="18" t="n">
        <v>76</v>
      </c>
      <c r="B81" s="27" t="inlineStr">
        <is>
          <t>naar ANAPAL IT</t>
        </is>
      </c>
      <c r="C81" s="20" t="n">
        <v>440</v>
      </c>
      <c r="D81" s="20" t="n">
        <v>95</v>
      </c>
      <c r="E81" s="20" t="n">
        <v>13</v>
      </c>
      <c r="F81" s="20" t="n">
        <v>647</v>
      </c>
      <c r="G81" s="20" t="n">
        <v>2</v>
      </c>
      <c r="H81" s="20" t="n">
        <v>8</v>
      </c>
      <c r="I81" s="20" t="n">
        <v>11</v>
      </c>
      <c r="J81" s="20" t="n">
        <v>5</v>
      </c>
      <c r="K81" s="20" t="n">
        <v>5</v>
      </c>
      <c r="L81" s="20" t="n">
        <v>42</v>
      </c>
      <c r="M81" s="20" t="n">
        <v>2</v>
      </c>
      <c r="N81" s="20" t="n">
        <v>2</v>
      </c>
      <c r="O81" s="20" t="n">
        <v>4</v>
      </c>
      <c r="P81" s="20" t="n">
        <v>4</v>
      </c>
      <c r="Q81" s="20" t="n">
        <v>1</v>
      </c>
      <c r="R81" s="20" t="n">
        <v>878</v>
      </c>
      <c r="S81" s="20" t="n">
        <v>2159</v>
      </c>
      <c r="T81" s="20" t="n">
        <v>416</v>
      </c>
      <c r="U81" s="20" t="n">
        <v>0</v>
      </c>
      <c r="V81" s="20" t="n">
        <v>2575</v>
      </c>
      <c r="W81" s="20" t="n">
        <v>0</v>
      </c>
      <c r="X81" s="20">
        <f>SUM(C82:R82)-S82</f>
        <v/>
      </c>
    </row>
    <row r="82">
      <c r="A82" s="18" t="n">
        <v>77</v>
      </c>
      <c r="B82" s="27" t="inlineStr">
        <is>
          <t>Rea mala</t>
        </is>
      </c>
      <c r="C82" s="20" t="n">
        <v>0</v>
      </c>
      <c r="D82" s="20" t="n">
        <v>16</v>
      </c>
      <c r="E82" s="20" t="n">
        <v>7</v>
      </c>
      <c r="F82" s="20" t="n">
        <v>675</v>
      </c>
      <c r="G82" s="20" t="n">
        <v>12</v>
      </c>
      <c r="H82" s="20" t="n">
        <v>8</v>
      </c>
      <c r="I82" s="20" t="n">
        <v>18</v>
      </c>
      <c r="J82" s="20" t="n">
        <v>6</v>
      </c>
      <c r="K82" s="20" t="n">
        <v>2</v>
      </c>
      <c r="L82" s="20" t="n">
        <v>52</v>
      </c>
      <c r="M82" s="20" t="n">
        <v>0</v>
      </c>
      <c r="N82" s="20" t="n">
        <v>5</v>
      </c>
      <c r="O82" s="20" t="n">
        <v>3</v>
      </c>
      <c r="P82" s="20" t="n">
        <v>4</v>
      </c>
      <c r="Q82" s="20" t="n">
        <v>0</v>
      </c>
      <c r="R82" s="20" t="n">
        <v>957</v>
      </c>
      <c r="S82" s="20" t="n">
        <v>1765</v>
      </c>
      <c r="T82" s="20" t="n">
        <v>16</v>
      </c>
      <c r="U82" s="20" t="n">
        <v>0</v>
      </c>
      <c r="V82" s="20" t="n">
        <v>1781</v>
      </c>
      <c r="W82" s="20" t="n">
        <v>0</v>
      </c>
      <c r="X82" s="20">
        <f>SUM(C83:R83)-S83</f>
        <v/>
      </c>
    </row>
    <row r="83">
      <c r="A83" s="18" t="n">
        <v>78</v>
      </c>
      <c r="B83" s="27" t="inlineStr">
        <is>
          <t>IWaRIKOI It</t>
        </is>
      </c>
      <c r="C83" s="20" t="n">
        <v>270</v>
      </c>
      <c r="D83" s="20" t="n">
        <v>0</v>
      </c>
      <c r="E83" s="20" t="n">
        <v>7</v>
      </c>
      <c r="F83" s="20" t="n">
        <v>301</v>
      </c>
      <c r="G83" s="20" t="n">
        <v>5</v>
      </c>
      <c r="H83" s="20" t="n">
        <v>1</v>
      </c>
      <c r="I83" s="20" t="n">
        <v>4</v>
      </c>
      <c r="J83" s="20" t="n">
        <v>4</v>
      </c>
      <c r="K83" s="20" t="n">
        <v>4</v>
      </c>
      <c r="L83" s="20" t="n">
        <v>25</v>
      </c>
      <c r="M83" s="20" t="n">
        <v>2</v>
      </c>
      <c r="N83" s="20" t="n">
        <v>4</v>
      </c>
      <c r="O83" s="20" t="n">
        <v>4</v>
      </c>
      <c r="P83" s="20" t="n">
        <v>5</v>
      </c>
      <c r="Q83" s="20" t="n">
        <v>2</v>
      </c>
      <c r="R83" s="20" t="n">
        <v>636</v>
      </c>
      <c r="S83" s="20" t="n">
        <v>1274</v>
      </c>
      <c r="T83" s="20" t="n">
        <v>412</v>
      </c>
      <c r="U83" s="20" t="n">
        <v>0</v>
      </c>
      <c r="V83" s="20" t="n">
        <v>1686</v>
      </c>
      <c r="W83" s="20" t="n">
        <v>0</v>
      </c>
      <c r="X83" s="20">
        <f>SUM(C84:R84)-S84</f>
        <v/>
      </c>
    </row>
    <row r="84">
      <c r="A84" s="18" t="n">
        <v>79</v>
      </c>
      <c r="B84" s="27" t="inlineStr">
        <is>
          <t>Napialit</t>
        </is>
      </c>
      <c r="C84" s="20" t="n">
        <v>0</v>
      </c>
      <c r="D84" s="20" t="n">
        <v>4</v>
      </c>
      <c r="E84" s="20" t="n">
        <v>0</v>
      </c>
      <c r="F84" s="20" t="n">
        <v>418</v>
      </c>
      <c r="G84" s="20" t="n">
        <v>2</v>
      </c>
      <c r="H84" s="20" t="n">
        <v>2</v>
      </c>
      <c r="I84" s="20" t="n">
        <v>8</v>
      </c>
      <c r="J84" s="20" t="n">
        <v>4</v>
      </c>
      <c r="K84" s="20" t="n">
        <v>0</v>
      </c>
      <c r="L84" s="20" t="n">
        <v>8</v>
      </c>
      <c r="M84" s="20" t="n">
        <v>0</v>
      </c>
      <c r="N84" s="20" t="n">
        <v>0</v>
      </c>
      <c r="O84" s="20" t="n">
        <v>2</v>
      </c>
      <c r="P84" s="20" t="n">
        <v>4</v>
      </c>
      <c r="Q84" s="20" t="n">
        <v>0</v>
      </c>
      <c r="R84" s="20" t="n">
        <v>665</v>
      </c>
      <c r="S84" s="20" t="n">
        <v>1117</v>
      </c>
      <c r="T84" s="20" t="n">
        <v>4</v>
      </c>
      <c r="U84" s="20" t="n">
        <v>0</v>
      </c>
      <c r="V84" s="20" t="n">
        <v>1121</v>
      </c>
      <c r="W84" s="20" t="n">
        <v>0</v>
      </c>
      <c r="X84" s="20">
        <f>SUM(C85:R85)-S85</f>
        <v/>
      </c>
    </row>
    <row r="85">
      <c r="A85" s="18" t="n">
        <v>80</v>
      </c>
      <c r="B85" s="27" t="inlineStr">
        <is>
          <t>PAMCHANNRAPIIR</t>
        </is>
      </c>
      <c r="C85" s="20" t="n">
        <v>0</v>
      </c>
      <c r="D85" s="20" t="n">
        <v>0</v>
      </c>
      <c r="E85" s="20" t="n">
        <v>45</v>
      </c>
      <c r="F85" s="20" t="n">
        <v>362</v>
      </c>
      <c r="G85" s="20" t="n">
        <v>0</v>
      </c>
      <c r="H85" s="20" t="n">
        <v>4</v>
      </c>
      <c r="I85" s="20" t="n">
        <v>2</v>
      </c>
      <c r="J85" s="20" t="n">
        <v>2</v>
      </c>
      <c r="K85" s="20" t="n">
        <v>0</v>
      </c>
      <c r="L85" s="20" t="n">
        <v>0</v>
      </c>
      <c r="M85" s="20" t="n">
        <v>0</v>
      </c>
      <c r="N85" s="20" t="n">
        <v>5</v>
      </c>
      <c r="O85" s="20" t="n">
        <v>3</v>
      </c>
      <c r="P85" s="20" t="n">
        <v>2</v>
      </c>
      <c r="Q85" s="20" t="n">
        <v>1</v>
      </c>
      <c r="R85" s="20" t="n">
        <v>702</v>
      </c>
      <c r="S85" s="20" t="n">
        <v>1128</v>
      </c>
      <c r="T85" s="20" t="n">
        <v>13</v>
      </c>
      <c r="U85" s="20" t="n">
        <v>0</v>
      </c>
      <c r="V85" s="20" t="n">
        <v>1141</v>
      </c>
      <c r="W85" s="20" t="n">
        <v>0</v>
      </c>
      <c r="X85" s="20">
        <f>SUM(C86:R86)-S86</f>
        <v/>
      </c>
    </row>
    <row r="86">
      <c r="A86" s="18" t="n">
        <v>81</v>
      </c>
      <c r="B86" s="27" t="inlineStr">
        <is>
          <t>SARAALANINDAPIIR</t>
        </is>
      </c>
      <c r="C86" s="20" t="n">
        <v>472</v>
      </c>
      <c r="D86" s="20" t="n">
        <v>0</v>
      </c>
      <c r="E86" s="20" t="n">
        <v>0</v>
      </c>
      <c r="F86" s="20" t="n">
        <v>0</v>
      </c>
      <c r="G86" s="20" t="n">
        <v>0</v>
      </c>
      <c r="H86" s="20" t="n">
        <v>0</v>
      </c>
      <c r="I86" s="20" t="n">
        <v>1</v>
      </c>
      <c r="J86" s="20" t="n">
        <v>1</v>
      </c>
      <c r="K86" s="20" t="n">
        <v>2</v>
      </c>
      <c r="L86" s="20" t="n">
        <v>7</v>
      </c>
      <c r="M86" s="20" t="n">
        <v>14</v>
      </c>
      <c r="N86" s="20" t="n">
        <v>2</v>
      </c>
      <c r="O86" s="20" t="n">
        <v>14</v>
      </c>
      <c r="P86" s="20" t="n">
        <v>2</v>
      </c>
      <c r="Q86" s="20" t="n">
        <v>14</v>
      </c>
      <c r="R86" s="20" t="n">
        <v>385</v>
      </c>
      <c r="S86" s="20" t="n">
        <v>914</v>
      </c>
      <c r="T86" s="20" t="n">
        <v>28</v>
      </c>
      <c r="U86" s="20" t="n">
        <v>413</v>
      </c>
      <c r="V86" s="20" t="n">
        <v>1355</v>
      </c>
      <c r="W86" s="20" t="n">
        <v>0</v>
      </c>
      <c r="X86" s="20">
        <f>SUM(C87:R87)-S87</f>
        <v/>
      </c>
    </row>
    <row r="87">
      <c r="A87" s="18" t="n">
        <v>82</v>
      </c>
      <c r="B87" s="27" t="inlineStr">
        <is>
          <t>UANIGAR AM</t>
        </is>
      </c>
      <c r="C87" s="20" t="n">
        <v>0</v>
      </c>
      <c r="D87" s="20" t="n">
        <v>0</v>
      </c>
      <c r="E87" s="20" t="n">
        <v>73</v>
      </c>
      <c r="F87" s="20" t="n">
        <v>217</v>
      </c>
      <c r="G87" s="20" t="n">
        <v>0</v>
      </c>
      <c r="H87" s="20" t="n">
        <v>4</v>
      </c>
      <c r="I87" s="20" t="n">
        <v>3</v>
      </c>
      <c r="J87" s="20" t="n">
        <v>3</v>
      </c>
      <c r="K87" s="20" t="n">
        <v>1</v>
      </c>
      <c r="L87" s="20" t="n">
        <v>8</v>
      </c>
      <c r="M87" s="20" t="n">
        <v>4</v>
      </c>
      <c r="N87" s="20" t="n">
        <v>0</v>
      </c>
      <c r="O87" s="20" t="n">
        <v>3</v>
      </c>
      <c r="P87" s="20" t="n">
        <v>0</v>
      </c>
      <c r="Q87" s="20" t="n">
        <v>3</v>
      </c>
      <c r="R87" s="20" t="n">
        <v>341</v>
      </c>
      <c r="S87" s="20" t="n">
        <v>660</v>
      </c>
      <c r="T87" s="20" t="n">
        <v>14</v>
      </c>
      <c r="U87" s="20" t="n">
        <v>355</v>
      </c>
      <c r="V87" s="20" t="n">
        <v>1029</v>
      </c>
      <c r="W87" s="20" t="n">
        <v>0</v>
      </c>
      <c r="X87" s="20">
        <f>SUM(C88:R88)-S88</f>
        <v/>
      </c>
    </row>
    <row r="88">
      <c r="A88" s="18" t="n">
        <v>83</v>
      </c>
      <c r="B88" s="27" t="inlineStr">
        <is>
          <t>SHANIGARAM</t>
        </is>
      </c>
      <c r="C88" s="20" t="n">
        <v>100</v>
      </c>
      <c r="D88" s="20" t="n">
        <v>73</v>
      </c>
      <c r="E88" s="20" t="n">
        <v>4</v>
      </c>
      <c r="F88" s="20" t="n">
        <v>45</v>
      </c>
      <c r="G88" s="20" t="n">
        <v>4</v>
      </c>
      <c r="H88" s="20" t="n">
        <v>0</v>
      </c>
      <c r="I88" s="20" t="n">
        <v>13</v>
      </c>
      <c r="J88" s="20" t="n">
        <v>0</v>
      </c>
      <c r="K88" s="20" t="n">
        <v>4</v>
      </c>
      <c r="L88" s="20" t="n">
        <v>16</v>
      </c>
      <c r="M88" s="20" t="n">
        <v>14</v>
      </c>
      <c r="N88" s="20" t="n">
        <v>4</v>
      </c>
      <c r="O88" s="20" t="n">
        <v>2</v>
      </c>
      <c r="P88" s="20" t="n">
        <v>4</v>
      </c>
      <c r="Q88" s="20" t="n">
        <v>4</v>
      </c>
      <c r="R88" s="20" t="n">
        <v>594</v>
      </c>
      <c r="S88" s="20" t="n">
        <v>881</v>
      </c>
      <c r="T88" s="20" t="n">
        <v>41</v>
      </c>
      <c r="U88" s="20" t="n">
        <v>0</v>
      </c>
      <c r="V88" s="20" t="n">
        <v>922</v>
      </c>
      <c r="W88" s="20" t="n">
        <v>0</v>
      </c>
      <c r="X88" s="20">
        <f>SUM(C89:R89)-S89</f>
        <v/>
      </c>
    </row>
    <row r="89">
      <c r="A89" s="18" t="n">
        <v>84</v>
      </c>
      <c r="B89" s="27" t="inlineStr">
        <is>
          <t>SHANIGARAM</t>
        </is>
      </c>
      <c r="C89" s="20" t="n">
        <v>440</v>
      </c>
      <c r="D89" s="20" t="n">
        <v>4</v>
      </c>
      <c r="E89" s="20" t="n">
        <v>4</v>
      </c>
      <c r="F89" s="20" t="n">
        <v>361</v>
      </c>
      <c r="G89" s="20" t="n">
        <v>1</v>
      </c>
      <c r="H89" s="20" t="n">
        <v>4</v>
      </c>
      <c r="I89" s="20" t="n">
        <v>6</v>
      </c>
      <c r="J89" s="20" t="n">
        <v>0</v>
      </c>
      <c r="K89" s="20" t="n">
        <v>0</v>
      </c>
      <c r="L89" s="20" t="n">
        <v>12</v>
      </c>
      <c r="M89" s="20" t="n">
        <v>2</v>
      </c>
      <c r="N89" s="20" t="n">
        <v>114</v>
      </c>
      <c r="O89" s="20" t="n">
        <v>4</v>
      </c>
      <c r="P89" s="20" t="n">
        <v>0</v>
      </c>
      <c r="Q89" s="20" t="n">
        <v>0</v>
      </c>
      <c r="R89" s="20" t="n">
        <v>533</v>
      </c>
      <c r="S89" s="20" t="n">
        <v>1485</v>
      </c>
      <c r="T89" s="20" t="n">
        <v>0</v>
      </c>
      <c r="U89" s="20" t="n">
        <v>0</v>
      </c>
      <c r="V89" s="20" t="n">
        <v>1485</v>
      </c>
      <c r="W89" s="20" t="n">
        <v>0</v>
      </c>
      <c r="X89" s="20">
        <f>SUM(C90:R90)-S90</f>
        <v/>
      </c>
    </row>
    <row r="90">
      <c r="A90" s="18" t="n">
        <v>85</v>
      </c>
      <c r="B90" s="27" t="inlineStr">
        <is>
          <t>SHANIGARAM</t>
        </is>
      </c>
      <c r="C90" s="20" t="n">
        <v>45</v>
      </c>
      <c r="D90" s="20" t="n">
        <v>0</v>
      </c>
      <c r="E90" s="20" t="n">
        <v>41</v>
      </c>
      <c r="F90" s="20" t="n">
        <v>38</v>
      </c>
      <c r="G90" s="20" t="n">
        <v>2</v>
      </c>
      <c r="H90" s="20" t="n">
        <v>0</v>
      </c>
      <c r="I90" s="20" t="n">
        <v>0</v>
      </c>
      <c r="J90" s="20" t="n">
        <v>4</v>
      </c>
      <c r="K90" s="20" t="n">
        <v>0</v>
      </c>
      <c r="L90" s="20" t="n">
        <v>4</v>
      </c>
      <c r="M90" s="20" t="n">
        <v>14</v>
      </c>
      <c r="N90" s="20" t="n">
        <v>0</v>
      </c>
      <c r="O90" s="20" t="n">
        <v>14</v>
      </c>
      <c r="P90" s="20" t="n">
        <v>1</v>
      </c>
      <c r="Q90" s="20" t="n">
        <v>1</v>
      </c>
      <c r="R90" s="20" t="n">
        <v>590</v>
      </c>
      <c r="S90" s="20" t="n">
        <v>754</v>
      </c>
      <c r="T90" s="20" t="n">
        <v>0</v>
      </c>
      <c r="U90" s="20" t="n">
        <v>0</v>
      </c>
      <c r="V90" s="20" t="n">
        <v>754</v>
      </c>
      <c r="W90" s="20" t="n">
        <v>0</v>
      </c>
      <c r="X90" s="20">
        <f>SUM(C91:R91)-S91</f>
        <v/>
      </c>
    </row>
    <row r="91">
      <c r="A91" s="18" t="n">
        <v>86</v>
      </c>
      <c r="B91" s="27" t="inlineStr">
        <is>
          <t>Mandal Parishad Primary School,
(Back side) Shanigaram</t>
        </is>
      </c>
      <c r="C91" s="20" t="n">
        <v>2</v>
      </c>
      <c r="D91" s="20" t="n">
        <v>0</v>
      </c>
      <c r="E91" s="20" t="n">
        <v>4</v>
      </c>
      <c r="F91" s="20" t="n">
        <v>5</v>
      </c>
      <c r="G91" s="20" t="n">
        <v>6</v>
      </c>
      <c r="H91" s="20" t="n">
        <v>7</v>
      </c>
      <c r="I91" s="20" t="n">
        <v>8</v>
      </c>
      <c r="J91" s="20" t="n">
        <v>9</v>
      </c>
      <c r="K91" s="20" t="n">
        <v>10</v>
      </c>
      <c r="L91" s="20" t="n">
        <v>11</v>
      </c>
      <c r="M91" s="20" t="n">
        <v>12</v>
      </c>
      <c r="N91" s="20" t="n">
        <v>13</v>
      </c>
      <c r="O91" s="20" t="n">
        <v>14</v>
      </c>
      <c r="P91" s="20" t="n">
        <v>18</v>
      </c>
      <c r="Q91" s="20" t="n">
        <v>16</v>
      </c>
      <c r="R91" s="20" t="n">
        <v>7</v>
      </c>
      <c r="S91" s="20" t="n">
        <v>142</v>
      </c>
      <c r="T91" s="20" t="n">
        <v>19</v>
      </c>
      <c r="U91" s="20" t="n">
        <v>20</v>
      </c>
      <c r="V91" s="20" t="n">
        <v>181</v>
      </c>
      <c r="W91" s="20" t="n">
        <v>0</v>
      </c>
      <c r="X91" s="20">
        <f>SUM(C92:R92)-S92</f>
        <v/>
      </c>
    </row>
    <row r="92">
      <c r="A92" s="18" t="n">
        <v>87</v>
      </c>
      <c r="B92" s="27" t="inlineStr">
        <is>
          <t>SHANIGARAM</t>
        </is>
      </c>
      <c r="C92" s="20" t="n">
        <v>129</v>
      </c>
      <c r="D92" s="20" t="n">
        <v>9</v>
      </c>
      <c r="E92" s="20" t="n">
        <v>16</v>
      </c>
      <c r="F92" s="20" t="n">
        <v>180</v>
      </c>
      <c r="G92" s="20" t="n">
        <v>8</v>
      </c>
      <c r="H92" s="20" t="n">
        <v>1</v>
      </c>
      <c r="I92" s="20" t="n">
        <v>2</v>
      </c>
      <c r="J92" s="20" t="n">
        <v>0</v>
      </c>
      <c r="K92" s="20" t="n">
        <v>2</v>
      </c>
      <c r="L92" s="20" t="n">
        <v>5</v>
      </c>
      <c r="M92" s="20" t="n">
        <v>0</v>
      </c>
      <c r="N92" s="20" t="n">
        <v>2</v>
      </c>
      <c r="O92" s="20" t="n">
        <v>1</v>
      </c>
      <c r="P92" s="20" t="n">
        <v>1</v>
      </c>
      <c r="Q92" s="20" t="n">
        <v>2</v>
      </c>
      <c r="R92" s="20" t="n">
        <v>358</v>
      </c>
      <c r="S92" s="20" t="n">
        <v>716</v>
      </c>
      <c r="T92" s="20" t="n">
        <v>10</v>
      </c>
      <c r="U92" s="20" t="n">
        <v>368</v>
      </c>
      <c r="V92" s="20" t="n">
        <v>1094</v>
      </c>
      <c r="W92" s="20" t="n">
        <v>0</v>
      </c>
      <c r="X92" s="20">
        <f>SUM(C93:R93)-S93</f>
        <v/>
      </c>
    </row>
    <row r="93">
      <c r="A93" s="18" t="n">
        <v>88</v>
      </c>
      <c r="B93" s="27" t="inlineStr">
        <is>
          <t>SHANIGARAM</t>
        </is>
      </c>
      <c r="C93" s="20" t="n">
        <v>82</v>
      </c>
      <c r="D93" s="20" t="n">
        <v>10</v>
      </c>
      <c r="E93" s="20" t="n">
        <v>11</v>
      </c>
      <c r="F93" s="20" t="n">
        <v>305</v>
      </c>
      <c r="G93" s="20" t="n">
        <v>1</v>
      </c>
      <c r="H93" s="20" t="n">
        <v>2</v>
      </c>
      <c r="I93" s="20" t="n">
        <v>8</v>
      </c>
      <c r="J93" s="20" t="n">
        <v>0</v>
      </c>
      <c r="K93" s="20" t="n">
        <v>0</v>
      </c>
      <c r="L93" s="20" t="n">
        <v>8</v>
      </c>
      <c r="M93" s="20" t="n">
        <v>1</v>
      </c>
      <c r="N93" s="20" t="n">
        <v>0</v>
      </c>
      <c r="O93" s="20" t="n">
        <v>1</v>
      </c>
      <c r="P93" s="20" t="n">
        <v>1</v>
      </c>
      <c r="Q93" s="20" t="n">
        <v>4</v>
      </c>
      <c r="R93" s="20" t="n">
        <v>434</v>
      </c>
      <c r="S93" s="20" t="n">
        <v>868</v>
      </c>
      <c r="T93" s="20" t="n">
        <v>3</v>
      </c>
      <c r="U93" s="20" t="n">
        <v>437</v>
      </c>
      <c r="V93" s="20" t="n">
        <v>1308</v>
      </c>
      <c r="W93" s="20" t="n">
        <v>0</v>
      </c>
      <c r="X93" s="20">
        <f>SUM(C94:R94)-S94</f>
        <v/>
      </c>
    </row>
    <row r="94">
      <c r="A94" s="18" t="n">
        <v>89</v>
      </c>
      <c r="B94" s="27" t="inlineStr">
        <is>
          <t>TANGELLAPALLI</t>
        </is>
      </c>
      <c r="C94" s="20" t="n">
        <v>142</v>
      </c>
      <c r="D94" s="20" t="n">
        <v>14</v>
      </c>
      <c r="E94" s="20" t="n">
        <v>16</v>
      </c>
      <c r="F94" s="20" t="n">
        <v>389</v>
      </c>
      <c r="G94" s="20" t="n">
        <v>6</v>
      </c>
      <c r="H94" s="20" t="n">
        <v>3</v>
      </c>
      <c r="I94" s="20" t="n">
        <v>5</v>
      </c>
      <c r="J94" s="20" t="n">
        <v>1</v>
      </c>
      <c r="K94" s="20" t="n">
        <v>0</v>
      </c>
      <c r="L94" s="20" t="n">
        <v>10</v>
      </c>
      <c r="M94" s="20" t="n">
        <v>6</v>
      </c>
      <c r="N94" s="20" t="n">
        <v>0</v>
      </c>
      <c r="O94" s="20" t="n">
        <v>2</v>
      </c>
      <c r="P94" s="20" t="n">
        <v>0</v>
      </c>
      <c r="Q94" s="20" t="n">
        <v>4</v>
      </c>
      <c r="R94" s="20" t="n">
        <v>602</v>
      </c>
      <c r="S94" s="20" t="n">
        <v>1200</v>
      </c>
      <c r="T94" s="20" t="n">
        <v>23</v>
      </c>
      <c r="U94" s="20" t="n">
        <v>0</v>
      </c>
      <c r="V94" s="20" t="n">
        <v>1223</v>
      </c>
      <c r="W94" s="20" t="n">
        <v>0</v>
      </c>
      <c r="X94" s="20">
        <f>SUM(C95:R95)-S95</f>
        <v/>
      </c>
    </row>
    <row r="95">
      <c r="A95" s="18" t="n">
        <v>90</v>
      </c>
      <c r="B95" s="27" t="inlineStr">
        <is>
          <t>TANGFI1 APALLI</t>
        </is>
      </c>
      <c r="C95" s="20" t="n">
        <v>73</v>
      </c>
      <c r="D95" s="20" t="n">
        <v>4</v>
      </c>
      <c r="E95" s="20" t="n">
        <v>8</v>
      </c>
      <c r="F95" s="20" t="n">
        <v>449</v>
      </c>
      <c r="G95" s="20" t="n">
        <v>6</v>
      </c>
      <c r="H95" s="20" t="n">
        <v>3</v>
      </c>
      <c r="I95" s="20" t="n">
        <v>20</v>
      </c>
      <c r="J95" s="20" t="n">
        <v>2</v>
      </c>
      <c r="K95" s="20" t="n">
        <v>2</v>
      </c>
      <c r="L95" s="20" t="n">
        <v>24</v>
      </c>
      <c r="M95" s="20" t="n">
        <v>4</v>
      </c>
      <c r="N95" s="20" t="n">
        <v>2</v>
      </c>
      <c r="O95" s="20" t="n">
        <v>5</v>
      </c>
      <c r="P95" s="20" t="n">
        <v>0</v>
      </c>
      <c r="Q95" s="20" t="n">
        <v>27</v>
      </c>
      <c r="R95" s="20" t="n">
        <v>604</v>
      </c>
      <c r="S95" s="20" t="n">
        <v>1233</v>
      </c>
      <c r="T95" s="20" t="n">
        <v>0</v>
      </c>
      <c r="U95" s="20" t="n">
        <v>0</v>
      </c>
      <c r="V95" s="20" t="n">
        <v>1233</v>
      </c>
      <c r="W95" s="20" t="n">
        <v>0</v>
      </c>
      <c r="X95" s="20">
        <f>SUM(C96:R96)-S96</f>
        <v/>
      </c>
    </row>
    <row r="96">
      <c r="A96" s="18" t="n">
        <v>91</v>
      </c>
      <c r="B96" s="27" t="inlineStr">
        <is>
          <t>TANGELLA PALLI</t>
        </is>
      </c>
      <c r="C96" s="20" t="n">
        <v>94</v>
      </c>
      <c r="D96" s="20" t="n">
        <v>20</v>
      </c>
      <c r="E96" s="20" t="n">
        <v>10</v>
      </c>
      <c r="F96" s="20" t="n">
        <v>340</v>
      </c>
      <c r="G96" s="20" t="n">
        <v>6</v>
      </c>
      <c r="H96" s="20" t="n">
        <v>2</v>
      </c>
      <c r="I96" s="20" t="n">
        <v>5</v>
      </c>
      <c r="J96" s="20" t="n">
        <v>1</v>
      </c>
      <c r="K96" s="20" t="n">
        <v>0</v>
      </c>
      <c r="L96" s="20" t="n">
        <v>23</v>
      </c>
      <c r="M96" s="20" t="n">
        <v>0</v>
      </c>
      <c r="N96" s="20" t="n">
        <v>1</v>
      </c>
      <c r="O96" s="20" t="n">
        <v>0</v>
      </c>
      <c r="P96" s="20" t="n">
        <v>0</v>
      </c>
      <c r="Q96" s="20" t="n">
        <v>2</v>
      </c>
      <c r="R96" s="20" t="n">
        <v>504</v>
      </c>
      <c r="S96" s="20" t="n">
        <v>1008</v>
      </c>
      <c r="T96" s="20" t="n">
        <v>0</v>
      </c>
      <c r="U96" s="20" t="n">
        <v>0</v>
      </c>
      <c r="V96" s="20" t="n">
        <v>1008</v>
      </c>
      <c r="W96" s="20" t="n">
        <v>0</v>
      </c>
      <c r="X96" s="20">
        <f>SUM(C97:R97)-S97</f>
        <v/>
      </c>
    </row>
    <row r="97">
      <c r="A97" s="18" t="n">
        <v>92</v>
      </c>
      <c r="B97" s="27" t="inlineStr">
        <is>
          <t>GUNDARFDDI PALLE</t>
        </is>
      </c>
      <c r="C97" s="20" t="n">
        <v>402</v>
      </c>
      <c r="D97" s="20" t="n">
        <v>11</v>
      </c>
      <c r="E97" s="20" t="n">
        <v>4</v>
      </c>
      <c r="F97" s="20" t="n">
        <v>398</v>
      </c>
      <c r="G97" s="20" t="n">
        <v>5</v>
      </c>
      <c r="H97" s="20" t="n">
        <v>1</v>
      </c>
      <c r="I97" s="20" t="n">
        <v>12</v>
      </c>
      <c r="J97" s="20" t="n">
        <v>2</v>
      </c>
      <c r="K97" s="20" t="n">
        <v>3</v>
      </c>
      <c r="L97" s="20" t="n">
        <v>15</v>
      </c>
      <c r="M97" s="20" t="n">
        <v>1</v>
      </c>
      <c r="N97" s="20" t="n">
        <v>0</v>
      </c>
      <c r="O97" s="20" t="n">
        <v>4</v>
      </c>
      <c r="P97" s="20" t="n">
        <v>1</v>
      </c>
      <c r="Q97" s="20" t="n">
        <v>3</v>
      </c>
      <c r="R97" s="20" t="n">
        <v>564</v>
      </c>
      <c r="S97" s="20" t="n">
        <v>1426</v>
      </c>
      <c r="T97" s="20" t="n">
        <v>6</v>
      </c>
      <c r="U97" s="20" t="n">
        <v>0</v>
      </c>
      <c r="V97" s="20" t="n">
        <v>1432</v>
      </c>
      <c r="W97" s="20" t="n">
        <v>0</v>
      </c>
      <c r="X97" s="20">
        <f>SUM(C98:R98)-S98</f>
        <v/>
      </c>
    </row>
    <row r="98">
      <c r="A98" s="18" t="n">
        <v>93</v>
      </c>
      <c r="B98" s="27" t="inlineStr">
        <is>
          <t>GUNDAREDDI PALLE</t>
        </is>
      </c>
      <c r="C98" s="20" t="n">
        <v>153</v>
      </c>
      <c r="D98" s="20" t="n">
        <v>14</v>
      </c>
      <c r="E98" s="20" t="n">
        <v>7</v>
      </c>
      <c r="F98" s="20" t="n">
        <v>458</v>
      </c>
      <c r="G98" s="20" t="n">
        <v>3</v>
      </c>
      <c r="H98" s="20" t="n">
        <v>4</v>
      </c>
      <c r="I98" s="20" t="n">
        <v>5</v>
      </c>
      <c r="J98" s="20" t="n">
        <v>1</v>
      </c>
      <c r="K98" s="20" t="n">
        <v>3</v>
      </c>
      <c r="L98" s="20" t="n">
        <v>29</v>
      </c>
      <c r="M98" s="20" t="n">
        <v>5</v>
      </c>
      <c r="N98" s="20" t="n">
        <v>3</v>
      </c>
      <c r="O98" s="20" t="n">
        <v>8</v>
      </c>
      <c r="P98" s="20" t="n">
        <v>2</v>
      </c>
      <c r="Q98" s="20" t="n">
        <v>2</v>
      </c>
      <c r="R98" s="20" t="n">
        <v>697</v>
      </c>
      <c r="S98" s="20" t="n">
        <v>1394</v>
      </c>
      <c r="T98" s="20" t="n">
        <v>17</v>
      </c>
      <c r="U98" s="20" t="n">
        <v>0</v>
      </c>
      <c r="V98" s="20" t="n">
        <v>1411</v>
      </c>
      <c r="W98" s="20" t="n">
        <v>0</v>
      </c>
      <c r="X98" s="20">
        <f>SUM(C99:R99)-S99</f>
        <v/>
      </c>
    </row>
    <row r="99">
      <c r="A99" s="18" t="n">
        <v>94</v>
      </c>
      <c r="B99" s="27" t="inlineStr">
        <is>
          <t>KURFILA</t>
        </is>
      </c>
      <c r="C99" s="20" t="n">
        <v>132</v>
      </c>
      <c r="D99" s="20" t="n">
        <v>5</v>
      </c>
      <c r="E99" s="20" t="n">
        <v>10</v>
      </c>
      <c r="F99" s="20" t="n">
        <v>461</v>
      </c>
      <c r="G99" s="20" t="n">
        <v>9</v>
      </c>
      <c r="H99" s="20" t="n">
        <v>2</v>
      </c>
      <c r="I99" s="20" t="n">
        <v>8</v>
      </c>
      <c r="J99" s="20" t="n">
        <v>2</v>
      </c>
      <c r="K99" s="20" t="n">
        <v>0</v>
      </c>
      <c r="L99" s="20" t="n">
        <v>29</v>
      </c>
      <c r="M99" s="20" t="n">
        <v>2</v>
      </c>
      <c r="N99" s="20" t="n">
        <v>3</v>
      </c>
      <c r="O99" s="20" t="n">
        <v>1</v>
      </c>
      <c r="P99" s="20" t="n">
        <v>1</v>
      </c>
      <c r="Q99" s="20" t="n">
        <v>4</v>
      </c>
      <c r="R99" s="20" t="n">
        <v>666</v>
      </c>
      <c r="S99" s="20" t="n">
        <v>1335</v>
      </c>
      <c r="T99" s="20" t="n">
        <v>8</v>
      </c>
      <c r="U99" s="20" t="n">
        <v>0</v>
      </c>
      <c r="V99" s="20" t="n">
        <v>1343</v>
      </c>
      <c r="W99" s="20" t="n">
        <v>0</v>
      </c>
      <c r="X99" s="20">
        <f>SUM(C100:R100)-S100</f>
        <v/>
      </c>
    </row>
    <row r="100">
      <c r="A100" s="18" t="n">
        <v>95</v>
      </c>
      <c r="B100" s="27" t="inlineStr">
        <is>
          <t>KURELLA</t>
        </is>
      </c>
      <c r="C100" s="20" t="n">
        <v>180</v>
      </c>
      <c r="D100" s="20" t="n">
        <v>15</v>
      </c>
      <c r="E100" s="20" t="n">
        <v>15</v>
      </c>
      <c r="F100" s="20" t="n">
        <v>553</v>
      </c>
      <c r="G100" s="20" t="n">
        <v>3</v>
      </c>
      <c r="H100" s="20" t="n">
        <v>5</v>
      </c>
      <c r="I100" s="20" t="n">
        <v>6</v>
      </c>
      <c r="J100" s="20" t="n">
        <v>0</v>
      </c>
      <c r="K100" s="20" t="n">
        <v>3</v>
      </c>
      <c r="L100" s="20" t="n">
        <v>20</v>
      </c>
      <c r="M100" s="20" t="n">
        <v>1</v>
      </c>
      <c r="N100" s="20" t="n">
        <v>2</v>
      </c>
      <c r="O100" s="20" t="n">
        <v>4</v>
      </c>
      <c r="P100" s="20" t="n">
        <v>2</v>
      </c>
      <c r="Q100" s="20" t="n">
        <v>3</v>
      </c>
      <c r="R100" s="20" t="n">
        <v>812</v>
      </c>
      <c r="S100" s="20" t="n">
        <v>1624</v>
      </c>
      <c r="T100" s="20" t="n">
        <v>18</v>
      </c>
      <c r="U100" s="20" t="n">
        <v>0</v>
      </c>
      <c r="V100" s="20" t="n">
        <v>1642</v>
      </c>
      <c r="W100" s="20" t="n">
        <v>0</v>
      </c>
      <c r="X100" s="20">
        <f>SUM(C101:R101)-S101</f>
        <v/>
      </c>
    </row>
    <row r="101">
      <c r="A101" s="18" t="n">
        <v>96</v>
      </c>
      <c r="B101" s="27" t="inlineStr">
        <is>
          <t>KOHEDA</t>
        </is>
      </c>
      <c r="C101" s="20" t="n">
        <v>52</v>
      </c>
      <c r="D101" s="20" t="n">
        <v>36</v>
      </c>
      <c r="E101" s="20" t="n">
        <v>8</v>
      </c>
      <c r="F101" s="20" t="n">
        <v>320</v>
      </c>
      <c r="G101" s="20" t="n">
        <v>1</v>
      </c>
      <c r="H101" s="20" t="n">
        <v>1</v>
      </c>
      <c r="I101" s="20" t="n">
        <v>2</v>
      </c>
      <c r="J101" s="20" t="n">
        <v>0</v>
      </c>
      <c r="K101" s="20" t="n">
        <v>41</v>
      </c>
      <c r="L101" s="20" t="n">
        <v>16</v>
      </c>
      <c r="M101" s="20" t="n">
        <v>1</v>
      </c>
      <c r="N101" s="20" t="n">
        <v>2</v>
      </c>
      <c r="O101" s="20" t="n">
        <v>0</v>
      </c>
      <c r="P101" s="20" t="n">
        <v>0</v>
      </c>
      <c r="Q101" s="20" t="n">
        <v>0</v>
      </c>
      <c r="R101" s="20" t="n">
        <v>441</v>
      </c>
      <c r="S101" s="20" t="n">
        <v>921</v>
      </c>
      <c r="T101" s="20" t="n">
        <v>15</v>
      </c>
      <c r="U101" s="20" t="n">
        <v>456</v>
      </c>
      <c r="V101" s="20" t="n">
        <v>1392</v>
      </c>
      <c r="W101" s="20" t="n">
        <v>0</v>
      </c>
      <c r="X101" s="20">
        <f>SUM(C102:R102)-S102</f>
        <v/>
      </c>
    </row>
    <row r="102">
      <c r="A102" s="18" t="n">
        <v>97</v>
      </c>
      <c r="B102" s="27" t="inlineStr">
        <is>
          <t>KOHENA</t>
        </is>
      </c>
      <c r="C102" s="20" t="n">
        <v>46</v>
      </c>
      <c r="D102" s="20" t="n">
        <v>34</v>
      </c>
      <c r="E102" s="20" t="n">
        <v>8</v>
      </c>
      <c r="F102" s="20" t="n">
        <v>301</v>
      </c>
      <c r="G102" s="20" t="n">
        <v>1</v>
      </c>
      <c r="H102" s="20" t="n">
        <v>1</v>
      </c>
      <c r="I102" s="20" t="n">
        <v>5</v>
      </c>
      <c r="J102" s="20" t="n">
        <v>0</v>
      </c>
      <c r="K102" s="20" t="n">
        <v>4</v>
      </c>
      <c r="L102" s="20" t="n">
        <v>13</v>
      </c>
      <c r="M102" s="20" t="n">
        <v>1</v>
      </c>
      <c r="N102" s="20" t="n">
        <v>0</v>
      </c>
      <c r="O102" s="20" t="n">
        <v>2</v>
      </c>
      <c r="P102" s="20" t="n">
        <v>0</v>
      </c>
      <c r="Q102" s="20" t="n">
        <v>4</v>
      </c>
      <c r="R102" s="20" t="n">
        <v>417</v>
      </c>
      <c r="S102" s="20" t="n">
        <v>837</v>
      </c>
      <c r="T102" s="20" t="n">
        <v>0</v>
      </c>
      <c r="U102" s="20" t="n">
        <v>424</v>
      </c>
      <c r="V102" s="20" t="n">
        <v>1261</v>
      </c>
      <c r="W102" s="20" t="n">
        <v>0</v>
      </c>
      <c r="X102" s="20">
        <f>SUM(C103:R103)-S103</f>
        <v/>
      </c>
    </row>
    <row r="103">
      <c r="A103" s="18" t="n">
        <v>98</v>
      </c>
      <c r="B103" s="27" t="inlineStr">
        <is>
          <t>KOHFNA</t>
        </is>
      </c>
      <c r="C103" s="20" t="n">
        <v>64</v>
      </c>
      <c r="D103" s="20" t="n">
        <v>27</v>
      </c>
      <c r="E103" s="20" t="n">
        <v>15</v>
      </c>
      <c r="F103" s="20" t="n">
        <v>440</v>
      </c>
      <c r="G103" s="20" t="n">
        <v>5</v>
      </c>
      <c r="H103" s="20" t="n">
        <v>5</v>
      </c>
      <c r="I103" s="20" t="n">
        <v>7</v>
      </c>
      <c r="J103" s="20" t="n">
        <v>1</v>
      </c>
      <c r="K103" s="20" t="n">
        <v>0</v>
      </c>
      <c r="L103" s="20" t="n">
        <v>18</v>
      </c>
      <c r="M103" s="20" t="n">
        <v>6</v>
      </c>
      <c r="N103" s="20" t="n">
        <v>3</v>
      </c>
      <c r="O103" s="20" t="n">
        <v>5</v>
      </c>
      <c r="P103" s="20" t="n">
        <v>0</v>
      </c>
      <c r="Q103" s="20" t="n">
        <v>3</v>
      </c>
      <c r="R103" s="20" t="n">
        <v>599</v>
      </c>
      <c r="S103" s="20" t="n">
        <v>1198</v>
      </c>
      <c r="T103" s="20" t="n">
        <v>1</v>
      </c>
      <c r="U103" s="20" t="n">
        <v>0</v>
      </c>
      <c r="V103" s="20" t="n">
        <v>1199</v>
      </c>
      <c r="W103" s="20" t="n">
        <v>0</v>
      </c>
      <c r="X103" s="20">
        <f>SUM(C104:R104)-S104</f>
        <v/>
      </c>
    </row>
    <row r="104">
      <c r="A104" s="18" t="n">
        <v>99</v>
      </c>
      <c r="B104" s="27" t="inlineStr">
        <is>
          <t>KOHEDA</t>
        </is>
      </c>
      <c r="C104" s="20" t="n">
        <v>472</v>
      </c>
      <c r="D104" s="20" t="n">
        <v>38</v>
      </c>
      <c r="E104" s="20" t="n">
        <v>24</v>
      </c>
      <c r="F104" s="20" t="n">
        <v>490</v>
      </c>
      <c r="G104" s="20" t="n">
        <v>2</v>
      </c>
      <c r="H104" s="20" t="n">
        <v>4</v>
      </c>
      <c r="I104" s="20" t="n">
        <v>6</v>
      </c>
      <c r="J104" s="20" t="n">
        <v>4</v>
      </c>
      <c r="K104" s="20" t="n">
        <v>1</v>
      </c>
      <c r="L104" s="20" t="n">
        <v>16</v>
      </c>
      <c r="M104" s="20" t="n">
        <v>4</v>
      </c>
      <c r="N104" s="20" t="n">
        <v>6</v>
      </c>
      <c r="O104" s="20" t="n">
        <v>4</v>
      </c>
      <c r="P104" s="20" t="n">
        <v>2</v>
      </c>
      <c r="Q104" s="20" t="n">
        <v>11</v>
      </c>
      <c r="R104" s="20" t="n">
        <v>784</v>
      </c>
      <c r="S104" s="20" t="n">
        <v>1868</v>
      </c>
      <c r="T104" s="20" t="n">
        <v>18</v>
      </c>
      <c r="U104" s="20" t="n">
        <v>0</v>
      </c>
      <c r="V104" s="20" t="n">
        <v>1886</v>
      </c>
      <c r="W104" s="20" t="n">
        <v>0</v>
      </c>
      <c r="X104" s="20">
        <f>SUM(C105:R105)-S105</f>
        <v/>
      </c>
    </row>
    <row r="105">
      <c r="A105" s="18" t="n">
        <v>100</v>
      </c>
      <c r="B105" s="27" t="inlineStr">
        <is>
          <t>KOHENA</t>
        </is>
      </c>
      <c r="C105" s="20" t="n">
        <v>72</v>
      </c>
      <c r="D105" s="20" t="n">
        <v>21</v>
      </c>
      <c r="E105" s="20" t="n">
        <v>2</v>
      </c>
      <c r="F105" s="20" t="n">
        <v>484</v>
      </c>
      <c r="G105" s="20" t="n">
        <v>4</v>
      </c>
      <c r="H105" s="20" t="n">
        <v>1</v>
      </c>
      <c r="I105" s="20" t="n">
        <v>1</v>
      </c>
      <c r="J105" s="20" t="n">
        <v>3</v>
      </c>
      <c r="K105" s="20" t="n">
        <v>0</v>
      </c>
      <c r="L105" s="20" t="n">
        <v>16</v>
      </c>
      <c r="M105" s="20" t="n">
        <v>1</v>
      </c>
      <c r="N105" s="20" t="n">
        <v>0</v>
      </c>
      <c r="O105" s="20" t="n">
        <v>2</v>
      </c>
      <c r="P105" s="20" t="n">
        <v>2</v>
      </c>
      <c r="Q105" s="20" t="n">
        <v>43</v>
      </c>
      <c r="R105" s="20" t="n">
        <v>662</v>
      </c>
      <c r="S105" s="20" t="n">
        <v>1314</v>
      </c>
      <c r="T105" s="20" t="n">
        <v>8</v>
      </c>
      <c r="U105" s="20" t="n">
        <v>0</v>
      </c>
      <c r="V105" s="20" t="n">
        <v>1322</v>
      </c>
      <c r="W105" s="20" t="n">
        <v>0</v>
      </c>
      <c r="X105" s="20">
        <f>SUM(C106:R106)-S106</f>
        <v/>
      </c>
    </row>
    <row r="106">
      <c r="A106" s="18" t="n">
        <v>101</v>
      </c>
      <c r="B106" s="27" t="inlineStr">
        <is>
          <t>VENKATESHVARIA</t>
        </is>
      </c>
      <c r="C106" s="20" t="n">
        <v>126</v>
      </c>
      <c r="D106" s="20" t="n">
        <v>9</v>
      </c>
      <c r="E106" s="20" t="n">
        <v>2</v>
      </c>
      <c r="F106" s="20" t="n">
        <v>435</v>
      </c>
      <c r="G106" s="20" t="n">
        <v>5</v>
      </c>
      <c r="H106" s="20" t="n">
        <v>0</v>
      </c>
      <c r="I106" s="20" t="n">
        <v>5</v>
      </c>
      <c r="J106" s="20" t="n">
        <v>4</v>
      </c>
      <c r="K106" s="20" t="n">
        <v>0</v>
      </c>
      <c r="L106" s="20" t="n">
        <v>8</v>
      </c>
      <c r="M106" s="20" t="n">
        <v>0</v>
      </c>
      <c r="N106" s="20" t="n">
        <v>0</v>
      </c>
      <c r="O106" s="20" t="n">
        <v>0</v>
      </c>
      <c r="P106" s="20" t="n">
        <v>1</v>
      </c>
      <c r="Q106" s="20" t="n">
        <v>0</v>
      </c>
      <c r="R106" s="20" t="n">
        <v>592</v>
      </c>
      <c r="S106" s="20" t="n">
        <v>1187</v>
      </c>
      <c r="T106" s="20" t="n">
        <v>6</v>
      </c>
      <c r="U106" s="20" t="n">
        <v>0</v>
      </c>
      <c r="V106" s="20" t="n">
        <v>1193</v>
      </c>
      <c r="W106" s="20" t="n">
        <v>0</v>
      </c>
      <c r="X106" s="20">
        <f>SUM(C107:R107)-S107</f>
        <v/>
      </c>
    </row>
    <row r="107">
      <c r="A107" s="18" t="n">
        <v>102</v>
      </c>
      <c r="B107" s="27" t="inlineStr">
        <is>
          <t>TEEGALAKUNTAPALLE</t>
        </is>
      </c>
      <c r="C107" s="20" t="n">
        <v>280</v>
      </c>
      <c r="D107" s="20" t="n">
        <v>13</v>
      </c>
      <c r="E107" s="20" t="n">
        <v>9</v>
      </c>
      <c r="F107" s="20" t="n">
        <v>520</v>
      </c>
      <c r="G107" s="20" t="n">
        <v>6</v>
      </c>
      <c r="H107" s="20" t="n">
        <v>3</v>
      </c>
      <c r="I107" s="20" t="n">
        <v>10</v>
      </c>
      <c r="J107" s="20" t="n">
        <v>2</v>
      </c>
      <c r="K107" s="20" t="n">
        <v>3</v>
      </c>
      <c r="L107" s="20" t="n">
        <v>29</v>
      </c>
      <c r="M107" s="20" t="n">
        <v>4</v>
      </c>
      <c r="N107" s="20" t="n">
        <v>4</v>
      </c>
      <c r="O107" s="20" t="n">
        <v>3</v>
      </c>
      <c r="P107" s="20" t="n">
        <v>3</v>
      </c>
      <c r="Q107" s="20" t="n">
        <v>2</v>
      </c>
      <c r="R107" s="20" t="n">
        <v>891</v>
      </c>
      <c r="S107" s="20" t="n">
        <v>1782</v>
      </c>
      <c r="T107" s="20" t="n">
        <v>10</v>
      </c>
      <c r="U107" s="20" t="n">
        <v>0</v>
      </c>
      <c r="V107" s="20" t="n">
        <v>1792</v>
      </c>
      <c r="W107" s="20" t="n">
        <v>0</v>
      </c>
      <c r="X107" s="20">
        <f>SUM(C108:R108)-S108</f>
        <v/>
      </c>
    </row>
    <row r="108">
      <c r="A108" s="18" t="n">
        <v>103</v>
      </c>
      <c r="B108" s="27" t="inlineStr">
        <is>
          <t>VINJEPALLE</t>
        </is>
      </c>
      <c r="C108" s="20" t="n">
        <v>267</v>
      </c>
      <c r="D108" s="20" t="n">
        <v>7</v>
      </c>
      <c r="E108" s="20" t="n">
        <v>6</v>
      </c>
      <c r="F108" s="20" t="n">
        <v>446</v>
      </c>
      <c r="G108" s="20" t="n">
        <v>5</v>
      </c>
      <c r="H108" s="20" t="n">
        <v>3</v>
      </c>
      <c r="I108" s="20" t="n">
        <v>4</v>
      </c>
      <c r="J108" s="20" t="n">
        <v>0</v>
      </c>
      <c r="K108" s="20" t="n">
        <v>1</v>
      </c>
      <c r="L108" s="20" t="n">
        <v>15</v>
      </c>
      <c r="M108" s="20" t="n">
        <v>2</v>
      </c>
      <c r="N108" s="20" t="n">
        <v>5</v>
      </c>
      <c r="O108" s="20" t="n">
        <v>4</v>
      </c>
      <c r="P108" s="20" t="n">
        <v>2</v>
      </c>
      <c r="Q108" s="20" t="n">
        <v>6</v>
      </c>
      <c r="R108" s="20" t="n">
        <v>770</v>
      </c>
      <c r="S108" s="20" t="n">
        <v>1543</v>
      </c>
      <c r="T108" s="20" t="n">
        <v>415</v>
      </c>
      <c r="U108" s="20" t="n">
        <v>0</v>
      </c>
      <c r="V108" s="20" t="n">
        <v>1958</v>
      </c>
      <c r="W108" s="20" t="n">
        <v>0</v>
      </c>
      <c r="X108" s="20">
        <f>SUM(C109:R109)-S109</f>
        <v/>
      </c>
    </row>
    <row r="109">
      <c r="A109" s="18" t="n">
        <v>104</v>
      </c>
      <c r="B109" s="27" t="inlineStr">
        <is>
          <t>VINJEPALLE</t>
        </is>
      </c>
      <c r="C109" s="20" t="n">
        <v>233</v>
      </c>
      <c r="D109" s="20" t="n">
        <v>11</v>
      </c>
      <c r="E109" s="20" t="n">
        <v>10</v>
      </c>
      <c r="F109" s="20" t="n">
        <v>559</v>
      </c>
      <c r="G109" s="20" t="n">
        <v>4</v>
      </c>
      <c r="H109" s="20" t="n">
        <v>3</v>
      </c>
      <c r="I109" s="20" t="n">
        <v>9</v>
      </c>
      <c r="J109" s="20" t="n">
        <v>2</v>
      </c>
      <c r="K109" s="20" t="n">
        <v>4</v>
      </c>
      <c r="L109" s="20" t="n">
        <v>24</v>
      </c>
      <c r="M109" s="20" t="n">
        <v>1</v>
      </c>
      <c r="N109" s="20" t="n">
        <v>4</v>
      </c>
      <c r="O109" s="20" t="n">
        <v>3</v>
      </c>
      <c r="P109" s="20" t="n">
        <v>8</v>
      </c>
      <c r="Q109" s="20" t="n">
        <v>2</v>
      </c>
      <c r="R109" s="20" t="n">
        <v>871</v>
      </c>
      <c r="S109" s="20" t="n">
        <v>1748</v>
      </c>
      <c r="T109" s="20" t="n">
        <v>9</v>
      </c>
      <c r="U109" s="20" t="n">
        <v>0</v>
      </c>
      <c r="V109" s="20" t="n">
        <v>1757</v>
      </c>
      <c r="W109" s="20" t="n">
        <v>0</v>
      </c>
      <c r="X109" s="20">
        <f>SUM(C110:R110)-S110</f>
        <v/>
      </c>
    </row>
    <row r="110">
      <c r="A110" s="18" t="n">
        <v>105</v>
      </c>
      <c r="B110" s="27" t="inlineStr">
        <is>
          <t>GOTLAMITTA,</t>
        </is>
      </c>
      <c r="C110" s="20" t="n">
        <v>182</v>
      </c>
      <c r="D110" s="20" t="n">
        <v>11</v>
      </c>
      <c r="E110" s="20" t="n">
        <v>7</v>
      </c>
      <c r="F110" s="20" t="n">
        <v>286</v>
      </c>
      <c r="G110" s="20" t="n">
        <v>2</v>
      </c>
      <c r="H110" s="20" t="n">
        <v>0</v>
      </c>
      <c r="I110" s="20" t="n">
        <v>3</v>
      </c>
      <c r="J110" s="20" t="n">
        <v>0</v>
      </c>
      <c r="K110" s="20" t="n">
        <v>0</v>
      </c>
      <c r="L110" s="20" t="n">
        <v>7</v>
      </c>
      <c r="M110" s="20" t="n">
        <v>0</v>
      </c>
      <c r="N110" s="20" t="n">
        <v>0</v>
      </c>
      <c r="O110" s="20" t="n">
        <v>3</v>
      </c>
      <c r="P110" s="20" t="n">
        <v>0</v>
      </c>
      <c r="Q110" s="20" t="n">
        <v>0</v>
      </c>
      <c r="R110" s="20" t="n">
        <v>501</v>
      </c>
      <c r="S110" s="20" t="n">
        <v>1002</v>
      </c>
      <c r="T110" s="20" t="n">
        <v>0</v>
      </c>
      <c r="U110" s="20" t="n">
        <v>0</v>
      </c>
      <c r="V110" s="20" t="n">
        <v>1002</v>
      </c>
      <c r="W110" s="20" t="n">
        <v>0</v>
      </c>
      <c r="X110" s="20">
        <f>SUM(C111:R111)-S111</f>
        <v/>
      </c>
    </row>
    <row r="111">
      <c r="A111" s="18" t="n">
        <v>106</v>
      </c>
      <c r="B111" s="27" t="inlineStr">
        <is>
          <t>NARAYAN PUR</t>
        </is>
      </c>
      <c r="C111" s="20" t="n">
        <v>219</v>
      </c>
      <c r="D111" s="20" t="n">
        <v>9</v>
      </c>
      <c r="E111" s="20" t="n">
        <v>4</v>
      </c>
      <c r="F111" s="20" t="n">
        <v>330</v>
      </c>
      <c r="G111" s="20" t="n">
        <v>2</v>
      </c>
      <c r="H111" s="20" t="n">
        <v>2</v>
      </c>
      <c r="I111" s="20" t="n">
        <v>12</v>
      </c>
      <c r="J111" s="20" t="n">
        <v>4</v>
      </c>
      <c r="K111" s="20" t="n">
        <v>0</v>
      </c>
      <c r="L111" s="20" t="n">
        <v>10</v>
      </c>
      <c r="M111" s="20" t="n">
        <v>0</v>
      </c>
      <c r="N111" s="20" t="n">
        <v>2</v>
      </c>
      <c r="O111" s="20" t="n">
        <v>1</v>
      </c>
      <c r="P111" s="20" t="n">
        <v>0</v>
      </c>
      <c r="Q111" s="20" t="n">
        <v>4</v>
      </c>
      <c r="R111" s="20" t="n">
        <v>593</v>
      </c>
      <c r="S111" s="20" t="n">
        <v>1192</v>
      </c>
      <c r="T111" s="20" t="n">
        <v>6</v>
      </c>
      <c r="U111" s="20" t="n">
        <v>0</v>
      </c>
      <c r="V111" s="20" t="n">
        <v>1198</v>
      </c>
      <c r="W111" s="20" t="n">
        <v>0</v>
      </c>
      <c r="X111" s="20">
        <f>SUM(C112:R112)-S112</f>
        <v/>
      </c>
    </row>
    <row r="112">
      <c r="A112" s="18" t="n">
        <v>107</v>
      </c>
      <c r="B112" s="27" t="inlineStr">
        <is>
          <t>NARAYAN PUR</t>
        </is>
      </c>
      <c r="C112" s="20" t="n">
        <v>129</v>
      </c>
      <c r="D112" s="20" t="n">
        <v>6</v>
      </c>
      <c r="E112" s="20" t="n">
        <v>13</v>
      </c>
      <c r="F112" s="20" t="n">
        <v>312</v>
      </c>
      <c r="G112" s="20" t="n">
        <v>4</v>
      </c>
      <c r="H112" s="20" t="n">
        <v>2</v>
      </c>
      <c r="I112" s="20" t="n">
        <v>7</v>
      </c>
      <c r="J112" s="20" t="n">
        <v>0</v>
      </c>
      <c r="K112" s="20" t="n">
        <v>4</v>
      </c>
      <c r="L112" s="20" t="n">
        <v>16</v>
      </c>
      <c r="M112" s="20" t="n">
        <v>2</v>
      </c>
      <c r="N112" s="20" t="n">
        <v>2</v>
      </c>
      <c r="O112" s="20" t="n">
        <v>2</v>
      </c>
      <c r="P112" s="20" t="n">
        <v>0</v>
      </c>
      <c r="Q112" s="20" t="n">
        <v>0</v>
      </c>
      <c r="R112" s="20" t="n">
        <v>496</v>
      </c>
      <c r="S112" s="20" t="n">
        <v>995</v>
      </c>
      <c r="T112" s="20" t="n">
        <v>3</v>
      </c>
      <c r="U112" s="20" t="n">
        <v>499</v>
      </c>
      <c r="V112" s="20" t="n">
        <v>1497</v>
      </c>
      <c r="W112" s="20" t="n">
        <v>0</v>
      </c>
      <c r="X112" s="20">
        <f>SUM(C113:R113)-S113</f>
        <v/>
      </c>
    </row>
    <row r="113">
      <c r="A113" s="18" t="n">
        <v>108</v>
      </c>
      <c r="B113" s="27" t="inlineStr">
        <is>
          <t>NAKIRA KOMMULA</t>
        </is>
      </c>
      <c r="C113" s="20" t="n">
        <v>202</v>
      </c>
      <c r="D113" s="20" t="n">
        <v>7</v>
      </c>
      <c r="E113" s="20" t="n">
        <v>4</v>
      </c>
      <c r="F113" s="20" t="n">
        <v>253</v>
      </c>
      <c r="G113" s="20" t="n">
        <v>2</v>
      </c>
      <c r="H113" s="20" t="n">
        <v>2</v>
      </c>
      <c r="I113" s="20" t="n">
        <v>6</v>
      </c>
      <c r="J113" s="20" t="n">
        <v>0</v>
      </c>
      <c r="K113" s="20" t="n">
        <v>4</v>
      </c>
      <c r="L113" s="20" t="n">
        <v>12</v>
      </c>
      <c r="M113" s="20" t="n">
        <v>2</v>
      </c>
      <c r="N113" s="20" t="n">
        <v>1</v>
      </c>
      <c r="O113" s="20" t="n">
        <v>3</v>
      </c>
      <c r="P113" s="20" t="n">
        <v>41</v>
      </c>
      <c r="Q113" s="20" t="n">
        <v>0</v>
      </c>
      <c r="R113" s="20" t="n">
        <v>496</v>
      </c>
      <c r="S113" s="20" t="n">
        <v>1035</v>
      </c>
      <c r="T113" s="20" t="n">
        <v>0</v>
      </c>
      <c r="U113" s="20" t="n">
        <v>0</v>
      </c>
      <c r="V113" s="20" t="n">
        <v>1035</v>
      </c>
      <c r="W113" s="20" t="n">
        <v>0</v>
      </c>
      <c r="X113" s="20">
        <f>SUM(C114:R114)-S114</f>
        <v/>
      </c>
    </row>
    <row r="114">
      <c r="A114" s="18" t="n">
        <v>109</v>
      </c>
      <c r="B114" s="27" t="inlineStr">
        <is>
          <t>‘SRIRAMULA PALLE</t>
        </is>
      </c>
      <c r="C114" s="20" t="n">
        <v>274</v>
      </c>
      <c r="D114" s="20" t="n">
        <v>44</v>
      </c>
      <c r="E114" s="20" t="n">
        <v>24</v>
      </c>
      <c r="F114" s="20" t="n">
        <v>328</v>
      </c>
      <c r="G114" s="20" t="n">
        <v>0</v>
      </c>
      <c r="H114" s="20" t="n">
        <v>0</v>
      </c>
      <c r="I114" s="20" t="n">
        <v>0</v>
      </c>
      <c r="J114" s="20" t="n">
        <v>4</v>
      </c>
      <c r="K114" s="20" t="n">
        <v>2</v>
      </c>
      <c r="L114" s="20" t="n">
        <v>24</v>
      </c>
      <c r="M114" s="20" t="n">
        <v>3</v>
      </c>
      <c r="N114" s="20" t="n">
        <v>1</v>
      </c>
      <c r="O114" s="20" t="n">
        <v>3</v>
      </c>
      <c r="P114" s="20" t="n">
        <v>2</v>
      </c>
      <c r="Q114" s="20" t="n">
        <v>3</v>
      </c>
      <c r="R114" s="20" t="n">
        <v>687</v>
      </c>
      <c r="S114" s="20" t="n">
        <v>1399</v>
      </c>
      <c r="T114" s="20" t="n">
        <v>417</v>
      </c>
      <c r="U114" s="20" t="n">
        <v>0</v>
      </c>
      <c r="V114" s="20" t="n">
        <v>1816</v>
      </c>
      <c r="W114" s="20" t="n">
        <v>0</v>
      </c>
      <c r="X114" s="20">
        <f>SUM(C115:R115)-S115</f>
        <v/>
      </c>
    </row>
    <row r="115">
      <c r="A115" s="18" t="n">
        <v>110</v>
      </c>
      <c r="B115" s="27" t="inlineStr">
        <is>
          <t>‘SRIRAMULA PALLE</t>
        </is>
      </c>
      <c r="C115" s="20" t="n">
        <v>102</v>
      </c>
      <c r="D115" s="20" t="n">
        <v>9</v>
      </c>
      <c r="E115" s="20" t="n">
        <v>21</v>
      </c>
      <c r="F115" s="20" t="n">
        <v>164</v>
      </c>
      <c r="G115" s="20" t="n">
        <v>3</v>
      </c>
      <c r="H115" s="20" t="n">
        <v>4</v>
      </c>
      <c r="I115" s="20" t="n">
        <v>4</v>
      </c>
      <c r="J115" s="20" t="n">
        <v>0</v>
      </c>
      <c r="K115" s="20" t="n">
        <v>0</v>
      </c>
      <c r="L115" s="20" t="n">
        <v>6</v>
      </c>
      <c r="M115" s="20" t="n">
        <v>2</v>
      </c>
      <c r="N115" s="20" t="n">
        <v>2</v>
      </c>
      <c r="O115" s="20" t="n">
        <v>5</v>
      </c>
      <c r="P115" s="20" t="n">
        <v>5</v>
      </c>
      <c r="Q115" s="20" t="n">
        <v>3</v>
      </c>
      <c r="R115" s="20" t="n">
        <v>327</v>
      </c>
      <c r="S115" s="20" t="n">
        <v>657</v>
      </c>
      <c r="T115" s="20" t="n">
        <v>0</v>
      </c>
      <c r="U115" s="20" t="n">
        <v>332</v>
      </c>
      <c r="V115" s="20" t="n">
        <v>989</v>
      </c>
      <c r="W115" s="20" t="n">
        <v>0</v>
      </c>
      <c r="X115" s="20">
        <f>SUM(C116:R116)-S116</f>
        <v/>
      </c>
    </row>
    <row r="116">
      <c r="A116" s="18" t="n">
        <v>111</v>
      </c>
      <c r="B116" s="27" t="inlineStr">
        <is>
          <t>IKACHAPUR</t>
        </is>
      </c>
      <c r="C116" s="20" t="n">
        <v>47</v>
      </c>
      <c r="D116" s="20" t="n">
        <v>46</v>
      </c>
      <c r="E116" s="20" t="n">
        <v>7</v>
      </c>
      <c r="F116" s="20" t="n">
        <v>248</v>
      </c>
      <c r="G116" s="20" t="n">
        <v>4</v>
      </c>
      <c r="H116" s="20" t="n">
        <v>4</v>
      </c>
      <c r="I116" s="20" t="n">
        <v>2</v>
      </c>
      <c r="J116" s="20" t="n">
        <v>4</v>
      </c>
      <c r="K116" s="20" t="n">
        <v>1</v>
      </c>
      <c r="L116" s="20" t="n">
        <v>8</v>
      </c>
      <c r="M116" s="20" t="n">
        <v>2</v>
      </c>
      <c r="N116" s="20" t="n">
        <v>0</v>
      </c>
      <c r="O116" s="20" t="n">
        <v>0</v>
      </c>
      <c r="P116" s="20" t="n">
        <v>0</v>
      </c>
      <c r="Q116" s="20" t="n">
        <v>0</v>
      </c>
      <c r="R116" s="20" t="n">
        <v>364</v>
      </c>
      <c r="S116" s="20" t="n">
        <v>737</v>
      </c>
      <c r="T116" s="20" t="n">
        <v>0</v>
      </c>
      <c r="U116" s="20" t="n">
        <v>369</v>
      </c>
      <c r="V116" s="20" t="n">
        <v>1106</v>
      </c>
      <c r="W116" s="20" t="n">
        <v>0</v>
      </c>
      <c r="X116" s="20">
        <f>SUM(C117:R117)-S117</f>
        <v/>
      </c>
    </row>
    <row r="117">
      <c r="A117" s="18" t="n">
        <v>112</v>
      </c>
      <c r="B117" s="27" t="inlineStr">
        <is>
          <t>EHENCHALCHERUVEA</t>
        </is>
      </c>
      <c r="C117" s="20" t="n">
        <v>158</v>
      </c>
      <c r="D117" s="20" t="n">
        <v>6</v>
      </c>
      <c r="E117" s="20" t="n">
        <v>0</v>
      </c>
      <c r="F117" s="20" t="n">
        <v>322</v>
      </c>
      <c r="G117" s="20" t="n">
        <v>2</v>
      </c>
      <c r="H117" s="20" t="n">
        <v>2</v>
      </c>
      <c r="I117" s="20" t="n">
        <v>2</v>
      </c>
      <c r="J117" s="20" t="n">
        <v>0</v>
      </c>
      <c r="K117" s="20" t="n">
        <v>0</v>
      </c>
      <c r="L117" s="20" t="n">
        <v>11</v>
      </c>
      <c r="M117" s="20" t="n">
        <v>4</v>
      </c>
      <c r="N117" s="20" t="n">
        <v>3</v>
      </c>
      <c r="O117" s="20" t="n">
        <v>0</v>
      </c>
      <c r="P117" s="20" t="n">
        <v>1</v>
      </c>
      <c r="Q117" s="20" t="n">
        <v>0</v>
      </c>
      <c r="R117" s="20" t="n">
        <v>519</v>
      </c>
      <c r="S117" s="20" t="n">
        <v>1030</v>
      </c>
      <c r="T117" s="20" t="n">
        <v>3</v>
      </c>
      <c r="U117" s="20" t="n">
        <v>22</v>
      </c>
      <c r="V117" s="20" t="n">
        <v>1055</v>
      </c>
      <c r="W117" s="20" t="n">
        <v>0</v>
      </c>
      <c r="X117" s="20">
        <f>SUM(C118:R118)-S118</f>
        <v/>
      </c>
    </row>
    <row r="118">
      <c r="A118" s="18" t="n">
        <v>113</v>
      </c>
      <c r="B118" s="27" t="inlineStr">
        <is>
          <t>CHENCHALCHERUVEA</t>
        </is>
      </c>
      <c r="C118" s="20" t="n">
        <v>0</v>
      </c>
      <c r="D118" s="20" t="n">
        <v>0</v>
      </c>
      <c r="E118" s="20" t="n">
        <v>0</v>
      </c>
      <c r="F118" s="20" t="n">
        <v>281</v>
      </c>
      <c r="G118" s="20" t="n">
        <v>4</v>
      </c>
      <c r="H118" s="20" t="n">
        <v>2</v>
      </c>
      <c r="I118" s="20" t="n">
        <v>6</v>
      </c>
      <c r="J118" s="20" t="n">
        <v>4</v>
      </c>
      <c r="K118" s="20" t="n">
        <v>4</v>
      </c>
      <c r="L118" s="20" t="n">
        <v>11</v>
      </c>
      <c r="M118" s="20" t="n">
        <v>0</v>
      </c>
      <c r="N118" s="20" t="n">
        <v>0</v>
      </c>
      <c r="O118" s="20" t="n">
        <v>2</v>
      </c>
      <c r="P118" s="20" t="n">
        <v>2</v>
      </c>
      <c r="Q118" s="20" t="n">
        <v>2</v>
      </c>
      <c r="R118" s="20" t="n">
        <v>487</v>
      </c>
      <c r="S118" s="20" t="n">
        <v>805</v>
      </c>
      <c r="T118" s="20" t="n">
        <v>1</v>
      </c>
      <c r="U118" s="20" t="n">
        <v>488</v>
      </c>
      <c r="V118" s="20" t="n">
        <v>1294</v>
      </c>
      <c r="W118" s="20" t="n">
        <v>0</v>
      </c>
      <c r="X118" s="20">
        <f>SUM(C119:R119)-S119</f>
        <v/>
      </c>
    </row>
    <row r="119">
      <c r="A119" s="18" t="n">
        <v>114</v>
      </c>
      <c r="B119" s="27" t="inlineStr">
        <is>
          <t>IBASVAPUR</t>
        </is>
      </c>
      <c r="C119" s="20" t="n">
        <v>4</v>
      </c>
      <c r="D119" s="20" t="n">
        <v>7</v>
      </c>
      <c r="E119" s="20" t="n">
        <v>4</v>
      </c>
      <c r="F119" s="20" t="n">
        <v>279</v>
      </c>
      <c r="G119" s="20" t="n">
        <v>5</v>
      </c>
      <c r="H119" s="20" t="n">
        <v>2</v>
      </c>
      <c r="I119" s="20" t="n">
        <v>0</v>
      </c>
      <c r="J119" s="20" t="n">
        <v>2</v>
      </c>
      <c r="K119" s="20" t="n">
        <v>0</v>
      </c>
      <c r="L119" s="20" t="n">
        <v>8</v>
      </c>
      <c r="M119" s="20" t="n">
        <v>3</v>
      </c>
      <c r="N119" s="20" t="n">
        <v>4</v>
      </c>
      <c r="O119" s="20" t="n">
        <v>3</v>
      </c>
      <c r="P119" s="20" t="n">
        <v>0</v>
      </c>
      <c r="Q119" s="20" t="n">
        <v>3</v>
      </c>
      <c r="R119" s="20" t="n">
        <v>406</v>
      </c>
      <c r="S119" s="20" t="n">
        <v>730</v>
      </c>
      <c r="T119" s="20" t="n">
        <v>12</v>
      </c>
      <c r="U119" s="20" t="n">
        <v>418</v>
      </c>
      <c r="V119" s="20" t="n">
        <v>1160</v>
      </c>
      <c r="W119" s="20" t="n">
        <v>0</v>
      </c>
      <c r="X119" s="20">
        <f>SUM(C120:R120)-S120</f>
        <v/>
      </c>
    </row>
    <row r="120">
      <c r="A120" s="18" t="n">
        <v>115</v>
      </c>
      <c r="B120" s="27" t="inlineStr">
        <is>
          <t>IRASVAPUR</t>
        </is>
      </c>
      <c r="C120" s="20" t="n">
        <v>80</v>
      </c>
      <c r="D120" s="20" t="n">
        <v>11</v>
      </c>
      <c r="E120" s="20" t="n">
        <v>22</v>
      </c>
      <c r="F120" s="20" t="n">
        <v>362</v>
      </c>
      <c r="G120" s="20" t="n">
        <v>4</v>
      </c>
      <c r="H120" s="20" t="n">
        <v>4</v>
      </c>
      <c r="I120" s="20" t="n">
        <v>5</v>
      </c>
      <c r="J120" s="20" t="n">
        <v>14</v>
      </c>
      <c r="K120" s="20" t="n">
        <v>0</v>
      </c>
      <c r="L120" s="20" t="n">
        <v>8</v>
      </c>
      <c r="M120" s="20" t="n">
        <v>8</v>
      </c>
      <c r="N120" s="20" t="n">
        <v>4</v>
      </c>
      <c r="O120" s="20" t="n">
        <v>4</v>
      </c>
      <c r="P120" s="20" t="n">
        <v>4</v>
      </c>
      <c r="Q120" s="20" t="n">
        <v>4</v>
      </c>
      <c r="R120" s="20" t="n">
        <v>512</v>
      </c>
      <c r="S120" s="20" t="n">
        <v>1046</v>
      </c>
      <c r="T120" s="20" t="n">
        <v>139</v>
      </c>
      <c r="U120" s="20" t="n">
        <v>0</v>
      </c>
      <c r="V120" s="20" t="n">
        <v>1185</v>
      </c>
      <c r="W120" s="20" t="n">
        <v>0</v>
      </c>
      <c r="X120" s="20">
        <f>SUM(C121:R121)-S121</f>
        <v/>
      </c>
    </row>
    <row r="121">
      <c r="A121" s="18" t="n">
        <v>116</v>
      </c>
      <c r="B121" s="27" t="inlineStr">
        <is>
          <t>IBASVAPUR</t>
        </is>
      </c>
      <c r="C121" s="20" t="n">
        <v>66</v>
      </c>
      <c r="D121" s="20" t="n">
        <v>13</v>
      </c>
      <c r="E121" s="20" t="n">
        <v>5</v>
      </c>
      <c r="F121" s="20" t="n">
        <v>472</v>
      </c>
      <c r="G121" s="20" t="n">
        <v>3</v>
      </c>
      <c r="H121" s="20" t="n">
        <v>3</v>
      </c>
      <c r="I121" s="20" t="n">
        <v>0</v>
      </c>
      <c r="J121" s="20" t="n">
        <v>14</v>
      </c>
      <c r="K121" s="20" t="n">
        <v>3</v>
      </c>
      <c r="L121" s="20" t="n">
        <v>0</v>
      </c>
      <c r="M121" s="20" t="n">
        <v>4</v>
      </c>
      <c r="N121" s="20" t="n">
        <v>0</v>
      </c>
      <c r="O121" s="20" t="n">
        <v>3</v>
      </c>
      <c r="P121" s="20" t="n">
        <v>2</v>
      </c>
      <c r="Q121" s="20" t="n">
        <v>4</v>
      </c>
      <c r="R121" s="20" t="n">
        <v>589</v>
      </c>
      <c r="S121" s="20" t="n">
        <v>1181</v>
      </c>
      <c r="T121" s="20" t="n">
        <v>8</v>
      </c>
      <c r="U121" s="20" t="n">
        <v>0</v>
      </c>
      <c r="V121" s="20" t="n">
        <v>1189</v>
      </c>
      <c r="W121" s="20" t="n">
        <v>0</v>
      </c>
      <c r="X121" s="20">
        <f>SUM(C122:R122)-S122</f>
        <v/>
      </c>
    </row>
    <row r="122">
      <c r="A122" s="18" t="n">
        <v>117</v>
      </c>
      <c r="B122" s="27" t="inlineStr">
        <is>
          <t>IRASVAPUR</t>
        </is>
      </c>
      <c r="C122" s="20" t="n">
        <v>51</v>
      </c>
      <c r="D122" s="20" t="n">
        <v>7</v>
      </c>
      <c r="E122" s="20" t="n">
        <v>9</v>
      </c>
      <c r="F122" s="20" t="n">
        <v>274</v>
      </c>
      <c r="G122" s="20" t="n">
        <v>7</v>
      </c>
      <c r="H122" s="20" t="n">
        <v>7</v>
      </c>
      <c r="I122" s="20" t="n">
        <v>10</v>
      </c>
      <c r="J122" s="20" t="n">
        <v>2</v>
      </c>
      <c r="K122" s="20" t="n">
        <v>14</v>
      </c>
      <c r="L122" s="20" t="n">
        <v>15</v>
      </c>
      <c r="M122" s="20" t="n">
        <v>4</v>
      </c>
      <c r="N122" s="20" t="n">
        <v>4</v>
      </c>
      <c r="O122" s="20" t="n">
        <v>0</v>
      </c>
      <c r="P122" s="20" t="n">
        <v>3</v>
      </c>
      <c r="Q122" s="20" t="n">
        <v>6</v>
      </c>
      <c r="R122" s="20" t="n">
        <v>402</v>
      </c>
      <c r="S122" s="20" t="n">
        <v>815</v>
      </c>
      <c r="T122" s="20" t="n">
        <v>0</v>
      </c>
      <c r="U122" s="20" t="n">
        <v>0</v>
      </c>
      <c r="V122" s="20" t="n">
        <v>815</v>
      </c>
      <c r="W122" s="20" t="n">
        <v>0</v>
      </c>
      <c r="X122" s="20">
        <f>SUM(C123:R123)-S123</f>
        <v/>
      </c>
    </row>
    <row r="123">
      <c r="A123" s="18" t="n">
        <v>118</v>
      </c>
      <c r="B123" s="27" t="inlineStr">
        <is>
          <t>JAAREPALLE</t>
        </is>
      </c>
      <c r="C123" s="20" t="n">
        <v>82</v>
      </c>
      <c r="D123" s="20" t="n">
        <v>1</v>
      </c>
      <c r="E123" s="20" t="n">
        <v>0</v>
      </c>
      <c r="F123" s="20" t="n">
        <v>338</v>
      </c>
      <c r="G123" s="20" t="n">
        <v>1</v>
      </c>
      <c r="H123" s="20" t="n">
        <v>0</v>
      </c>
      <c r="I123" s="20" t="n">
        <v>6</v>
      </c>
      <c r="J123" s="20" t="n">
        <v>14</v>
      </c>
      <c r="K123" s="20" t="n">
        <v>2</v>
      </c>
      <c r="L123" s="20" t="n">
        <v>15</v>
      </c>
      <c r="M123" s="20" t="n">
        <v>114</v>
      </c>
      <c r="N123" s="20" t="n">
        <v>4</v>
      </c>
      <c r="O123" s="20" t="n">
        <v>8</v>
      </c>
      <c r="P123" s="20" t="n">
        <v>0</v>
      </c>
      <c r="Q123" s="20" t="n">
        <v>4</v>
      </c>
      <c r="R123" s="20" t="n">
        <v>467</v>
      </c>
      <c r="S123" s="20" t="n">
        <v>1056</v>
      </c>
      <c r="T123" s="20" t="n">
        <v>8</v>
      </c>
      <c r="U123" s="20" t="n">
        <v>475</v>
      </c>
      <c r="V123" s="20" t="n">
        <v>1539</v>
      </c>
      <c r="W123" s="20" t="n">
        <v>0</v>
      </c>
      <c r="X123" s="20">
        <f>SUM(C124:R124)-S124</f>
        <v/>
      </c>
    </row>
    <row r="124">
      <c r="A124" s="18" t="n">
        <v>119</v>
      </c>
      <c r="B124" s="27" t="inlineStr">
        <is>
          <t>rr</t>
        </is>
      </c>
      <c r="C124" s="20" t="n">
        <v>0</v>
      </c>
      <c r="D124" s="20" t="n">
        <v>3</v>
      </c>
      <c r="E124" s="20" t="n">
        <v>1</v>
      </c>
      <c r="F124" s="20" t="n">
        <v>5</v>
      </c>
      <c r="G124" s="20" t="n">
        <v>6</v>
      </c>
      <c r="H124" s="20" t="n">
        <v>7</v>
      </c>
      <c r="I124" s="20" t="n">
        <v>8</v>
      </c>
      <c r="J124" s="20" t="n">
        <v>9</v>
      </c>
      <c r="K124" s="20" t="n">
        <v>10</v>
      </c>
      <c r="L124" s="20" t="n">
        <v>0</v>
      </c>
      <c r="M124" s="20" t="n">
        <v>12</v>
      </c>
      <c r="N124" s="20" t="n">
        <v>13</v>
      </c>
      <c r="O124" s="20" t="n">
        <v>14</v>
      </c>
      <c r="P124" s="20" t="n">
        <v>15</v>
      </c>
      <c r="Q124" s="20" t="n">
        <v>16</v>
      </c>
      <c r="R124" s="20" t="n">
        <v>17</v>
      </c>
      <c r="S124" s="20" t="n">
        <v>136</v>
      </c>
      <c r="T124" s="20" t="n">
        <v>19</v>
      </c>
      <c r="U124" s="20" t="n">
        <v>20</v>
      </c>
      <c r="V124" s="20" t="n">
        <v>175</v>
      </c>
      <c r="W124" s="20" t="n">
        <v>0</v>
      </c>
      <c r="X124" s="20">
        <f>SUM(C125:R125)-S125</f>
        <v/>
      </c>
    </row>
    <row r="125">
      <c r="A125" s="18" t="n">
        <v>120</v>
      </c>
      <c r="B125" s="27" t="inlineStr">
        <is>
          <t>PORFNDIPALLE</t>
        </is>
      </c>
      <c r="C125" s="20" t="n">
        <v>86</v>
      </c>
      <c r="D125" s="20" t="n">
        <v>10</v>
      </c>
      <c r="E125" s="20" t="n">
        <v>8</v>
      </c>
      <c r="F125" s="20" t="n">
        <v>321</v>
      </c>
      <c r="G125" s="20" t="n">
        <v>4</v>
      </c>
      <c r="H125" s="20" t="n">
        <v>4</v>
      </c>
      <c r="I125" s="20" t="n">
        <v>0</v>
      </c>
      <c r="J125" s="20" t="n">
        <v>2</v>
      </c>
      <c r="K125" s="20" t="n">
        <v>1</v>
      </c>
      <c r="L125" s="20" t="n">
        <v>10</v>
      </c>
      <c r="M125" s="20" t="n">
        <v>4</v>
      </c>
      <c r="N125" s="20" t="n">
        <v>41</v>
      </c>
      <c r="O125" s="20" t="n">
        <v>3</v>
      </c>
      <c r="P125" s="20" t="n">
        <v>1</v>
      </c>
      <c r="Q125" s="20" t="n">
        <v>2</v>
      </c>
      <c r="R125" s="20" t="n">
        <v>451</v>
      </c>
      <c r="S125" s="20" t="n">
        <v>948</v>
      </c>
      <c r="T125" s="20" t="n">
        <v>5</v>
      </c>
      <c r="U125" s="20" t="n">
        <v>456</v>
      </c>
      <c r="V125" s="20" t="n">
        <v>1409</v>
      </c>
      <c r="W125" s="20" t="n">
        <v>0</v>
      </c>
      <c r="X125" s="20">
        <f>SUM(C126:R126)-S126</f>
        <v/>
      </c>
    </row>
    <row r="126">
      <c r="A126" s="18" t="n">
        <v>121</v>
      </c>
      <c r="B126" s="27" t="inlineStr">
        <is>
          <t>Zilla Parishad Secondary School
(West), Samudrala</t>
        </is>
      </c>
      <c r="C126" s="20" t="n">
        <v>120</v>
      </c>
      <c r="D126" s="20" t="n">
        <v>40</v>
      </c>
      <c r="E126" s="20" t="n">
        <v>0</v>
      </c>
      <c r="F126" s="20" t="n">
        <v>287</v>
      </c>
      <c r="G126" s="20" t="n">
        <v>6</v>
      </c>
      <c r="H126" s="20" t="n">
        <v>0</v>
      </c>
      <c r="I126" s="20" t="n">
        <v>6</v>
      </c>
      <c r="J126" s="20" t="n">
        <v>0</v>
      </c>
      <c r="K126" s="20" t="n">
        <v>1</v>
      </c>
      <c r="L126" s="20" t="n">
        <v>13</v>
      </c>
      <c r="M126" s="20" t="n">
        <v>5</v>
      </c>
      <c r="N126" s="20" t="n">
        <v>0</v>
      </c>
      <c r="O126" s="20" t="n">
        <v>4</v>
      </c>
      <c r="P126" s="20" t="n">
        <v>4</v>
      </c>
      <c r="Q126" s="20" t="n">
        <v>4</v>
      </c>
      <c r="R126" s="20" t="n">
        <v>0</v>
      </c>
      <c r="S126" s="20" t="n">
        <v>490</v>
      </c>
      <c r="T126" s="20" t="n">
        <v>0</v>
      </c>
      <c r="U126" s="20" t="n">
        <v>0</v>
      </c>
      <c r="V126" s="20" t="n">
        <v>490</v>
      </c>
      <c r="W126" s="20" t="n">
        <v>0</v>
      </c>
      <c r="X126" s="20">
        <f>SUM(C127:R127)-S127</f>
        <v/>
      </c>
    </row>
    <row r="127">
      <c r="A127" s="18" t="n">
        <v>122</v>
      </c>
      <c r="B127" s="27" t="inlineStr">
        <is>
          <t>NAGASAMUDRALA</t>
        </is>
      </c>
      <c r="C127" s="20" t="n">
        <v>60</v>
      </c>
      <c r="D127" s="20" t="n">
        <v>6</v>
      </c>
      <c r="E127" s="20" t="n">
        <v>11</v>
      </c>
      <c r="F127" s="20" t="n">
        <v>322</v>
      </c>
      <c r="G127" s="20" t="n">
        <v>3</v>
      </c>
      <c r="H127" s="20" t="n">
        <v>2</v>
      </c>
      <c r="I127" s="20" t="n">
        <v>3</v>
      </c>
      <c r="J127" s="20" t="n">
        <v>41</v>
      </c>
      <c r="K127" s="20" t="n">
        <v>4</v>
      </c>
      <c r="L127" s="20" t="n">
        <v>17</v>
      </c>
      <c r="M127" s="20" t="n">
        <v>3</v>
      </c>
      <c r="N127" s="20" t="n">
        <v>0</v>
      </c>
      <c r="O127" s="20" t="n">
        <v>2</v>
      </c>
      <c r="P127" s="20" t="n">
        <v>0</v>
      </c>
      <c r="Q127" s="20" t="n">
        <v>0</v>
      </c>
      <c r="R127" s="20" t="n">
        <v>431</v>
      </c>
      <c r="S127" s="20" t="n">
        <v>905</v>
      </c>
      <c r="T127" s="20" t="n">
        <v>4</v>
      </c>
      <c r="U127" s="20" t="n">
        <v>435</v>
      </c>
      <c r="V127" s="20" t="n">
        <v>1344</v>
      </c>
      <c r="W127" s="20" t="n">
        <v>0</v>
      </c>
      <c r="X127" s="20">
        <f>SUM(C128:R128)-S128</f>
        <v/>
      </c>
    </row>
    <row r="128">
      <c r="A128" s="18" t="n">
        <v>123</v>
      </c>
      <c r="B128" s="27" t="inlineStr">
        <is>
          <t>SAMUDRALA</t>
        </is>
      </c>
      <c r="C128" s="20" t="n">
        <v>167</v>
      </c>
      <c r="D128" s="20" t="n">
        <v>7</v>
      </c>
      <c r="E128" s="20" t="n">
        <v>8</v>
      </c>
      <c r="F128" s="20" t="n">
        <v>404</v>
      </c>
      <c r="G128" s="20" t="n">
        <v>8</v>
      </c>
      <c r="H128" s="20" t="n">
        <v>4</v>
      </c>
      <c r="I128" s="20" t="n">
        <v>12</v>
      </c>
      <c r="J128" s="20" t="n">
        <v>3</v>
      </c>
      <c r="K128" s="20" t="n">
        <v>1</v>
      </c>
      <c r="L128" s="20" t="n">
        <v>31</v>
      </c>
      <c r="M128" s="20" t="n">
        <v>3</v>
      </c>
      <c r="N128" s="20" t="n">
        <v>7</v>
      </c>
      <c r="O128" s="20" t="n">
        <v>5</v>
      </c>
      <c r="P128" s="20" t="n">
        <v>6</v>
      </c>
      <c r="Q128" s="20" t="n">
        <v>0</v>
      </c>
      <c r="R128" s="20" t="n">
        <v>664</v>
      </c>
      <c r="S128" s="20" t="n">
        <v>1330</v>
      </c>
      <c r="T128" s="20" t="n">
        <v>14</v>
      </c>
      <c r="U128" s="20" t="n">
        <v>0</v>
      </c>
      <c r="V128" s="20" t="n">
        <v>1344</v>
      </c>
      <c r="W128" s="20" t="n">
        <v>0</v>
      </c>
      <c r="X128" s="20">
        <f>SUM(C129:R129)-S129</f>
        <v/>
      </c>
    </row>
    <row r="129">
      <c r="A129" s="18" t="n">
        <v>124</v>
      </c>
      <c r="B129" s="27" t="inlineStr">
        <is>
          <t>SAMUDRALA</t>
        </is>
      </c>
      <c r="C129" s="20" t="n">
        <v>106</v>
      </c>
      <c r="D129" s="20" t="n">
        <v>3</v>
      </c>
      <c r="E129" s="20" t="n">
        <v>2</v>
      </c>
      <c r="F129" s="20" t="n">
        <v>408</v>
      </c>
      <c r="G129" s="20" t="n">
        <v>6</v>
      </c>
      <c r="H129" s="20" t="n">
        <v>2</v>
      </c>
      <c r="I129" s="20" t="n">
        <v>3</v>
      </c>
      <c r="J129" s="20" t="n">
        <v>0</v>
      </c>
      <c r="K129" s="20" t="n">
        <v>1</v>
      </c>
      <c r="L129" s="20" t="n">
        <v>14</v>
      </c>
      <c r="M129" s="20" t="n">
        <v>1</v>
      </c>
      <c r="N129" s="20" t="n">
        <v>2</v>
      </c>
      <c r="O129" s="20" t="n">
        <v>6</v>
      </c>
      <c r="P129" s="20" t="n">
        <v>0</v>
      </c>
      <c r="Q129" s="20" t="n">
        <v>0</v>
      </c>
      <c r="R129" s="20" t="n">
        <v>554</v>
      </c>
      <c r="S129" s="20" t="n">
        <v>1108</v>
      </c>
      <c r="T129" s="20" t="n">
        <v>7</v>
      </c>
      <c r="U129" s="20" t="n">
        <v>0</v>
      </c>
      <c r="V129" s="20" t="n">
        <v>1115</v>
      </c>
      <c r="W129" s="20" t="n">
        <v>0</v>
      </c>
      <c r="X129" s="20">
        <f>SUM(C130:R130)-S130</f>
        <v/>
      </c>
    </row>
    <row r="130">
      <c r="A130" s="18" t="n">
        <v>125</v>
      </c>
      <c r="B130" s="27" t="inlineStr">
        <is>
          <t>SAMUDRALA,</t>
        </is>
      </c>
      <c r="C130" s="20" t="n">
        <v>141</v>
      </c>
      <c r="D130" s="20" t="n">
        <v>4</v>
      </c>
      <c r="E130" s="20" t="n">
        <v>3</v>
      </c>
      <c r="F130" s="20" t="n">
        <v>306</v>
      </c>
      <c r="G130" s="20" t="n">
        <v>0</v>
      </c>
      <c r="H130" s="20" t="n">
        <v>2</v>
      </c>
      <c r="I130" s="20" t="n">
        <v>9</v>
      </c>
      <c r="J130" s="20" t="n">
        <v>3</v>
      </c>
      <c r="K130" s="20" t="n">
        <v>2</v>
      </c>
      <c r="L130" s="20" t="n">
        <v>24</v>
      </c>
      <c r="M130" s="20" t="n">
        <v>2</v>
      </c>
      <c r="N130" s="20" t="n">
        <v>5</v>
      </c>
      <c r="O130" s="20" t="n">
        <v>8</v>
      </c>
      <c r="P130" s="20" t="n">
        <v>0</v>
      </c>
      <c r="Q130" s="20" t="n">
        <v>2</v>
      </c>
      <c r="R130" s="20" t="n">
        <v>524</v>
      </c>
      <c r="S130" s="20" t="n">
        <v>1035</v>
      </c>
      <c r="T130" s="20" t="n">
        <v>13</v>
      </c>
      <c r="U130" s="20" t="n">
        <v>0</v>
      </c>
      <c r="V130" s="20" t="n">
        <v>1048</v>
      </c>
      <c r="W130" s="20" t="n">
        <v>0</v>
      </c>
      <c r="X130" s="20">
        <f>SUM(C131:R131)-S131</f>
        <v/>
      </c>
    </row>
    <row r="131">
      <c r="A131" s="18" t="n">
        <v>126</v>
      </c>
      <c r="B131" s="27" t="inlineStr">
        <is>
          <t>MAISAMMAPAI LI</t>
        </is>
      </c>
      <c r="C131" s="20" t="n">
        <v>0</v>
      </c>
      <c r="D131" s="20" t="n">
        <v>8</v>
      </c>
      <c r="E131" s="20" t="n">
        <v>9</v>
      </c>
      <c r="F131" s="20" t="n">
        <v>372</v>
      </c>
      <c r="G131" s="20" t="n">
        <v>8</v>
      </c>
      <c r="H131" s="20" t="n">
        <v>3</v>
      </c>
      <c r="I131" s="20" t="n">
        <v>3</v>
      </c>
      <c r="J131" s="20" t="n">
        <v>2</v>
      </c>
      <c r="K131" s="20" t="n">
        <v>0</v>
      </c>
      <c r="L131" s="20" t="n">
        <v>34</v>
      </c>
      <c r="M131" s="20" t="n">
        <v>1</v>
      </c>
      <c r="N131" s="20" t="n">
        <v>0</v>
      </c>
      <c r="O131" s="20" t="n">
        <v>2</v>
      </c>
      <c r="P131" s="20" t="n">
        <v>0</v>
      </c>
      <c r="Q131" s="20" t="n">
        <v>1</v>
      </c>
      <c r="R131" s="20" t="n">
        <v>529</v>
      </c>
      <c r="S131" s="20" t="n">
        <v>972</v>
      </c>
      <c r="T131" s="20" t="n">
        <v>5</v>
      </c>
      <c r="U131" s="20" t="n">
        <v>0</v>
      </c>
      <c r="V131" s="20" t="n">
        <v>977</v>
      </c>
      <c r="W131" s="20" t="n">
        <v>0</v>
      </c>
      <c r="X131" s="20">
        <f>SUM(C132:R132)-S132</f>
        <v/>
      </c>
    </row>
    <row r="132">
      <c r="A132" s="18" t="n">
        <v>127</v>
      </c>
      <c r="B132" s="27" t="inlineStr">
        <is>
          <t>MAISAMMAPALLI</t>
        </is>
      </c>
      <c r="C132" s="20" t="n">
        <v>50</v>
      </c>
      <c r="D132" s="20" t="n">
        <v>0</v>
      </c>
      <c r="E132" s="20" t="n">
        <v>8</v>
      </c>
      <c r="F132" s="20" t="n">
        <v>213</v>
      </c>
      <c r="G132" s="20" t="n">
        <v>1</v>
      </c>
      <c r="H132" s="20" t="n">
        <v>2</v>
      </c>
      <c r="I132" s="20" t="n">
        <v>0</v>
      </c>
      <c r="J132" s="20" t="n">
        <v>0</v>
      </c>
      <c r="K132" s="20" t="n">
        <v>0</v>
      </c>
      <c r="L132" s="20" t="n">
        <v>10</v>
      </c>
      <c r="M132" s="20" t="n">
        <v>0</v>
      </c>
      <c r="N132" s="20" t="n">
        <v>0</v>
      </c>
      <c r="O132" s="20" t="n">
        <v>1</v>
      </c>
      <c r="P132" s="20" t="n">
        <v>3</v>
      </c>
      <c r="Q132" s="20" t="n">
        <v>0</v>
      </c>
      <c r="R132" s="20" t="n">
        <v>289</v>
      </c>
      <c r="S132" s="20" t="n">
        <v>577</v>
      </c>
      <c r="T132" s="20" t="n">
        <v>17</v>
      </c>
      <c r="U132" s="20" t="n">
        <v>306</v>
      </c>
      <c r="V132" s="20" t="n">
        <v>900</v>
      </c>
      <c r="W132" s="20" t="n">
        <v>0</v>
      </c>
      <c r="X132" s="20">
        <f>SUM(C133:R133)-S133</f>
        <v/>
      </c>
    </row>
    <row r="133">
      <c r="A133" s="18" t="n">
        <v>128</v>
      </c>
      <c r="B133" s="27" t="inlineStr">
        <is>
          <t>PARVEDA</t>
        </is>
      </c>
      <c r="C133" s="20" t="n">
        <v>115</v>
      </c>
      <c r="D133" s="20" t="n">
        <v>10</v>
      </c>
      <c r="E133" s="20" t="n">
        <v>32</v>
      </c>
      <c r="F133" s="20" t="n">
        <v>338</v>
      </c>
      <c r="G133" s="20" t="n">
        <v>2</v>
      </c>
      <c r="H133" s="20" t="n">
        <v>0</v>
      </c>
      <c r="I133" s="20" t="n">
        <v>5</v>
      </c>
      <c r="J133" s="20" t="n">
        <v>2</v>
      </c>
      <c r="K133" s="20" t="n">
        <v>2</v>
      </c>
      <c r="L133" s="20" t="n">
        <v>21</v>
      </c>
      <c r="M133" s="20" t="n">
        <v>6</v>
      </c>
      <c r="N133" s="20" t="n">
        <v>3</v>
      </c>
      <c r="O133" s="20" t="n">
        <v>7</v>
      </c>
      <c r="P133" s="20" t="n">
        <v>2</v>
      </c>
      <c r="Q133" s="20" t="n">
        <v>0</v>
      </c>
      <c r="R133" s="20" t="n">
        <v>547</v>
      </c>
      <c r="S133" s="20" t="n">
        <v>1092</v>
      </c>
      <c r="T133" s="20" t="n">
        <v>8</v>
      </c>
      <c r="U133" s="20" t="n">
        <v>0</v>
      </c>
      <c r="V133" s="20" t="n">
        <v>1100</v>
      </c>
      <c r="W133" s="20" t="n">
        <v>0</v>
      </c>
      <c r="X133" s="20">
        <f>SUM(C134:R134)-S134</f>
        <v/>
      </c>
    </row>
    <row r="134">
      <c r="A134" s="18" t="n">
        <v>129</v>
      </c>
      <c r="B134" s="27" t="inlineStr">
        <is>
          <t>PARVEDA</t>
        </is>
      </c>
      <c r="C134" s="20" t="n">
        <v>45</v>
      </c>
      <c r="D134" s="20" t="n">
        <v>2</v>
      </c>
      <c r="E134" s="20" t="n">
        <v>7</v>
      </c>
      <c r="F134" s="20" t="n">
        <v>150</v>
      </c>
      <c r="G134" s="20" t="n">
        <v>3</v>
      </c>
      <c r="H134" s="20" t="n">
        <v>2</v>
      </c>
      <c r="I134" s="20" t="n">
        <v>4</v>
      </c>
      <c r="J134" s="20" t="n">
        <v>2</v>
      </c>
      <c r="K134" s="20" t="n">
        <v>1</v>
      </c>
      <c r="L134" s="20" t="n">
        <v>4</v>
      </c>
      <c r="M134" s="20" t="n">
        <v>2</v>
      </c>
      <c r="N134" s="20" t="n">
        <v>1</v>
      </c>
      <c r="O134" s="20" t="n">
        <v>2</v>
      </c>
      <c r="P134" s="20" t="n">
        <v>1</v>
      </c>
      <c r="Q134" s="20" t="n">
        <v>9</v>
      </c>
      <c r="R134" s="20" t="n">
        <v>226</v>
      </c>
      <c r="S134" s="20" t="n">
        <v>461</v>
      </c>
      <c r="T134" s="20" t="n">
        <v>3</v>
      </c>
      <c r="U134" s="20" t="n">
        <v>229</v>
      </c>
      <c r="V134" s="20" t="n">
        <v>693</v>
      </c>
      <c r="W134" s="20" t="n">
        <v>0</v>
      </c>
      <c r="X134" s="20">
        <f>SUM(C135:R135)-S135</f>
        <v/>
      </c>
    </row>
    <row r="135">
      <c r="A135" s="18" t="n">
        <v>130</v>
      </c>
      <c r="B135" s="27" t="inlineStr">
        <is>
          <t>RAMANGHA</t>
        </is>
      </c>
      <c r="C135" s="20" t="n">
        <v>267</v>
      </c>
      <c r="D135" s="20" t="n">
        <v>10</v>
      </c>
      <c r="E135" s="20" t="n">
        <v>12</v>
      </c>
      <c r="F135" s="20" t="n">
        <v>333</v>
      </c>
      <c r="G135" s="20" t="n">
        <v>6</v>
      </c>
      <c r="H135" s="20" t="n">
        <v>3</v>
      </c>
      <c r="I135" s="20" t="n">
        <v>2</v>
      </c>
      <c r="J135" s="20" t="n">
        <v>0</v>
      </c>
      <c r="K135" s="20" t="n">
        <v>4</v>
      </c>
      <c r="L135" s="20" t="n">
        <v>21</v>
      </c>
      <c r="M135" s="20" t="n">
        <v>1</v>
      </c>
      <c r="N135" s="20" t="n">
        <v>0</v>
      </c>
      <c r="O135" s="20" t="n">
        <v>6</v>
      </c>
      <c r="P135" s="20" t="n">
        <v>7</v>
      </c>
      <c r="Q135" s="20" t="n">
        <v>4</v>
      </c>
      <c r="R135" s="20" t="n">
        <v>676</v>
      </c>
      <c r="S135" s="20" t="n">
        <v>1352</v>
      </c>
      <c r="T135" s="20" t="n">
        <v>10</v>
      </c>
      <c r="U135" s="20" t="n">
        <v>0</v>
      </c>
      <c r="V135" s="20" t="n">
        <v>1362</v>
      </c>
      <c r="W135" s="20" t="n">
        <v>0</v>
      </c>
      <c r="X135" s="20">
        <f>SUM(C136:R136)-S136</f>
        <v/>
      </c>
    </row>
    <row r="136">
      <c r="A136" s="18" t="n">
        <v>131</v>
      </c>
      <c r="B136" s="27" t="inlineStr">
        <is>
          <t>RAMANGHA</t>
        </is>
      </c>
      <c r="C136" s="20" t="n">
        <v>263</v>
      </c>
      <c r="D136" s="20" t="n">
        <v>8</v>
      </c>
      <c r="E136" s="20" t="n">
        <v>4</v>
      </c>
      <c r="F136" s="20" t="n">
        <v>289</v>
      </c>
      <c r="G136" s="20" t="n">
        <v>2</v>
      </c>
      <c r="H136" s="20" t="n">
        <v>2</v>
      </c>
      <c r="I136" s="20" t="n">
        <v>5</v>
      </c>
      <c r="J136" s="20" t="n">
        <v>1</v>
      </c>
      <c r="K136" s="20" t="n">
        <v>1</v>
      </c>
      <c r="L136" s="20" t="n">
        <v>7</v>
      </c>
      <c r="M136" s="20" t="n">
        <v>0</v>
      </c>
      <c r="N136" s="20" t="n">
        <v>2</v>
      </c>
      <c r="O136" s="20" t="n">
        <v>0</v>
      </c>
      <c r="P136" s="20" t="n">
        <v>41</v>
      </c>
      <c r="Q136" s="20" t="n">
        <v>0</v>
      </c>
      <c r="R136" s="20" t="n">
        <v>585</v>
      </c>
      <c r="S136" s="20" t="n">
        <v>1210</v>
      </c>
      <c r="T136" s="20" t="n">
        <v>0</v>
      </c>
      <c r="U136" s="20" t="n">
        <v>0</v>
      </c>
      <c r="V136" s="20" t="n">
        <v>1210</v>
      </c>
      <c r="W136" s="20" t="n">
        <v>0</v>
      </c>
      <c r="X136" s="20">
        <f>SUM(C137:R137)-S137</f>
        <v/>
      </c>
    </row>
    <row r="137">
      <c r="A137" s="18" t="n">
        <v>132</v>
      </c>
      <c r="B137" s="27" t="inlineStr">
        <is>
          <t>MULKANOOR</t>
        </is>
      </c>
      <c r="C137" s="20" t="n">
        <v>209</v>
      </c>
      <c r="D137" s="20" t="n">
        <v>9</v>
      </c>
      <c r="E137" s="20" t="n">
        <v>6</v>
      </c>
      <c r="F137" s="20" t="n">
        <v>670</v>
      </c>
      <c r="G137" s="20" t="n">
        <v>7</v>
      </c>
      <c r="H137" s="20" t="n">
        <v>2</v>
      </c>
      <c r="I137" s="20" t="n">
        <v>7</v>
      </c>
      <c r="J137" s="20" t="n">
        <v>0</v>
      </c>
      <c r="K137" s="20" t="n">
        <v>3</v>
      </c>
      <c r="L137" s="20" t="n">
        <v>5</v>
      </c>
      <c r="M137" s="20" t="n">
        <v>0</v>
      </c>
      <c r="N137" s="20" t="n">
        <v>2</v>
      </c>
      <c r="O137" s="20" t="n">
        <v>2</v>
      </c>
      <c r="P137" s="20" t="n">
        <v>3</v>
      </c>
      <c r="Q137" s="20" t="n">
        <v>2</v>
      </c>
      <c r="R137" s="20" t="n">
        <v>927</v>
      </c>
      <c r="S137" s="20" t="n">
        <v>1854</v>
      </c>
      <c r="T137" s="20" t="n">
        <v>14</v>
      </c>
      <c r="U137" s="20" t="n">
        <v>0</v>
      </c>
      <c r="V137" s="20" t="n">
        <v>1868</v>
      </c>
      <c r="W137" s="20" t="n">
        <v>0</v>
      </c>
      <c r="X137" s="20">
        <f>SUM(C138:R138)-S138</f>
        <v/>
      </c>
    </row>
    <row r="138">
      <c r="A138" s="18" t="n">
        <v>133</v>
      </c>
      <c r="B138" s="27" t="inlineStr">
        <is>
          <t>MUI KANOOR</t>
        </is>
      </c>
      <c r="C138" s="20" t="n">
        <v>41</v>
      </c>
      <c r="D138" s="20" t="n">
        <v>3</v>
      </c>
      <c r="E138" s="20" t="n">
        <v>5</v>
      </c>
      <c r="F138" s="20" t="n">
        <v>479</v>
      </c>
      <c r="G138" s="20" t="n">
        <v>0</v>
      </c>
      <c r="H138" s="20" t="n">
        <v>0</v>
      </c>
      <c r="I138" s="20" t="n">
        <v>1</v>
      </c>
      <c r="J138" s="20" t="n">
        <v>2</v>
      </c>
      <c r="K138" s="20" t="n">
        <v>0</v>
      </c>
      <c r="L138" s="20" t="n">
        <v>21</v>
      </c>
      <c r="M138" s="20" t="n">
        <v>4</v>
      </c>
      <c r="N138" s="20" t="n">
        <v>4</v>
      </c>
      <c r="O138" s="20" t="n">
        <v>0</v>
      </c>
      <c r="P138" s="20" t="n">
        <v>0</v>
      </c>
      <c r="Q138" s="20" t="n">
        <v>0</v>
      </c>
      <c r="R138" s="20" t="n">
        <v>583</v>
      </c>
      <c r="S138" s="20" t="n">
        <v>1143</v>
      </c>
      <c r="T138" s="20" t="n">
        <v>0</v>
      </c>
      <c r="U138" s="20" t="n">
        <v>0</v>
      </c>
      <c r="V138" s="20" t="n">
        <v>1143</v>
      </c>
      <c r="W138" s="20" t="n">
        <v>0</v>
      </c>
      <c r="X138" s="20">
        <f>SUM(C139:R139)-S139</f>
        <v/>
      </c>
    </row>
    <row r="139">
      <c r="A139" s="18" t="n">
        <v>134</v>
      </c>
      <c r="B139" s="27" t="inlineStr">
        <is>
          <t>REKONDA</t>
        </is>
      </c>
      <c r="C139" s="20" t="n">
        <v>0</v>
      </c>
      <c r="D139" s="20" t="n">
        <v>10</v>
      </c>
      <c r="E139" s="20" t="n">
        <v>3</v>
      </c>
      <c r="F139" s="20" t="n">
        <v>274</v>
      </c>
      <c r="G139" s="20" t="n">
        <v>3</v>
      </c>
      <c r="H139" s="20" t="n">
        <v>1</v>
      </c>
      <c r="I139" s="20" t="n">
        <v>0</v>
      </c>
      <c r="J139" s="20" t="n">
        <v>2</v>
      </c>
      <c r="K139" s="20" t="n">
        <v>1</v>
      </c>
      <c r="L139" s="20" t="n">
        <v>6</v>
      </c>
      <c r="M139" s="20" t="n">
        <v>1</v>
      </c>
      <c r="N139" s="20" t="n">
        <v>1</v>
      </c>
      <c r="O139" s="20" t="n">
        <v>2</v>
      </c>
      <c r="P139" s="20" t="n">
        <v>2</v>
      </c>
      <c r="Q139" s="20" t="n">
        <v>0</v>
      </c>
      <c r="R139" s="20" t="n">
        <v>541</v>
      </c>
      <c r="S139" s="20" t="n">
        <v>847</v>
      </c>
      <c r="T139" s="20" t="n">
        <v>10</v>
      </c>
      <c r="U139" s="20" t="n">
        <v>0</v>
      </c>
      <c r="V139" s="20" t="n">
        <v>857</v>
      </c>
      <c r="W139" s="20" t="n">
        <v>0</v>
      </c>
      <c r="X139" s="20">
        <f>SUM(C140:R140)-S140</f>
        <v/>
      </c>
    </row>
    <row r="140">
      <c r="A140" s="18" t="n">
        <v>135</v>
      </c>
      <c r="B140" s="27" t="inlineStr">
        <is>
          <t>RFKONDA</t>
        </is>
      </c>
      <c r="C140" s="20" t="n">
        <v>392</v>
      </c>
      <c r="D140" s="20" t="n">
        <v>17</v>
      </c>
      <c r="E140" s="20" t="n">
        <v>2</v>
      </c>
      <c r="F140" s="20" t="n">
        <v>396</v>
      </c>
      <c r="G140" s="20" t="n">
        <v>8</v>
      </c>
      <c r="H140" s="20" t="n">
        <v>3</v>
      </c>
      <c r="I140" s="20" t="n">
        <v>5</v>
      </c>
      <c r="J140" s="20" t="n">
        <v>1</v>
      </c>
      <c r="K140" s="20" t="n">
        <v>2</v>
      </c>
      <c r="L140" s="20" t="n">
        <v>14</v>
      </c>
      <c r="M140" s="20" t="n">
        <v>1</v>
      </c>
      <c r="N140" s="20" t="n">
        <v>1</v>
      </c>
      <c r="O140" s="20" t="n">
        <v>2</v>
      </c>
      <c r="P140" s="20" t="n">
        <v>4</v>
      </c>
      <c r="Q140" s="20" t="n">
        <v>1</v>
      </c>
      <c r="R140" s="20" t="n">
        <v>846</v>
      </c>
      <c r="S140" s="20" t="n">
        <v>1695</v>
      </c>
      <c r="T140" s="20" t="n">
        <v>13</v>
      </c>
      <c r="U140" s="20" t="n">
        <v>0</v>
      </c>
      <c r="V140" s="20" t="n">
        <v>1708</v>
      </c>
      <c r="W140" s="20" t="n">
        <v>0</v>
      </c>
      <c r="X140" s="20">
        <f>SUM(C141:R141)-S141</f>
        <v/>
      </c>
    </row>
    <row r="141">
      <c r="A141" s="18" t="n">
        <v>136</v>
      </c>
      <c r="B141" s="27" t="inlineStr">
        <is>
          <t>RFKONDA</t>
        </is>
      </c>
      <c r="C141" s="20" t="n">
        <v>306</v>
      </c>
      <c r="D141" s="20" t="n">
        <v>4</v>
      </c>
      <c r="E141" s="20" t="n">
        <v>8</v>
      </c>
      <c r="F141" s="20" t="n">
        <v>282</v>
      </c>
      <c r="G141" s="20" t="n">
        <v>2</v>
      </c>
      <c r="H141" s="20" t="n">
        <v>3</v>
      </c>
      <c r="I141" s="20" t="n">
        <v>6</v>
      </c>
      <c r="J141" s="20" t="n">
        <v>1</v>
      </c>
      <c r="K141" s="20" t="n">
        <v>0</v>
      </c>
      <c r="L141" s="20" t="n">
        <v>10</v>
      </c>
      <c r="M141" s="20" t="n">
        <v>0</v>
      </c>
      <c r="N141" s="20" t="n">
        <v>0</v>
      </c>
      <c r="O141" s="20" t="n">
        <v>2</v>
      </c>
      <c r="P141" s="20" t="n">
        <v>1</v>
      </c>
      <c r="Q141" s="20" t="n">
        <v>1</v>
      </c>
      <c r="R141" s="20" t="n">
        <v>626</v>
      </c>
      <c r="S141" s="20" t="n">
        <v>1252</v>
      </c>
      <c r="T141" s="20" t="n">
        <v>11</v>
      </c>
      <c r="U141" s="20" t="n">
        <v>0</v>
      </c>
      <c r="V141" s="20" t="n">
        <v>1263</v>
      </c>
      <c r="W141" s="20" t="n">
        <v>0</v>
      </c>
      <c r="X141" s="20">
        <f>SUM(C142:R142)-S142</f>
        <v/>
      </c>
    </row>
    <row r="142">
      <c r="A142" s="18" t="n">
        <v>137</v>
      </c>
      <c r="B142" s="27" t="inlineStr">
        <is>
          <t>PENNAMMAPALLI</t>
        </is>
      </c>
      <c r="C142" s="20" t="n">
        <v>394</v>
      </c>
      <c r="D142" s="20" t="n">
        <v>413</v>
      </c>
      <c r="E142" s="20" t="n">
        <v>9</v>
      </c>
      <c r="F142" s="20" t="n">
        <v>318</v>
      </c>
      <c r="G142" s="20" t="n">
        <v>1</v>
      </c>
      <c r="H142" s="20" t="n">
        <v>2</v>
      </c>
      <c r="I142" s="20" t="n">
        <v>5</v>
      </c>
      <c r="J142" s="20" t="n">
        <v>1</v>
      </c>
      <c r="K142" s="20" t="n">
        <v>0</v>
      </c>
      <c r="L142" s="20" t="n">
        <v>7</v>
      </c>
      <c r="M142" s="20" t="n">
        <v>0</v>
      </c>
      <c r="N142" s="20" t="n">
        <v>0</v>
      </c>
      <c r="O142" s="20" t="n">
        <v>4</v>
      </c>
      <c r="P142" s="20" t="n">
        <v>0</v>
      </c>
      <c r="Q142" s="20" t="n">
        <v>0</v>
      </c>
      <c r="R142" s="20" t="n">
        <v>682</v>
      </c>
      <c r="S142" s="20" t="n">
        <v>1836</v>
      </c>
      <c r="T142" s="20" t="n">
        <v>8</v>
      </c>
      <c r="U142" s="20" t="n">
        <v>0</v>
      </c>
      <c r="V142" s="20" t="n">
        <v>1844</v>
      </c>
      <c r="W142" s="20" t="n">
        <v>0</v>
      </c>
      <c r="X142" s="20">
        <f>SUM(C143:R143)-S143</f>
        <v/>
      </c>
    </row>
    <row r="143">
      <c r="A143" s="18" t="n">
        <v>138</v>
      </c>
      <c r="B143" s="27" t="inlineStr">
        <is>
          <t>PENNAMMAPALLI</t>
        </is>
      </c>
      <c r="C143" s="20" t="n">
        <v>166</v>
      </c>
      <c r="D143" s="20" t="n">
        <v>3</v>
      </c>
      <c r="E143" s="20" t="n">
        <v>3</v>
      </c>
      <c r="F143" s="20" t="n">
        <v>160</v>
      </c>
      <c r="G143" s="20" t="n">
        <v>1</v>
      </c>
      <c r="H143" s="20" t="n">
        <v>1</v>
      </c>
      <c r="I143" s="20" t="n">
        <v>4</v>
      </c>
      <c r="J143" s="20" t="n">
        <v>0</v>
      </c>
      <c r="K143" s="20" t="n">
        <v>4</v>
      </c>
      <c r="L143" s="20" t="n">
        <v>10</v>
      </c>
      <c r="M143" s="20" t="n">
        <v>1</v>
      </c>
      <c r="N143" s="20" t="n">
        <v>2</v>
      </c>
      <c r="O143" s="20" t="n">
        <v>0</v>
      </c>
      <c r="P143" s="20" t="n">
        <v>0</v>
      </c>
      <c r="Q143" s="20" t="n">
        <v>0</v>
      </c>
      <c r="R143" s="20" t="n">
        <v>352</v>
      </c>
      <c r="S143" s="20" t="n">
        <v>707</v>
      </c>
      <c r="T143" s="20" t="n">
        <v>6</v>
      </c>
      <c r="U143" s="20" t="n">
        <v>358</v>
      </c>
      <c r="V143" s="20" t="n">
        <v>1071</v>
      </c>
      <c r="W143" s="20" t="n">
        <v>0</v>
      </c>
      <c r="X143" s="20">
        <f>SUM(C144:R144)-S144</f>
        <v/>
      </c>
    </row>
    <row r="144">
      <c r="A144" s="18" t="n">
        <v>139</v>
      </c>
      <c r="B144" s="27" t="inlineStr">
        <is>
          <t>CHIGURUMAMIDI</t>
        </is>
      </c>
      <c r="C144" s="20" t="n">
        <v>276</v>
      </c>
      <c r="D144" s="20" t="n">
        <v>11</v>
      </c>
      <c r="E144" s="20" t="n">
        <v>6</v>
      </c>
      <c r="F144" s="20" t="n">
        <v>373</v>
      </c>
      <c r="G144" s="20" t="n">
        <v>5</v>
      </c>
      <c r="H144" s="20" t="n">
        <v>2</v>
      </c>
      <c r="I144" s="20" t="n">
        <v>4</v>
      </c>
      <c r="J144" s="20" t="n">
        <v>4</v>
      </c>
      <c r="K144" s="20" t="n">
        <v>0</v>
      </c>
      <c r="L144" s="20" t="n">
        <v>13</v>
      </c>
      <c r="M144" s="20" t="n">
        <v>2</v>
      </c>
      <c r="N144" s="20" t="n">
        <v>1</v>
      </c>
      <c r="O144" s="20" t="n">
        <v>4</v>
      </c>
      <c r="P144" s="20" t="n">
        <v>34</v>
      </c>
      <c r="Q144" s="20" t="n">
        <v>4</v>
      </c>
      <c r="R144" s="20" t="n">
        <v>727</v>
      </c>
      <c r="S144" s="20" t="n">
        <v>1466</v>
      </c>
      <c r="T144" s="20" t="n">
        <v>17</v>
      </c>
      <c r="U144" s="20" t="n">
        <v>0</v>
      </c>
      <c r="V144" s="20" t="n">
        <v>1483</v>
      </c>
      <c r="W144" s="20" t="n">
        <v>0</v>
      </c>
      <c r="X144" s="20">
        <f>SUM(C145:R145)-S145</f>
        <v/>
      </c>
    </row>
    <row r="145">
      <c r="A145" s="18" t="n">
        <v>140</v>
      </c>
      <c r="B145" s="27" t="inlineStr">
        <is>
          <t>CHIGURUMAMIDI</t>
        </is>
      </c>
      <c r="C145" s="20" t="n">
        <v>211</v>
      </c>
      <c r="D145" s="20" t="n">
        <v>9</v>
      </c>
      <c r="E145" s="20" t="n">
        <v>10</v>
      </c>
      <c r="F145" s="20" t="n">
        <v>339</v>
      </c>
      <c r="G145" s="20" t="n">
        <v>2</v>
      </c>
      <c r="H145" s="20" t="n">
        <v>0</v>
      </c>
      <c r="I145" s="20" t="n">
        <v>4</v>
      </c>
      <c r="J145" s="20" t="n">
        <v>0</v>
      </c>
      <c r="K145" s="20" t="n">
        <v>14</v>
      </c>
      <c r="L145" s="20" t="n">
        <v>14</v>
      </c>
      <c r="M145" s="20" t="n">
        <v>4</v>
      </c>
      <c r="N145" s="20" t="n">
        <v>0</v>
      </c>
      <c r="O145" s="20" t="n">
        <v>2</v>
      </c>
      <c r="P145" s="20" t="n">
        <v>20</v>
      </c>
      <c r="Q145" s="20" t="n">
        <v>2</v>
      </c>
      <c r="R145" s="20" t="n">
        <v>612</v>
      </c>
      <c r="S145" s="20" t="n">
        <v>1243</v>
      </c>
      <c r="T145" s="20" t="n">
        <v>14</v>
      </c>
      <c r="U145" s="20" t="n">
        <v>0</v>
      </c>
      <c r="V145" s="20" t="n">
        <v>1257</v>
      </c>
      <c r="W145" s="20" t="n">
        <v>0</v>
      </c>
      <c r="X145" s="20">
        <f>SUM(C146:R146)-S146</f>
        <v/>
      </c>
    </row>
    <row r="146">
      <c r="A146" s="18" t="n">
        <v>141</v>
      </c>
      <c r="B146" s="27" t="inlineStr">
        <is>
          <t>CHIGURUMAMIDI</t>
        </is>
      </c>
      <c r="C146" s="20" t="n">
        <v>341</v>
      </c>
      <c r="D146" s="20" t="n">
        <v>5</v>
      </c>
      <c r="E146" s="20" t="n">
        <v>21</v>
      </c>
      <c r="F146" s="20" t="n">
        <v>435</v>
      </c>
      <c r="G146" s="20" t="n">
        <v>6</v>
      </c>
      <c r="H146" s="20" t="n">
        <v>6</v>
      </c>
      <c r="I146" s="20" t="n">
        <v>4</v>
      </c>
      <c r="J146" s="20" t="n">
        <v>4</v>
      </c>
      <c r="K146" s="20" t="n">
        <v>3</v>
      </c>
      <c r="L146" s="20" t="n">
        <v>15</v>
      </c>
      <c r="M146" s="20" t="n">
        <v>2</v>
      </c>
      <c r="N146" s="20" t="n">
        <v>4</v>
      </c>
      <c r="O146" s="20" t="n">
        <v>4</v>
      </c>
      <c r="P146" s="20" t="n">
        <v>45</v>
      </c>
      <c r="Q146" s="20" t="n">
        <v>4</v>
      </c>
      <c r="R146" s="20" t="n">
        <v>900</v>
      </c>
      <c r="S146" s="20" t="n">
        <v>1799</v>
      </c>
      <c r="T146" s="20" t="n">
        <v>16</v>
      </c>
      <c r="U146" s="20" t="n">
        <v>0</v>
      </c>
      <c r="V146" s="20" t="n">
        <v>1815</v>
      </c>
      <c r="W146" s="20" t="n">
        <v>0</v>
      </c>
      <c r="X146" s="20">
        <f>SUM(C147:R147)-S147</f>
        <v/>
      </c>
    </row>
    <row r="147">
      <c r="A147" s="18" t="n">
        <v>142</v>
      </c>
      <c r="B147" s="27" t="inlineStr">
        <is>
          <t>CHIGURUMAMIDI</t>
        </is>
      </c>
      <c r="C147" s="20" t="n">
        <v>99</v>
      </c>
      <c r="D147" s="20" t="n">
        <v>5</v>
      </c>
      <c r="E147" s="20" t="n">
        <v>5</v>
      </c>
      <c r="F147" s="20" t="n">
        <v>221</v>
      </c>
      <c r="G147" s="20" t="n">
        <v>4</v>
      </c>
      <c r="H147" s="20" t="n">
        <v>2</v>
      </c>
      <c r="I147" s="20" t="n">
        <v>2</v>
      </c>
      <c r="J147" s="20" t="n">
        <v>0</v>
      </c>
      <c r="K147" s="20" t="n">
        <v>14</v>
      </c>
      <c r="L147" s="20" t="n">
        <v>7</v>
      </c>
      <c r="M147" s="20" t="n">
        <v>0</v>
      </c>
      <c r="N147" s="20" t="n">
        <v>4</v>
      </c>
      <c r="O147" s="20" t="n">
        <v>0</v>
      </c>
      <c r="P147" s="20" t="n">
        <v>2</v>
      </c>
      <c r="Q147" s="20" t="n">
        <v>0</v>
      </c>
      <c r="R147" s="20" t="n">
        <v>346</v>
      </c>
      <c r="S147" s="20" t="n">
        <v>711</v>
      </c>
      <c r="T147" s="20" t="n">
        <v>6</v>
      </c>
      <c r="U147" s="20" t="n">
        <v>352</v>
      </c>
      <c r="V147" s="20" t="n">
        <v>1069</v>
      </c>
      <c r="W147" s="20" t="n">
        <v>0</v>
      </c>
      <c r="X147" s="20">
        <f>SUM(C148:R148)-S148</f>
        <v/>
      </c>
    </row>
    <row r="148">
      <c r="A148" s="18" t="n">
        <v>143</v>
      </c>
      <c r="B148" s="27" t="inlineStr">
        <is>
          <t>PFFCHUPAI</t>
        </is>
      </c>
      <c r="C148" s="20" t="n">
        <v>165</v>
      </c>
      <c r="D148" s="20" t="n">
        <v>7</v>
      </c>
      <c r="E148" s="20" t="n">
        <v>2</v>
      </c>
      <c r="F148" s="20" t="n">
        <v>255</v>
      </c>
      <c r="G148" s="20" t="n">
        <v>4</v>
      </c>
      <c r="H148" s="20" t="n">
        <v>0</v>
      </c>
      <c r="I148" s="20" t="n">
        <v>4</v>
      </c>
      <c r="J148" s="20" t="n">
        <v>0</v>
      </c>
      <c r="K148" s="20" t="n">
        <v>0</v>
      </c>
      <c r="L148" s="20" t="n">
        <v>0</v>
      </c>
      <c r="M148" s="20" t="n">
        <v>0</v>
      </c>
      <c r="N148" s="20" t="n">
        <v>4</v>
      </c>
      <c r="O148" s="20" t="n">
        <v>2</v>
      </c>
      <c r="P148" s="20" t="n">
        <v>3</v>
      </c>
      <c r="Q148" s="20" t="n">
        <v>4</v>
      </c>
      <c r="R148" s="20" t="n">
        <v>450</v>
      </c>
      <c r="S148" s="20" t="n">
        <v>900</v>
      </c>
      <c r="T148" s="20" t="n">
        <v>0</v>
      </c>
      <c r="U148" s="20" t="n">
        <v>456</v>
      </c>
      <c r="V148" s="20" t="n">
        <v>1356</v>
      </c>
      <c r="W148" s="20" t="n">
        <v>0</v>
      </c>
      <c r="X148" s="20">
        <f>SUM(C149:R149)-S149</f>
        <v/>
      </c>
    </row>
    <row r="149">
      <c r="A149" s="18" t="n">
        <v>144</v>
      </c>
      <c r="B149" s="27" t="inlineStr">
        <is>
          <t>TAMRAMIPAIIT</t>
        </is>
      </c>
      <c r="C149" s="20" t="n">
        <v>328</v>
      </c>
      <c r="D149" s="20" t="n">
        <v>37</v>
      </c>
      <c r="E149" s="20" t="n">
        <v>6</v>
      </c>
      <c r="F149" s="20" t="n">
        <v>284</v>
      </c>
      <c r="G149" s="20" t="n">
        <v>3</v>
      </c>
      <c r="H149" s="20" t="n">
        <v>2</v>
      </c>
      <c r="I149" s="20" t="n">
        <v>6</v>
      </c>
      <c r="J149" s="20" t="n">
        <v>0</v>
      </c>
      <c r="K149" s="20" t="n">
        <v>3</v>
      </c>
      <c r="L149" s="20" t="n">
        <v>14</v>
      </c>
      <c r="M149" s="20" t="n">
        <v>13</v>
      </c>
      <c r="N149" s="20" t="n">
        <v>2</v>
      </c>
      <c r="O149" s="20" t="n">
        <v>5</v>
      </c>
      <c r="P149" s="20" t="n">
        <v>8</v>
      </c>
      <c r="Q149" s="20" t="n">
        <v>3</v>
      </c>
      <c r="R149" s="20" t="n">
        <v>704</v>
      </c>
      <c r="S149" s="20" t="n">
        <v>1418</v>
      </c>
      <c r="T149" s="20" t="n">
        <v>0</v>
      </c>
      <c r="U149" s="20" t="n">
        <v>0</v>
      </c>
      <c r="V149" s="20" t="n">
        <v>1418</v>
      </c>
      <c r="W149" s="20" t="n">
        <v>0</v>
      </c>
      <c r="X149" s="20">
        <f>SUM(C150:R150)-S150</f>
        <v/>
      </c>
    </row>
    <row r="150">
      <c r="A150" s="18" t="n">
        <v>145</v>
      </c>
      <c r="B150" s="27" t="inlineStr">
        <is>
          <t>SFFTHARAMPUR</t>
        </is>
      </c>
      <c r="C150" s="20" t="n">
        <v>322</v>
      </c>
      <c r="D150" s="20" t="n">
        <v>42</v>
      </c>
      <c r="E150" s="20" t="n">
        <v>6</v>
      </c>
      <c r="F150" s="20" t="n">
        <v>375</v>
      </c>
      <c r="G150" s="20" t="n">
        <v>7</v>
      </c>
      <c r="H150" s="20" t="n">
        <v>2</v>
      </c>
      <c r="I150" s="20" t="n">
        <v>8</v>
      </c>
      <c r="J150" s="20" t="n">
        <v>14</v>
      </c>
      <c r="K150" s="20" t="n">
        <v>141</v>
      </c>
      <c r="L150" s="20" t="n">
        <v>18</v>
      </c>
      <c r="M150" s="20" t="n">
        <v>11</v>
      </c>
      <c r="N150" s="20" t="n">
        <v>3</v>
      </c>
      <c r="O150" s="20" t="n">
        <v>2</v>
      </c>
      <c r="P150" s="20" t="n">
        <v>0</v>
      </c>
      <c r="Q150" s="20" t="n">
        <v>0</v>
      </c>
      <c r="R150" s="20" t="n">
        <v>766</v>
      </c>
      <c r="S150" s="20" t="n">
        <v>1717</v>
      </c>
      <c r="T150" s="20" t="n">
        <v>0</v>
      </c>
      <c r="U150" s="20" t="n">
        <v>3</v>
      </c>
      <c r="V150" s="20" t="n">
        <v>1720</v>
      </c>
      <c r="W150" s="20" t="n">
        <v>0</v>
      </c>
      <c r="X150" s="20">
        <f>SUM(C151:R151)-S151</f>
        <v/>
      </c>
    </row>
    <row r="151">
      <c r="A151" s="18" t="n">
        <v>146</v>
      </c>
      <c r="B151" s="27" t="inlineStr">
        <is>
          <t>INA IMIMANIKYAM</t>
        </is>
      </c>
      <c r="C151" s="20" t="n">
        <v>194</v>
      </c>
      <c r="D151" s="20" t="n">
        <v>34</v>
      </c>
      <c r="E151" s="20" t="n">
        <v>6</v>
      </c>
      <c r="F151" s="20" t="n">
        <v>351</v>
      </c>
      <c r="G151" s="20" t="n">
        <v>2</v>
      </c>
      <c r="H151" s="20" t="n">
        <v>14</v>
      </c>
      <c r="I151" s="20" t="n">
        <v>13</v>
      </c>
      <c r="J151" s="20" t="n">
        <v>14</v>
      </c>
      <c r="K151" s="20" t="n">
        <v>0</v>
      </c>
      <c r="L151" s="20" t="n">
        <v>117</v>
      </c>
      <c r="M151" s="20" t="n">
        <v>0</v>
      </c>
      <c r="N151" s="20" t="n">
        <v>0</v>
      </c>
      <c r="O151" s="20" t="n">
        <v>1</v>
      </c>
      <c r="P151" s="20" t="n">
        <v>0</v>
      </c>
      <c r="Q151" s="20" t="n">
        <v>0</v>
      </c>
      <c r="R151" s="20" t="n">
        <v>541</v>
      </c>
      <c r="S151" s="20" t="n">
        <v>1287</v>
      </c>
      <c r="T151" s="20" t="n">
        <v>0</v>
      </c>
      <c r="U151" s="20" t="n">
        <v>0</v>
      </c>
      <c r="V151" s="20" t="n">
        <v>1287</v>
      </c>
      <c r="W151" s="20" t="n">
        <v>0</v>
      </c>
      <c r="X151" s="20">
        <f>SUM(C152:R152)-S152</f>
        <v/>
      </c>
    </row>
    <row r="152">
      <c r="A152" s="18" t="n">
        <v>147</v>
      </c>
      <c r="B152" s="27" t="inlineStr">
        <is>
          <t>nar IMIMAANIKVAM</t>
        </is>
      </c>
      <c r="C152" s="20" t="n">
        <v>196</v>
      </c>
      <c r="D152" s="20" t="n">
        <v>42</v>
      </c>
      <c r="E152" s="20" t="n">
        <v>26</v>
      </c>
      <c r="F152" s="20" t="n">
        <v>385</v>
      </c>
      <c r="G152" s="20" t="n">
        <v>4</v>
      </c>
      <c r="H152" s="20" t="n">
        <v>0</v>
      </c>
      <c r="I152" s="20" t="n">
        <v>9</v>
      </c>
      <c r="J152" s="20" t="n">
        <v>14</v>
      </c>
      <c r="K152" s="20" t="n">
        <v>2</v>
      </c>
      <c r="L152" s="20" t="n">
        <v>10</v>
      </c>
      <c r="M152" s="20" t="n">
        <v>0</v>
      </c>
      <c r="N152" s="20" t="n">
        <v>13</v>
      </c>
      <c r="O152" s="20" t="n">
        <v>7</v>
      </c>
      <c r="P152" s="20" t="n">
        <v>1</v>
      </c>
      <c r="Q152" s="20" t="n">
        <v>4</v>
      </c>
      <c r="R152" s="20" t="n">
        <v>620</v>
      </c>
      <c r="S152" s="20" t="n">
        <v>1333</v>
      </c>
      <c r="T152" s="20" t="n">
        <v>0</v>
      </c>
      <c r="U152" s="20" t="n">
        <v>0</v>
      </c>
      <c r="V152" s="20" t="n">
        <v>1333</v>
      </c>
      <c r="W152" s="20" t="n">
        <v>0</v>
      </c>
      <c r="X152" s="20">
        <f>SUM(C153:R153)-S153</f>
        <v/>
      </c>
    </row>
    <row r="153">
      <c r="A153" s="18" t="n">
        <v>148</v>
      </c>
      <c r="B153" s="27" t="inlineStr">
        <is>
          <t>INMURTHI</t>
        </is>
      </c>
      <c r="C153" s="20" t="n">
        <v>174</v>
      </c>
      <c r="D153" s="20" t="n">
        <v>26</v>
      </c>
      <c r="E153" s="20" t="n">
        <v>9</v>
      </c>
      <c r="F153" s="20" t="n">
        <v>461</v>
      </c>
      <c r="G153" s="20" t="n">
        <v>3</v>
      </c>
      <c r="H153" s="20" t="n">
        <v>0</v>
      </c>
      <c r="I153" s="20" t="n">
        <v>8</v>
      </c>
      <c r="J153" s="20" t="n">
        <v>4</v>
      </c>
      <c r="K153" s="20" t="n">
        <v>14</v>
      </c>
      <c r="L153" s="20" t="n">
        <v>22</v>
      </c>
      <c r="M153" s="20" t="n">
        <v>2</v>
      </c>
      <c r="N153" s="20" t="n">
        <v>13</v>
      </c>
      <c r="O153" s="20" t="n">
        <v>14</v>
      </c>
      <c r="P153" s="20" t="n">
        <v>1</v>
      </c>
      <c r="Q153" s="20" t="n">
        <v>0</v>
      </c>
      <c r="R153" s="20" t="n">
        <v>720</v>
      </c>
      <c r="S153" s="20" t="n">
        <v>1471</v>
      </c>
      <c r="T153" s="20" t="n">
        <v>0</v>
      </c>
      <c r="U153" s="20" t="n">
        <v>129</v>
      </c>
      <c r="V153" s="20" t="n">
        <v>1600</v>
      </c>
      <c r="W153" s="20" t="n">
        <v>0</v>
      </c>
      <c r="X153" s="20">
        <f>SUM(C154:R154)-S154</f>
        <v/>
      </c>
    </row>
    <row r="154">
      <c r="A154" s="18" t="n">
        <v>149</v>
      </c>
      <c r="B154" s="27" t="inlineStr">
        <is>
          <t>INMTIRTHI</t>
        </is>
      </c>
      <c r="C154" s="20" t="n">
        <v>453</v>
      </c>
      <c r="D154" s="20" t="n">
        <v>23</v>
      </c>
      <c r="E154" s="20" t="n">
        <v>6</v>
      </c>
      <c r="F154" s="20" t="n">
        <v>375</v>
      </c>
      <c r="G154" s="20" t="n">
        <v>4</v>
      </c>
      <c r="H154" s="20" t="n">
        <v>0</v>
      </c>
      <c r="I154" s="20" t="n">
        <v>14</v>
      </c>
      <c r="J154" s="20" t="n">
        <v>2</v>
      </c>
      <c r="K154" s="20" t="n">
        <v>0</v>
      </c>
      <c r="L154" s="20" t="n">
        <v>10</v>
      </c>
      <c r="M154" s="20" t="n">
        <v>0</v>
      </c>
      <c r="N154" s="20" t="n">
        <v>10</v>
      </c>
      <c r="O154" s="20" t="n">
        <v>3</v>
      </c>
      <c r="P154" s="20" t="n">
        <v>2</v>
      </c>
      <c r="Q154" s="20" t="n">
        <v>0</v>
      </c>
      <c r="R154" s="20" t="n">
        <v>580</v>
      </c>
      <c r="S154" s="20" t="n">
        <v>1482</v>
      </c>
      <c r="T154" s="20" t="n">
        <v>0</v>
      </c>
      <c r="U154" s="20" t="n">
        <v>0</v>
      </c>
      <c r="V154" s="20" t="n">
        <v>1482</v>
      </c>
      <c r="W154" s="20" t="n">
        <v>0</v>
      </c>
      <c r="X154" s="20">
        <f>SUM(C155:R155)-S155</f>
        <v/>
      </c>
    </row>
    <row r="155">
      <c r="A155" s="18" t="n">
        <v>150</v>
      </c>
      <c r="B155" s="27" t="inlineStr">
        <is>
          <t>fNNTIRTHT</t>
        </is>
      </c>
      <c r="C155" s="20" t="n">
        <v>434</v>
      </c>
      <c r="D155" s="20" t="n">
        <v>0</v>
      </c>
      <c r="E155" s="20" t="n">
        <v>3</v>
      </c>
      <c r="F155" s="20" t="n">
        <v>268</v>
      </c>
      <c r="G155" s="20" t="n">
        <v>2</v>
      </c>
      <c r="H155" s="20" t="n">
        <v>4</v>
      </c>
      <c r="I155" s="20" t="n">
        <v>14</v>
      </c>
      <c r="J155" s="20" t="n">
        <v>0</v>
      </c>
      <c r="K155" s="20" t="n">
        <v>0</v>
      </c>
      <c r="L155" s="20" t="n">
        <v>16</v>
      </c>
      <c r="M155" s="20" t="n">
        <v>0</v>
      </c>
      <c r="N155" s="20" t="n">
        <v>0</v>
      </c>
      <c r="O155" s="20" t="n">
        <v>14</v>
      </c>
      <c r="P155" s="20" t="n">
        <v>1</v>
      </c>
      <c r="Q155" s="20" t="n">
        <v>2</v>
      </c>
      <c r="R155" s="20" t="n">
        <v>428</v>
      </c>
      <c r="S155" s="20" t="n">
        <v>1186</v>
      </c>
      <c r="T155" s="20" t="n">
        <v>0</v>
      </c>
      <c r="U155" s="20" t="n">
        <v>434</v>
      </c>
      <c r="V155" s="20" t="n">
        <v>1620</v>
      </c>
      <c r="W155" s="20" t="n">
        <v>0</v>
      </c>
      <c r="X155" s="20">
        <f>SUM(C156:R156)-S156</f>
        <v/>
      </c>
    </row>
    <row r="156">
      <c r="A156" s="18" t="n">
        <v>151</v>
      </c>
      <c r="B156" s="27" t="inlineStr">
        <is>
          <t>iNMIRTHI</t>
        </is>
      </c>
      <c r="C156" s="20" t="n">
        <v>19</v>
      </c>
      <c r="D156" s="20" t="n">
        <v>0</v>
      </c>
      <c r="E156" s="20" t="n">
        <v>13</v>
      </c>
      <c r="F156" s="20" t="n">
        <v>207</v>
      </c>
      <c r="G156" s="20" t="n">
        <v>2</v>
      </c>
      <c r="H156" s="20" t="n">
        <v>3</v>
      </c>
      <c r="I156" s="20" t="n">
        <v>0</v>
      </c>
      <c r="J156" s="20" t="n">
        <v>14</v>
      </c>
      <c r="K156" s="20" t="n">
        <v>0</v>
      </c>
      <c r="L156" s="20" t="n">
        <v>17</v>
      </c>
      <c r="M156" s="20" t="n">
        <v>14</v>
      </c>
      <c r="N156" s="20" t="n">
        <v>2</v>
      </c>
      <c r="O156" s="20" t="n">
        <v>2</v>
      </c>
      <c r="P156" s="20" t="n">
        <v>5</v>
      </c>
      <c r="Q156" s="20" t="n">
        <v>3</v>
      </c>
      <c r="R156" s="20" t="n">
        <v>573</v>
      </c>
      <c r="S156" s="20" t="n">
        <v>874</v>
      </c>
      <c r="T156" s="20" t="n">
        <v>0</v>
      </c>
      <c r="U156" s="20" t="n">
        <v>0</v>
      </c>
      <c r="V156" s="20" t="n">
        <v>874</v>
      </c>
      <c r="W156" s="20" t="n">
        <v>0</v>
      </c>
      <c r="X156" s="20">
        <f>SUM(C157:R157)-S157</f>
        <v/>
      </c>
    </row>
    <row r="157">
      <c r="A157" s="18" t="n">
        <v>152</v>
      </c>
      <c r="B157" s="27" t="inlineStr">
        <is>
          <t>INMUIRTHI</t>
        </is>
      </c>
      <c r="C157" s="20" t="n">
        <v>155</v>
      </c>
      <c r="D157" s="20" t="n">
        <v>8</v>
      </c>
      <c r="E157" s="20" t="n">
        <v>7</v>
      </c>
      <c r="F157" s="20" t="n">
        <v>231</v>
      </c>
      <c r="G157" s="20" t="n">
        <v>4</v>
      </c>
      <c r="H157" s="20" t="n">
        <v>2</v>
      </c>
      <c r="I157" s="20" t="n">
        <v>12</v>
      </c>
      <c r="J157" s="20" t="n">
        <v>14</v>
      </c>
      <c r="K157" s="20" t="n">
        <v>0</v>
      </c>
      <c r="L157" s="20" t="n">
        <v>19</v>
      </c>
      <c r="M157" s="20" t="n">
        <v>2</v>
      </c>
      <c r="N157" s="20" t="n">
        <v>20</v>
      </c>
      <c r="O157" s="20" t="n">
        <v>2</v>
      </c>
      <c r="P157" s="20" t="n">
        <v>5</v>
      </c>
      <c r="Q157" s="20" t="n">
        <v>2</v>
      </c>
      <c r="R157" s="20" t="n">
        <v>445</v>
      </c>
      <c r="S157" s="20" t="n">
        <v>928</v>
      </c>
      <c r="T157" s="20" t="n">
        <v>0</v>
      </c>
      <c r="U157" s="20" t="n">
        <v>448</v>
      </c>
      <c r="V157" s="20" t="n">
        <v>1376</v>
      </c>
      <c r="W157" s="20" t="n">
        <v>0</v>
      </c>
      <c r="X157" s="20">
        <f>SUM(C158:R158)-S158</f>
        <v/>
      </c>
    </row>
    <row r="158">
      <c r="A158" s="18" t="n">
        <v>153</v>
      </c>
      <c r="B158" s="27" t="inlineStr">
        <is>
          <t>@AGIRFNNYPAI IT</t>
        </is>
      </c>
      <c r="C158" s="20" t="n">
        <v>348</v>
      </c>
      <c r="D158" s="20" t="n">
        <v>12</v>
      </c>
      <c r="E158" s="20" t="n">
        <v>3</v>
      </c>
      <c r="F158" s="20" t="n">
        <v>541</v>
      </c>
      <c r="G158" s="20" t="n">
        <v>0</v>
      </c>
      <c r="H158" s="20" t="n">
        <v>19</v>
      </c>
      <c r="I158" s="20" t="n">
        <v>18</v>
      </c>
      <c r="J158" s="20" t="n">
        <v>14</v>
      </c>
      <c r="K158" s="20" t="n">
        <v>3</v>
      </c>
      <c r="L158" s="20" t="n">
        <v>20</v>
      </c>
      <c r="M158" s="20" t="n">
        <v>2</v>
      </c>
      <c r="N158" s="20" t="n">
        <v>14</v>
      </c>
      <c r="O158" s="20" t="n">
        <v>2</v>
      </c>
      <c r="P158" s="20" t="n">
        <v>0</v>
      </c>
      <c r="Q158" s="20" t="n">
        <v>6</v>
      </c>
      <c r="R158" s="20" t="n">
        <v>971</v>
      </c>
      <c r="S158" s="20" t="n">
        <v>1973</v>
      </c>
      <c r="T158" s="20" t="n">
        <v>20</v>
      </c>
      <c r="U158" s="20" t="n">
        <v>0</v>
      </c>
      <c r="V158" s="20" t="n">
        <v>1993</v>
      </c>
      <c r="W158" s="20" t="n">
        <v>0</v>
      </c>
      <c r="X158" s="20">
        <f>SUM(C159:R159)-S159</f>
        <v/>
      </c>
    </row>
    <row r="159">
      <c r="A159" s="18" t="n">
        <v>154</v>
      </c>
      <c r="B159" s="27" t="inlineStr">
        <is>
          <t>Zill Parishad Secondery School,
Bommanapally New Building (Narth wing)
6th</t>
        </is>
      </c>
      <c r="C159" s="20" t="n">
        <v>2</v>
      </c>
      <c r="D159" s="20" t="n">
        <v>3</v>
      </c>
      <c r="E159" s="20" t="n">
        <v>4</v>
      </c>
      <c r="F159" s="20" t="n">
        <v>5</v>
      </c>
      <c r="G159" s="20" t="n">
        <v>6</v>
      </c>
      <c r="H159" s="20" t="n">
        <v>7</v>
      </c>
      <c r="I159" s="20" t="n">
        <v>8</v>
      </c>
      <c r="J159" s="20" t="n">
        <v>9</v>
      </c>
      <c r="K159" s="20" t="n">
        <v>10</v>
      </c>
      <c r="L159" s="20" t="n">
        <v>11</v>
      </c>
      <c r="M159" s="20" t="n">
        <v>12</v>
      </c>
      <c r="N159" s="20" t="n">
        <v>13</v>
      </c>
      <c r="O159" s="20" t="n">
        <v>14</v>
      </c>
      <c r="P159" s="20" t="n">
        <v>15</v>
      </c>
      <c r="Q159" s="20" t="n">
        <v>16</v>
      </c>
      <c r="R159" s="20" t="n">
        <v>17</v>
      </c>
      <c r="S159" s="20" t="n">
        <v>152</v>
      </c>
      <c r="T159" s="20" t="n">
        <v>19</v>
      </c>
      <c r="U159" s="20" t="n">
        <v>20</v>
      </c>
      <c r="V159" s="20" t="n">
        <v>191</v>
      </c>
      <c r="W159" s="20" t="n">
        <v>0</v>
      </c>
      <c r="X159" s="20">
        <f>SUM(C160:R160)-S160</f>
        <v/>
      </c>
    </row>
    <row r="160">
      <c r="A160" s="18" t="n">
        <v>155</v>
      </c>
      <c r="B160" s="27" t="inlineStr">
        <is>
          <t>OGULAPUR</t>
        </is>
      </c>
      <c r="C160" s="20" t="n">
        <v>353</v>
      </c>
      <c r="D160" s="20" t="n">
        <v>14</v>
      </c>
      <c r="E160" s="20" t="n">
        <v>3</v>
      </c>
      <c r="F160" s="20" t="n">
        <v>64</v>
      </c>
      <c r="G160" s="20" t="n">
        <v>0</v>
      </c>
      <c r="H160" s="20" t="n">
        <v>1</v>
      </c>
      <c r="I160" s="20" t="n">
        <v>6</v>
      </c>
      <c r="J160" s="20" t="n">
        <v>2</v>
      </c>
      <c r="K160" s="20" t="n">
        <v>3</v>
      </c>
      <c r="L160" s="20" t="n">
        <v>11</v>
      </c>
      <c r="M160" s="20" t="n">
        <v>0</v>
      </c>
      <c r="N160" s="20" t="n">
        <v>2</v>
      </c>
      <c r="O160" s="20" t="n">
        <v>4</v>
      </c>
      <c r="P160" s="20" t="n">
        <v>2</v>
      </c>
      <c r="Q160" s="20" t="n">
        <v>0</v>
      </c>
      <c r="R160" s="20" t="n">
        <v>765</v>
      </c>
      <c r="S160" s="20" t="n">
        <v>1230</v>
      </c>
      <c r="T160" s="20" t="n">
        <v>14</v>
      </c>
      <c r="U160" s="20" t="n">
        <v>0</v>
      </c>
      <c r="V160" s="20" t="n">
        <v>1244</v>
      </c>
      <c r="W160" s="20" t="n">
        <v>0</v>
      </c>
      <c r="X160" s="20">
        <f>SUM(C161:R161)-S161</f>
        <v/>
      </c>
    </row>
    <row r="161">
      <c r="A161" s="18" t="n">
        <v>156</v>
      </c>
      <c r="B161" s="27" t="inlineStr">
        <is>
          <t>SUNDARAGIRI</t>
        </is>
      </c>
      <c r="C161" s="20" t="n">
        <v>182</v>
      </c>
      <c r="D161" s="20" t="n">
        <v>10</v>
      </c>
      <c r="E161" s="20" t="n">
        <v>4</v>
      </c>
      <c r="F161" s="20" t="n">
        <v>311</v>
      </c>
      <c r="G161" s="20" t="n">
        <v>3</v>
      </c>
      <c r="H161" s="20" t="n">
        <v>1</v>
      </c>
      <c r="I161" s="20" t="n">
        <v>1</v>
      </c>
      <c r="J161" s="20" t="n">
        <v>1</v>
      </c>
      <c r="K161" s="20" t="n">
        <v>2</v>
      </c>
      <c r="L161" s="20" t="n">
        <v>9</v>
      </c>
      <c r="M161" s="20" t="n">
        <v>2</v>
      </c>
      <c r="N161" s="20" t="n">
        <v>2</v>
      </c>
      <c r="O161" s="20" t="n">
        <v>0</v>
      </c>
      <c r="P161" s="20" t="n">
        <v>1</v>
      </c>
      <c r="Q161" s="20" t="n">
        <v>1</v>
      </c>
      <c r="R161" s="20" t="n">
        <v>530</v>
      </c>
      <c r="S161" s="20" t="n">
        <v>1060</v>
      </c>
      <c r="T161" s="20" t="n">
        <v>3</v>
      </c>
      <c r="U161" s="20" t="n">
        <v>0</v>
      </c>
      <c r="V161" s="20" t="n">
        <v>1063</v>
      </c>
      <c r="W161" s="20" t="n">
        <v>0</v>
      </c>
      <c r="X161" s="20">
        <f>SUM(C162:R162)-S162</f>
        <v/>
      </c>
    </row>
    <row r="162">
      <c r="A162" s="18" t="n">
        <v>157</v>
      </c>
      <c r="B162" s="27" t="inlineStr">
        <is>
          <t>SUNDARAGIRI</t>
        </is>
      </c>
      <c r="C162" s="20" t="n">
        <v>99</v>
      </c>
      <c r="D162" s="20" t="n">
        <v>8</v>
      </c>
      <c r="E162" s="20" t="n">
        <v>1</v>
      </c>
      <c r="F162" s="20" t="n">
        <v>365</v>
      </c>
      <c r="G162" s="20" t="n">
        <v>0</v>
      </c>
      <c r="H162" s="20" t="n">
        <v>0</v>
      </c>
      <c r="I162" s="20" t="n">
        <v>1</v>
      </c>
      <c r="J162" s="20" t="n">
        <v>1</v>
      </c>
      <c r="K162" s="20" t="n">
        <v>1</v>
      </c>
      <c r="L162" s="20" t="n">
        <v>8</v>
      </c>
      <c r="M162" s="20" t="n">
        <v>1</v>
      </c>
      <c r="N162" s="20" t="n">
        <v>1</v>
      </c>
      <c r="O162" s="20" t="n">
        <v>1</v>
      </c>
      <c r="P162" s="20" t="n">
        <v>2</v>
      </c>
      <c r="Q162" s="20" t="n">
        <v>1</v>
      </c>
      <c r="R162" s="20" t="n">
        <v>490</v>
      </c>
      <c r="S162" s="20" t="n">
        <v>980</v>
      </c>
      <c r="T162" s="20" t="n">
        <v>6</v>
      </c>
      <c r="U162" s="20" t="n">
        <v>496</v>
      </c>
      <c r="V162" s="20" t="n">
        <v>1482</v>
      </c>
      <c r="W162" s="20" t="n">
        <v>0</v>
      </c>
      <c r="X162" s="20">
        <f>SUM(C163:R163)-S163</f>
        <v/>
      </c>
    </row>
    <row r="163">
      <c r="A163" s="18" t="n">
        <v>158</v>
      </c>
      <c r="B163" s="27" t="inlineStr">
        <is>
          <t>SUNDARAGIRI</t>
        </is>
      </c>
      <c r="C163" s="20" t="n">
        <v>252</v>
      </c>
      <c r="D163" s="20" t="n">
        <v>16</v>
      </c>
      <c r="E163" s="20" t="n">
        <v>27</v>
      </c>
      <c r="F163" s="20" t="n">
        <v>498</v>
      </c>
      <c r="G163" s="20" t="n">
        <v>4</v>
      </c>
      <c r="H163" s="20" t="n">
        <v>6</v>
      </c>
      <c r="I163" s="20" t="n">
        <v>0</v>
      </c>
      <c r="J163" s="20" t="n">
        <v>4</v>
      </c>
      <c r="K163" s="20" t="n">
        <v>1</v>
      </c>
      <c r="L163" s="20" t="n">
        <v>25</v>
      </c>
      <c r="M163" s="20" t="n">
        <v>2</v>
      </c>
      <c r="N163" s="20" t="n">
        <v>2</v>
      </c>
      <c r="O163" s="20" t="n">
        <v>10</v>
      </c>
      <c r="P163" s="20" t="n">
        <v>4</v>
      </c>
      <c r="Q163" s="20" t="n">
        <v>7</v>
      </c>
      <c r="R163" s="20" t="n">
        <v>869</v>
      </c>
      <c r="S163" s="20" t="n">
        <v>1727</v>
      </c>
      <c r="T163" s="20" t="n">
        <v>19</v>
      </c>
      <c r="U163" s="20" t="n">
        <v>0</v>
      </c>
      <c r="V163" s="20" t="n">
        <v>1746</v>
      </c>
      <c r="W163" s="20" t="n">
        <v>0</v>
      </c>
      <c r="X163" s="20">
        <f>SUM(C164:R164)-S164</f>
        <v/>
      </c>
    </row>
    <row r="164">
      <c r="A164" s="18" t="n">
        <v>159</v>
      </c>
      <c r="B164" s="27" t="inlineStr">
        <is>
          <t>BOMMANAPALLI</t>
        </is>
      </c>
      <c r="C164" s="20" t="n">
        <v>112</v>
      </c>
      <c r="D164" s="20" t="n">
        <v>16</v>
      </c>
      <c r="E164" s="20" t="n">
        <v>5</v>
      </c>
      <c r="F164" s="20" t="n">
        <v>384</v>
      </c>
      <c r="G164" s="20" t="n">
        <v>4</v>
      </c>
      <c r="H164" s="20" t="n">
        <v>1</v>
      </c>
      <c r="I164" s="20" t="n">
        <v>5</v>
      </c>
      <c r="J164" s="20" t="n">
        <v>0</v>
      </c>
      <c r="K164" s="20" t="n">
        <v>1</v>
      </c>
      <c r="L164" s="20" t="n">
        <v>26</v>
      </c>
      <c r="M164" s="20" t="n">
        <v>1</v>
      </c>
      <c r="N164" s="20" t="n">
        <v>2</v>
      </c>
      <c r="O164" s="20" t="n">
        <v>8</v>
      </c>
      <c r="P164" s="20" t="n">
        <v>2</v>
      </c>
      <c r="Q164" s="20" t="n">
        <v>1</v>
      </c>
      <c r="R164" s="20" t="n">
        <v>568</v>
      </c>
      <c r="S164" s="20" t="n">
        <v>1136</v>
      </c>
      <c r="T164" s="20" t="n">
        <v>23</v>
      </c>
      <c r="U164" s="20" t="n">
        <v>0</v>
      </c>
      <c r="V164" s="20" t="n">
        <v>1159</v>
      </c>
      <c r="W164" s="20" t="n">
        <v>0</v>
      </c>
      <c r="X164" s="20">
        <f>SUM(C165:R165)-S165</f>
        <v/>
      </c>
    </row>
    <row r="165">
      <c r="A165" s="18" t="n">
        <v>160</v>
      </c>
      <c r="B165" s="27" t="inlineStr">
        <is>
          <t>BOMMANAPALLI</t>
        </is>
      </c>
      <c r="C165" s="20" t="n">
        <v>149</v>
      </c>
      <c r="D165" s="20" t="n">
        <v>11</v>
      </c>
      <c r="E165" s="20" t="n">
        <v>5</v>
      </c>
      <c r="F165" s="20" t="n">
        <v>303</v>
      </c>
      <c r="G165" s="20" t="n">
        <v>3</v>
      </c>
      <c r="H165" s="20" t="n">
        <v>0</v>
      </c>
      <c r="I165" s="20" t="n">
        <v>4</v>
      </c>
      <c r="J165" s="20" t="n">
        <v>0</v>
      </c>
      <c r="K165" s="20" t="n">
        <v>0</v>
      </c>
      <c r="L165" s="20" t="n">
        <v>12</v>
      </c>
      <c r="M165" s="20" t="n">
        <v>3</v>
      </c>
      <c r="N165" s="20" t="n">
        <v>2</v>
      </c>
      <c r="O165" s="20" t="n">
        <v>4</v>
      </c>
      <c r="P165" s="20" t="n">
        <v>2</v>
      </c>
      <c r="Q165" s="20" t="n">
        <v>1</v>
      </c>
      <c r="R165" s="20" t="n">
        <v>499</v>
      </c>
      <c r="S165" s="20" t="n">
        <v>998</v>
      </c>
      <c r="T165" s="20" t="n">
        <v>5</v>
      </c>
      <c r="U165" s="20" t="n">
        <v>0</v>
      </c>
      <c r="V165" s="20" t="n">
        <v>1003</v>
      </c>
      <c r="W165" s="20" t="n">
        <v>0</v>
      </c>
      <c r="X165" s="20">
        <f>SUM(C166:R166)-S166</f>
        <v/>
      </c>
    </row>
    <row r="166">
      <c r="A166" s="18" t="n">
        <v>161</v>
      </c>
      <c r="B166" s="27" t="inlineStr">
        <is>
          <t>BOMMANAPALLI</t>
        </is>
      </c>
      <c r="C166" s="20" t="n">
        <v>116</v>
      </c>
      <c r="D166" s="20" t="n">
        <v>9</v>
      </c>
      <c r="E166" s="20" t="n">
        <v>5</v>
      </c>
      <c r="F166" s="20" t="n">
        <v>496</v>
      </c>
      <c r="G166" s="20" t="n">
        <v>3</v>
      </c>
      <c r="H166" s="20" t="n">
        <v>3</v>
      </c>
      <c r="I166" s="20" t="n">
        <v>6</v>
      </c>
      <c r="J166" s="20" t="n">
        <v>0</v>
      </c>
      <c r="K166" s="20" t="n">
        <v>1</v>
      </c>
      <c r="L166" s="20" t="n">
        <v>20</v>
      </c>
      <c r="M166" s="20" t="n">
        <v>0</v>
      </c>
      <c r="N166" s="20" t="n">
        <v>1</v>
      </c>
      <c r="O166" s="20" t="n">
        <v>4</v>
      </c>
      <c r="P166" s="20" t="n">
        <v>2</v>
      </c>
      <c r="Q166" s="20" t="n">
        <v>0</v>
      </c>
      <c r="R166" s="20" t="n">
        <v>666</v>
      </c>
      <c r="S166" s="20" t="n">
        <v>1332</v>
      </c>
      <c r="T166" s="20" t="n">
        <v>18</v>
      </c>
      <c r="U166" s="20" t="n">
        <v>0</v>
      </c>
      <c r="V166" s="20" t="n">
        <v>1350</v>
      </c>
      <c r="W166" s="20" t="n">
        <v>0</v>
      </c>
      <c r="X166" s="20">
        <f>SUM(C167:R167)-S167</f>
        <v/>
      </c>
    </row>
    <row r="167">
      <c r="A167" s="18" t="n">
        <v>162</v>
      </c>
      <c r="B167" s="27" t="inlineStr">
        <is>
          <t>LALAIAHPALLI</t>
        </is>
      </c>
      <c r="C167" s="20" t="n">
        <v>193</v>
      </c>
      <c r="D167" s="20" t="n">
        <v>5</v>
      </c>
      <c r="E167" s="20" t="n">
        <v>13</v>
      </c>
      <c r="F167" s="20" t="n">
        <v>280</v>
      </c>
      <c r="G167" s="20" t="n">
        <v>7</v>
      </c>
      <c r="H167" s="20" t="n">
        <v>3</v>
      </c>
      <c r="I167" s="20" t="n">
        <v>4</v>
      </c>
      <c r="J167" s="20" t="n">
        <v>1</v>
      </c>
      <c r="K167" s="20" t="n">
        <v>0</v>
      </c>
      <c r="L167" s="20" t="n">
        <v>21</v>
      </c>
      <c r="M167" s="20" t="n">
        <v>4</v>
      </c>
      <c r="N167" s="20" t="n">
        <v>1</v>
      </c>
      <c r="O167" s="20" t="n">
        <v>0</v>
      </c>
      <c r="P167" s="20" t="n">
        <v>1</v>
      </c>
      <c r="Q167" s="20" t="n">
        <v>4</v>
      </c>
      <c r="R167" s="20" t="n">
        <v>4</v>
      </c>
      <c r="S167" s="20" t="n">
        <v>541</v>
      </c>
      <c r="T167" s="20" t="n">
        <v>11</v>
      </c>
      <c r="U167" s="20" t="n">
        <v>0</v>
      </c>
      <c r="V167" s="20" t="n">
        <v>552</v>
      </c>
      <c r="W167" s="20" t="n">
        <v>0</v>
      </c>
      <c r="X167" s="20">
        <f>SUM(C168:R168)-S168</f>
        <v/>
      </c>
    </row>
    <row r="168">
      <c r="A168" s="18" t="n">
        <v>163</v>
      </c>
      <c r="B168" s="27" t="inlineStr">
        <is>
          <t>ULLAMPALLI</t>
        </is>
      </c>
      <c r="C168" s="20" t="n">
        <v>263</v>
      </c>
      <c r="D168" s="20" t="n">
        <v>14</v>
      </c>
      <c r="E168" s="20" t="n">
        <v>14</v>
      </c>
      <c r="F168" s="20" t="n">
        <v>571</v>
      </c>
      <c r="G168" s="20" t="n">
        <v>2</v>
      </c>
      <c r="H168" s="20" t="n">
        <v>4</v>
      </c>
      <c r="I168" s="20" t="n">
        <v>6</v>
      </c>
      <c r="J168" s="20" t="n">
        <v>3</v>
      </c>
      <c r="K168" s="20" t="n">
        <v>2</v>
      </c>
      <c r="L168" s="20" t="n">
        <v>10</v>
      </c>
      <c r="M168" s="20" t="n">
        <v>0</v>
      </c>
      <c r="N168" s="20" t="n">
        <v>1</v>
      </c>
      <c r="O168" s="20" t="n">
        <v>2</v>
      </c>
      <c r="P168" s="20" t="n">
        <v>1</v>
      </c>
      <c r="Q168" s="20" t="n">
        <v>1</v>
      </c>
      <c r="R168" s="20" t="n">
        <v>894</v>
      </c>
      <c r="S168" s="20" t="n">
        <v>1788</v>
      </c>
      <c r="T168" s="20" t="n">
        <v>6</v>
      </c>
      <c r="U168" s="20" t="n">
        <v>0</v>
      </c>
      <c r="V168" s="20" t="n">
        <v>1794</v>
      </c>
      <c r="W168" s="20" t="n">
        <v>0</v>
      </c>
      <c r="X168" s="20">
        <f>SUM(C169:R169)-S169</f>
        <v/>
      </c>
    </row>
    <row r="169">
      <c r="A169" s="18" t="n">
        <v>164</v>
      </c>
      <c r="B169" s="27" t="inlineStr">
        <is>
          <t>KONDAPUR</t>
        </is>
      </c>
      <c r="C169" s="20" t="n">
        <v>245</v>
      </c>
      <c r="D169" s="20" t="n">
        <v>7</v>
      </c>
      <c r="E169" s="20" t="n">
        <v>1</v>
      </c>
      <c r="F169" s="20" t="n">
        <v>525</v>
      </c>
      <c r="G169" s="20" t="n">
        <v>8</v>
      </c>
      <c r="H169" s="20" t="n">
        <v>2</v>
      </c>
      <c r="I169" s="20" t="n">
        <v>7</v>
      </c>
      <c r="J169" s="20" t="n">
        <v>2</v>
      </c>
      <c r="K169" s="20" t="n">
        <v>2</v>
      </c>
      <c r="L169" s="20" t="n">
        <v>18</v>
      </c>
      <c r="M169" s="20" t="n">
        <v>1</v>
      </c>
      <c r="N169" s="20" t="n">
        <v>3</v>
      </c>
      <c r="O169" s="20" t="n">
        <v>6</v>
      </c>
      <c r="P169" s="20" t="n">
        <v>6</v>
      </c>
      <c r="Q169" s="20" t="n">
        <v>1</v>
      </c>
      <c r="R169" s="20" t="n">
        <v>834</v>
      </c>
      <c r="S169" s="20" t="n">
        <v>1668</v>
      </c>
      <c r="T169" s="20" t="n">
        <v>13</v>
      </c>
      <c r="U169" s="20" t="n">
        <v>0</v>
      </c>
      <c r="V169" s="20" t="n">
        <v>1681</v>
      </c>
      <c r="W169" s="20" t="n">
        <v>0</v>
      </c>
      <c r="X169" s="20">
        <f>SUM(C170:R170)-S170</f>
        <v/>
      </c>
    </row>
    <row r="170">
      <c r="A170" s="18" t="n">
        <v>165</v>
      </c>
      <c r="B170" s="27" t="inlineStr">
        <is>
          <t>KONDAPUR</t>
        </is>
      </c>
      <c r="C170" s="20" t="n">
        <v>126</v>
      </c>
      <c r="D170" s="20" t="n">
        <v>8</v>
      </c>
      <c r="E170" s="20" t="n">
        <v>2</v>
      </c>
      <c r="F170" s="20" t="n">
        <v>361</v>
      </c>
      <c r="G170" s="20" t="n">
        <v>4</v>
      </c>
      <c r="H170" s="20" t="n">
        <v>0</v>
      </c>
      <c r="I170" s="20" t="n">
        <v>8</v>
      </c>
      <c r="J170" s="20" t="n">
        <v>1</v>
      </c>
      <c r="K170" s="20" t="n">
        <v>0</v>
      </c>
      <c r="L170" s="20" t="n">
        <v>11</v>
      </c>
      <c r="M170" s="20" t="n">
        <v>4</v>
      </c>
      <c r="N170" s="20" t="n">
        <v>3</v>
      </c>
      <c r="O170" s="20" t="n">
        <v>11</v>
      </c>
      <c r="P170" s="20" t="n">
        <v>1</v>
      </c>
      <c r="Q170" s="20" t="n">
        <v>3</v>
      </c>
      <c r="R170" s="20" t="n">
        <v>543</v>
      </c>
      <c r="S170" s="20" t="n">
        <v>1086</v>
      </c>
      <c r="T170" s="20" t="n">
        <v>15</v>
      </c>
      <c r="U170" s="20" t="n">
        <v>0</v>
      </c>
      <c r="V170" s="20" t="n">
        <v>1101</v>
      </c>
      <c r="W170" s="20" t="n">
        <v>0</v>
      </c>
      <c r="X170" s="20">
        <f>SUM(C171:R171)-S171</f>
        <v/>
      </c>
    </row>
    <row r="171">
      <c r="A171" s="18" t="n">
        <v>166</v>
      </c>
      <c r="B171" s="27" t="inlineStr">
        <is>
          <t>NAVABPET</t>
        </is>
      </c>
      <c r="C171" s="20" t="n">
        <v>234</v>
      </c>
      <c r="D171" s="20" t="n">
        <v>7</v>
      </c>
      <c r="E171" s="20" t="n">
        <v>7</v>
      </c>
      <c r="F171" s="20" t="n">
        <v>523</v>
      </c>
      <c r="G171" s="20" t="n">
        <v>7</v>
      </c>
      <c r="H171" s="20" t="n">
        <v>0</v>
      </c>
      <c r="I171" s="20" t="n">
        <v>3</v>
      </c>
      <c r="J171" s="20" t="n">
        <v>1</v>
      </c>
      <c r="K171" s="20" t="n">
        <v>3</v>
      </c>
      <c r="L171" s="20" t="n">
        <v>14</v>
      </c>
      <c r="M171" s="20" t="n">
        <v>2</v>
      </c>
      <c r="N171" s="20" t="n">
        <v>1</v>
      </c>
      <c r="O171" s="20" t="n">
        <v>3</v>
      </c>
      <c r="P171" s="20" t="n">
        <v>1</v>
      </c>
      <c r="Q171" s="20" t="n">
        <v>2</v>
      </c>
      <c r="R171" s="20" t="n">
        <v>808</v>
      </c>
      <c r="S171" s="20" t="n">
        <v>1616</v>
      </c>
      <c r="T171" s="20" t="n">
        <v>13</v>
      </c>
      <c r="U171" s="20" t="n">
        <v>0</v>
      </c>
      <c r="V171" s="20" t="n">
        <v>1629</v>
      </c>
      <c r="W171" s="20" t="n">
        <v>0</v>
      </c>
      <c r="X171" s="20">
        <f>SUM(C172:R172)-S172</f>
        <v/>
      </c>
    </row>
    <row r="172">
      <c r="A172" s="18" t="n">
        <v>167</v>
      </c>
      <c r="B172" s="27" t="inlineStr">
        <is>
          <t>NAVABPET</t>
        </is>
      </c>
      <c r="C172" s="20" t="n">
        <v>300</v>
      </c>
      <c r="D172" s="20" t="n">
        <v>19</v>
      </c>
      <c r="E172" s="20" t="n">
        <v>10</v>
      </c>
      <c r="F172" s="20" t="n">
        <v>548</v>
      </c>
      <c r="G172" s="20" t="n">
        <v>6</v>
      </c>
      <c r="H172" s="20" t="n">
        <v>0</v>
      </c>
      <c r="I172" s="20" t="n">
        <v>7</v>
      </c>
      <c r="J172" s="20" t="n">
        <v>0</v>
      </c>
      <c r="K172" s="20" t="n">
        <v>2</v>
      </c>
      <c r="L172" s="20" t="n">
        <v>14</v>
      </c>
      <c r="M172" s="20" t="n">
        <v>5</v>
      </c>
      <c r="N172" s="20" t="n">
        <v>0</v>
      </c>
      <c r="O172" s="20" t="n">
        <v>2</v>
      </c>
      <c r="P172" s="20" t="n">
        <v>2</v>
      </c>
      <c r="Q172" s="20" t="n">
        <v>3</v>
      </c>
      <c r="R172" s="20" t="n">
        <v>918</v>
      </c>
      <c r="S172" s="20" t="n">
        <v>1836</v>
      </c>
      <c r="T172" s="20" t="n">
        <v>11</v>
      </c>
      <c r="U172" s="20" t="n">
        <v>0</v>
      </c>
      <c r="V172" s="20" t="n">
        <v>1847</v>
      </c>
      <c r="W172" s="20" t="n">
        <v>0</v>
      </c>
      <c r="X172" s="20">
        <f>SUM(C173:R173)-S173</f>
        <v/>
      </c>
    </row>
    <row r="173">
      <c r="A173" s="18" t="n">
        <v>168</v>
      </c>
      <c r="B173" s="27" t="inlineStr">
        <is>
          <t>INAVABPET</t>
        </is>
      </c>
      <c r="C173" s="20" t="n">
        <v>194</v>
      </c>
      <c r="D173" s="20" t="n">
        <v>5</v>
      </c>
      <c r="E173" s="20" t="n">
        <v>15</v>
      </c>
      <c r="F173" s="20" t="n">
        <v>182</v>
      </c>
      <c r="G173" s="20" t="n">
        <v>3</v>
      </c>
      <c r="H173" s="20" t="n">
        <v>2</v>
      </c>
      <c r="I173" s="20" t="n">
        <v>7</v>
      </c>
      <c r="J173" s="20" t="n">
        <v>2</v>
      </c>
      <c r="K173" s="20" t="n">
        <v>3</v>
      </c>
      <c r="L173" s="20" t="n">
        <v>6</v>
      </c>
      <c r="M173" s="20" t="n">
        <v>28</v>
      </c>
      <c r="N173" s="20" t="n">
        <v>2</v>
      </c>
      <c r="O173" s="20" t="n">
        <v>4</v>
      </c>
      <c r="P173" s="20" t="n">
        <v>1</v>
      </c>
      <c r="Q173" s="20" t="n">
        <v>0</v>
      </c>
      <c r="R173" s="20" t="n">
        <v>454</v>
      </c>
      <c r="S173" s="20" t="n">
        <v>908</v>
      </c>
      <c r="T173" s="20" t="n">
        <v>4</v>
      </c>
      <c r="U173" s="20" t="n">
        <v>458</v>
      </c>
      <c r="V173" s="20" t="n">
        <v>1370</v>
      </c>
      <c r="W173" s="20" t="n">
        <v>0</v>
      </c>
      <c r="X173" s="20">
        <f>SUM(C174:R174)-S174</f>
        <v/>
      </c>
    </row>
    <row r="174">
      <c r="A174" s="18" t="n">
        <v>169</v>
      </c>
      <c r="B174" s="27" t="inlineStr">
        <is>
          <t>EKLASPUR</t>
        </is>
      </c>
      <c r="C174" s="20" t="n">
        <v>132</v>
      </c>
      <c r="D174" s="20" t="n">
        <v>12</v>
      </c>
      <c r="E174" s="20" t="n">
        <v>10</v>
      </c>
      <c r="F174" s="20" t="n">
        <v>461</v>
      </c>
      <c r="G174" s="20" t="n">
        <v>5</v>
      </c>
      <c r="H174" s="20" t="n">
        <v>1</v>
      </c>
      <c r="I174" s="20" t="n">
        <v>6</v>
      </c>
      <c r="J174" s="20" t="n">
        <v>0</v>
      </c>
      <c r="K174" s="20" t="n">
        <v>1</v>
      </c>
      <c r="L174" s="20" t="n">
        <v>19</v>
      </c>
      <c r="M174" s="20" t="n">
        <v>1</v>
      </c>
      <c r="N174" s="20" t="n">
        <v>1</v>
      </c>
      <c r="O174" s="20" t="n">
        <v>3</v>
      </c>
      <c r="P174" s="20" t="n">
        <v>4</v>
      </c>
      <c r="Q174" s="20" t="n">
        <v>10</v>
      </c>
      <c r="R174" s="20" t="n">
        <v>666</v>
      </c>
      <c r="S174" s="20" t="n">
        <v>1332</v>
      </c>
      <c r="T174" s="20" t="n">
        <v>22</v>
      </c>
      <c r="U174" s="20" t="n">
        <v>0</v>
      </c>
      <c r="V174" s="20" t="n">
        <v>1354</v>
      </c>
      <c r="W174" s="20" t="n">
        <v>0</v>
      </c>
      <c r="X174" s="20">
        <f>SUM(C175:R175)-S175</f>
        <v/>
      </c>
    </row>
    <row r="175">
      <c r="A175" s="18" t="n">
        <v>170</v>
      </c>
      <c r="B175" s="27" t="inlineStr">
        <is>
          <t>EKLASPUR</t>
        </is>
      </c>
      <c r="C175" s="20" t="n">
        <v>233</v>
      </c>
      <c r="D175" s="20" t="n">
        <v>5</v>
      </c>
      <c r="E175" s="20" t="n">
        <v>4</v>
      </c>
      <c r="F175" s="20" t="n">
        <v>245</v>
      </c>
      <c r="G175" s="20" t="n">
        <v>3</v>
      </c>
      <c r="H175" s="20" t="n">
        <v>0</v>
      </c>
      <c r="I175" s="20" t="n">
        <v>2</v>
      </c>
      <c r="J175" s="20" t="n">
        <v>1</v>
      </c>
      <c r="K175" s="20" t="n">
        <v>1</v>
      </c>
      <c r="L175" s="20" t="n">
        <v>6</v>
      </c>
      <c r="M175" s="20" t="n">
        <v>3</v>
      </c>
      <c r="N175" s="20" t="n">
        <v>1</v>
      </c>
      <c r="O175" s="20" t="n">
        <v>0</v>
      </c>
      <c r="P175" s="20" t="n">
        <v>3</v>
      </c>
      <c r="Q175" s="20" t="n">
        <v>0</v>
      </c>
      <c r="R175" s="20" t="n">
        <v>507</v>
      </c>
      <c r="S175" s="20" t="n">
        <v>1014</v>
      </c>
      <c r="T175" s="20" t="n">
        <v>6</v>
      </c>
      <c r="U175" s="20" t="n">
        <v>0</v>
      </c>
      <c r="V175" s="20" t="n">
        <v>1020</v>
      </c>
      <c r="W175" s="20" t="n">
        <v>0</v>
      </c>
      <c r="X175" s="20">
        <f>SUM(C176:R176)-S176</f>
        <v/>
      </c>
    </row>
    <row r="176">
      <c r="A176" s="18" t="n">
        <v>171</v>
      </c>
      <c r="B176" s="27" t="inlineStr">
        <is>
          <t>‘SOMARAM</t>
        </is>
      </c>
      <c r="C176" s="20" t="n">
        <v>299</v>
      </c>
      <c r="D176" s="20" t="n">
        <v>14</v>
      </c>
      <c r="E176" s="20" t="n">
        <v>12</v>
      </c>
      <c r="F176" s="20" t="n">
        <v>560</v>
      </c>
      <c r="G176" s="20" t="n">
        <v>0</v>
      </c>
      <c r="H176" s="20" t="n">
        <v>4</v>
      </c>
      <c r="I176" s="20" t="n">
        <v>9</v>
      </c>
      <c r="J176" s="20" t="n">
        <v>2</v>
      </c>
      <c r="K176" s="20" t="n">
        <v>2</v>
      </c>
      <c r="L176" s="20" t="n">
        <v>26</v>
      </c>
      <c r="M176" s="20" t="n">
        <v>3</v>
      </c>
      <c r="N176" s="20" t="n">
        <v>7</v>
      </c>
      <c r="O176" s="20" t="n">
        <v>7</v>
      </c>
      <c r="P176" s="20" t="n">
        <v>6</v>
      </c>
      <c r="Q176" s="20" t="n">
        <v>5</v>
      </c>
      <c r="R176" s="20" t="n">
        <v>963</v>
      </c>
      <c r="S176" s="20" t="n">
        <v>1919</v>
      </c>
      <c r="T176" s="20" t="n">
        <v>23</v>
      </c>
      <c r="U176" s="20" t="n">
        <v>0</v>
      </c>
      <c r="V176" s="20" t="n">
        <v>1942</v>
      </c>
      <c r="W176" s="20" t="n">
        <v>0</v>
      </c>
      <c r="X176" s="20">
        <f>SUM(C177:R177)-S177</f>
        <v/>
      </c>
    </row>
    <row r="177">
      <c r="A177" s="18" t="n">
        <v>172</v>
      </c>
      <c r="B177" s="27" t="inlineStr">
        <is>
          <t>VENNAMPALLI</t>
        </is>
      </c>
      <c r="C177" s="20" t="n">
        <v>120</v>
      </c>
      <c r="D177" s="20" t="n">
        <v>26</v>
      </c>
      <c r="E177" s="20" t="n">
        <v>3</v>
      </c>
      <c r="F177" s="20" t="n">
        <v>282</v>
      </c>
      <c r="G177" s="20" t="n">
        <v>3</v>
      </c>
      <c r="H177" s="20" t="n">
        <v>0</v>
      </c>
      <c r="I177" s="20" t="n">
        <v>3</v>
      </c>
      <c r="J177" s="20" t="n">
        <v>1</v>
      </c>
      <c r="K177" s="20" t="n">
        <v>0</v>
      </c>
      <c r="L177" s="20" t="n">
        <v>7</v>
      </c>
      <c r="M177" s="20" t="n">
        <v>1</v>
      </c>
      <c r="N177" s="20" t="n">
        <v>2</v>
      </c>
      <c r="O177" s="20" t="n">
        <v>0</v>
      </c>
      <c r="P177" s="20" t="n">
        <v>1</v>
      </c>
      <c r="Q177" s="20" t="n">
        <v>3</v>
      </c>
      <c r="R177" s="20" t="n">
        <v>452</v>
      </c>
      <c r="S177" s="20" t="n">
        <v>904</v>
      </c>
      <c r="T177" s="20" t="n">
        <v>9</v>
      </c>
      <c r="U177" s="20" t="n">
        <v>461</v>
      </c>
      <c r="V177" s="20" t="n">
        <v>1374</v>
      </c>
      <c r="W177" s="20" t="n">
        <v>0</v>
      </c>
      <c r="X177" s="20">
        <f>SUM(C178:R178)-S178</f>
        <v/>
      </c>
    </row>
    <row r="178">
      <c r="A178" s="18" t="n">
        <v>173</v>
      </c>
      <c r="B178" s="27" t="inlineStr">
        <is>
          <t>VENNAMPALLI</t>
        </is>
      </c>
      <c r="C178" s="20" t="n">
        <v>177</v>
      </c>
      <c r="D178" s="20" t="n">
        <v>5</v>
      </c>
      <c r="E178" s="20" t="n">
        <v>4</v>
      </c>
      <c r="F178" s="20" t="n">
        <v>46</v>
      </c>
      <c r="G178" s="20" t="n">
        <v>2</v>
      </c>
      <c r="H178" s="20" t="n">
        <v>0</v>
      </c>
      <c r="I178" s="20" t="n">
        <v>5</v>
      </c>
      <c r="J178" s="20" t="n">
        <v>1</v>
      </c>
      <c r="K178" s="20" t="n">
        <v>1</v>
      </c>
      <c r="L178" s="20" t="n">
        <v>10</v>
      </c>
      <c r="M178" s="20" t="n">
        <v>3</v>
      </c>
      <c r="N178" s="20" t="n">
        <v>3</v>
      </c>
      <c r="O178" s="20" t="n">
        <v>4</v>
      </c>
      <c r="P178" s="20" t="n">
        <v>3</v>
      </c>
      <c r="Q178" s="20" t="n">
        <v>3</v>
      </c>
      <c r="R178" s="20" t="n">
        <v>567</v>
      </c>
      <c r="S178" s="20" t="n">
        <v>834</v>
      </c>
      <c r="T178" s="20" t="n">
        <v>8</v>
      </c>
      <c r="U178" s="20" t="n">
        <v>0</v>
      </c>
      <c r="V178" s="20" t="n">
        <v>842</v>
      </c>
      <c r="W178" s="20" t="n">
        <v>0</v>
      </c>
      <c r="X178" s="20">
        <f>SUM(C179:R179)-S179</f>
        <v/>
      </c>
    </row>
    <row r="179">
      <c r="A179" s="18" t="n">
        <v>174</v>
      </c>
      <c r="B179" s="27" t="inlineStr">
        <is>
          <t>VENNAMPALLI</t>
        </is>
      </c>
      <c r="C179" s="20" t="n">
        <v>97</v>
      </c>
      <c r="D179" s="20" t="n">
        <v>24</v>
      </c>
      <c r="E179" s="20" t="n">
        <v>3</v>
      </c>
      <c r="F179" s="20" t="n">
        <v>361</v>
      </c>
      <c r="G179" s="20" t="n">
        <v>3</v>
      </c>
      <c r="H179" s="20" t="n">
        <v>3</v>
      </c>
      <c r="I179" s="20" t="n">
        <v>6</v>
      </c>
      <c r="J179" s="20" t="n">
        <v>3</v>
      </c>
      <c r="K179" s="20" t="n">
        <v>1</v>
      </c>
      <c r="L179" s="20" t="n">
        <v>24</v>
      </c>
      <c r="M179" s="20" t="n">
        <v>3</v>
      </c>
      <c r="N179" s="20" t="n">
        <v>2</v>
      </c>
      <c r="O179" s="20" t="n">
        <v>6</v>
      </c>
      <c r="P179" s="20" t="n">
        <v>1</v>
      </c>
      <c r="Q179" s="20" t="n">
        <v>2</v>
      </c>
      <c r="R179" s="20" t="n">
        <v>533</v>
      </c>
      <c r="S179" s="20" t="n">
        <v>1072</v>
      </c>
      <c r="T179" s="20" t="n">
        <v>6</v>
      </c>
      <c r="U179" s="20" t="n">
        <v>0</v>
      </c>
      <c r="V179" s="20" t="n">
        <v>1078</v>
      </c>
      <c r="W179" s="20" t="n">
        <v>0</v>
      </c>
      <c r="X179" s="20">
        <f>SUM(C180:R180)-S180</f>
        <v/>
      </c>
    </row>
    <row r="180">
      <c r="A180" s="18" t="n">
        <v>175</v>
      </c>
      <c r="B180" s="27" t="inlineStr">
        <is>
          <t>VENNAMPALLI</t>
        </is>
      </c>
      <c r="C180" s="20" t="n">
        <v>151</v>
      </c>
      <c r="D180" s="20" t="n">
        <v>10</v>
      </c>
      <c r="E180" s="20" t="n">
        <v>6</v>
      </c>
      <c r="F180" s="20" t="n">
        <v>176</v>
      </c>
      <c r="G180" s="20" t="n">
        <v>1</v>
      </c>
      <c r="H180" s="20" t="n">
        <v>1</v>
      </c>
      <c r="I180" s="20" t="n">
        <v>3</v>
      </c>
      <c r="J180" s="20" t="n">
        <v>3</v>
      </c>
      <c r="K180" s="20" t="n">
        <v>4</v>
      </c>
      <c r="L180" s="20" t="n">
        <v>8</v>
      </c>
      <c r="M180" s="20" t="n">
        <v>4</v>
      </c>
      <c r="N180" s="20" t="n">
        <v>0</v>
      </c>
      <c r="O180" s="20" t="n">
        <v>4</v>
      </c>
      <c r="P180" s="20" t="n">
        <v>3</v>
      </c>
      <c r="Q180" s="20" t="n">
        <v>3</v>
      </c>
      <c r="R180" s="20" t="n">
        <v>371</v>
      </c>
      <c r="S180" s="20" t="n">
        <v>748</v>
      </c>
      <c r="T180" s="20" t="n">
        <v>10</v>
      </c>
      <c r="U180" s="20" t="n">
        <v>381</v>
      </c>
      <c r="V180" s="20" t="n">
        <v>1139</v>
      </c>
      <c r="W180" s="20" t="n">
        <v>0</v>
      </c>
      <c r="X180" s="20">
        <f>SUM(C181:R181)-S181</f>
        <v/>
      </c>
    </row>
    <row r="181">
      <c r="A181" s="18" t="n">
        <v>176</v>
      </c>
      <c r="B181" s="27" t="inlineStr">
        <is>
          <t>RENNAMPALLI</t>
        </is>
      </c>
      <c r="C181" s="20" t="n">
        <v>159</v>
      </c>
      <c r="D181" s="20" t="n">
        <v>15</v>
      </c>
      <c r="E181" s="20" t="n">
        <v>5</v>
      </c>
      <c r="F181" s="20" t="n">
        <v>250</v>
      </c>
      <c r="G181" s="20" t="n">
        <v>3</v>
      </c>
      <c r="H181" s="20" t="n">
        <v>4</v>
      </c>
      <c r="I181" s="20" t="n">
        <v>7</v>
      </c>
      <c r="J181" s="20" t="n">
        <v>3</v>
      </c>
      <c r="K181" s="20" t="n">
        <v>1</v>
      </c>
      <c r="L181" s="20" t="n">
        <v>25</v>
      </c>
      <c r="M181" s="20" t="n">
        <v>0</v>
      </c>
      <c r="N181" s="20" t="n">
        <v>4</v>
      </c>
      <c r="O181" s="20" t="n">
        <v>4</v>
      </c>
      <c r="P181" s="20" t="n">
        <v>1</v>
      </c>
      <c r="Q181" s="20" t="n">
        <v>1</v>
      </c>
      <c r="R181" s="20" t="n">
        <v>482</v>
      </c>
      <c r="S181" s="20" t="n">
        <v>964</v>
      </c>
      <c r="T181" s="20" t="n">
        <v>6</v>
      </c>
      <c r="U181" s="20" t="n">
        <v>488</v>
      </c>
      <c r="V181" s="20" t="n">
        <v>1458</v>
      </c>
      <c r="W181" s="20" t="n">
        <v>0</v>
      </c>
      <c r="X181" s="20">
        <f>SUM(C182:R182)-S182</f>
        <v/>
      </c>
    </row>
    <row r="182">
      <c r="A182" s="18" t="n">
        <v>177</v>
      </c>
      <c r="B182" s="27" t="inlineStr">
        <is>
          <t>SAIDAPUR</t>
        </is>
      </c>
      <c r="C182" s="20" t="n">
        <v>128</v>
      </c>
      <c r="D182" s="20" t="n">
        <v>16</v>
      </c>
      <c r="E182" s="20" t="n">
        <v>3</v>
      </c>
      <c r="F182" s="20" t="n">
        <v>450</v>
      </c>
      <c r="G182" s="20" t="n">
        <v>4</v>
      </c>
      <c r="H182" s="20" t="n">
        <v>2</v>
      </c>
      <c r="I182" s="20" t="n">
        <v>4</v>
      </c>
      <c r="J182" s="20" t="n">
        <v>3</v>
      </c>
      <c r="K182" s="20" t="n">
        <v>1</v>
      </c>
      <c r="L182" s="20" t="n">
        <v>44</v>
      </c>
      <c r="M182" s="20" t="n">
        <v>3</v>
      </c>
      <c r="N182" s="20" t="n">
        <v>1</v>
      </c>
      <c r="O182" s="20" t="n">
        <v>3</v>
      </c>
      <c r="P182" s="20" t="n">
        <v>2</v>
      </c>
      <c r="Q182" s="20" t="n">
        <v>1</v>
      </c>
      <c r="R182" s="20" t="n">
        <v>629</v>
      </c>
      <c r="S182" s="20" t="n">
        <v>1294</v>
      </c>
      <c r="T182" s="20" t="n">
        <v>14</v>
      </c>
      <c r="U182" s="20" t="n">
        <v>0</v>
      </c>
      <c r="V182" s="20" t="n">
        <v>1308</v>
      </c>
      <c r="W182" s="20" t="n">
        <v>0</v>
      </c>
      <c r="X182" s="20">
        <f>SUM(C183:R183)-S183</f>
        <v/>
      </c>
    </row>
    <row r="183">
      <c r="A183" s="18" t="n">
        <v>178</v>
      </c>
      <c r="B183" s="27" t="inlineStr">
        <is>
          <t>SAIDAPUR</t>
        </is>
      </c>
      <c r="C183" s="20" t="n">
        <v>114</v>
      </c>
      <c r="D183" s="20" t="n">
        <v>19</v>
      </c>
      <c r="E183" s="20" t="n">
        <v>7</v>
      </c>
      <c r="F183" s="20" t="n">
        <v>484</v>
      </c>
      <c r="G183" s="20" t="n">
        <v>5</v>
      </c>
      <c r="H183" s="20" t="n">
        <v>4</v>
      </c>
      <c r="I183" s="20" t="n">
        <v>2</v>
      </c>
      <c r="J183" s="20" t="n">
        <v>0</v>
      </c>
      <c r="K183" s="20" t="n">
        <v>0</v>
      </c>
      <c r="L183" s="20" t="n">
        <v>44</v>
      </c>
      <c r="M183" s="20" t="n">
        <v>3</v>
      </c>
      <c r="N183" s="20" t="n">
        <v>0</v>
      </c>
      <c r="O183" s="20" t="n">
        <v>2</v>
      </c>
      <c r="P183" s="20" t="n">
        <v>3</v>
      </c>
      <c r="Q183" s="20" t="n">
        <v>2</v>
      </c>
      <c r="R183" s="20" t="n">
        <v>656</v>
      </c>
      <c r="S183" s="20" t="n">
        <v>1345</v>
      </c>
      <c r="T183" s="20" t="n">
        <v>24</v>
      </c>
      <c r="U183" s="20" t="n">
        <v>0</v>
      </c>
      <c r="V183" s="20" t="n">
        <v>1369</v>
      </c>
      <c r="W183" s="20" t="n">
        <v>0</v>
      </c>
      <c r="X183" s="20">
        <f>SUM(C184:R184)-S184</f>
        <v/>
      </c>
    </row>
    <row r="184">
      <c r="A184" s="18" t="n">
        <v>179</v>
      </c>
      <c r="B184" s="27" t="inlineStr">
        <is>
          <t>RADarUR</t>
        </is>
      </c>
      <c r="C184" s="20" t="n">
        <v>131</v>
      </c>
      <c r="D184" s="20" t="n">
        <v>10</v>
      </c>
      <c r="E184" s="20" t="n">
        <v>6</v>
      </c>
      <c r="F184" s="20" t="n">
        <v>459</v>
      </c>
      <c r="G184" s="20" t="n">
        <v>4</v>
      </c>
      <c r="H184" s="20" t="n">
        <v>1</v>
      </c>
      <c r="I184" s="20" t="n">
        <v>9</v>
      </c>
      <c r="J184" s="20" t="n">
        <v>4</v>
      </c>
      <c r="K184" s="20" t="n">
        <v>2</v>
      </c>
      <c r="L184" s="20" t="n">
        <v>25</v>
      </c>
      <c r="M184" s="20" t="n">
        <v>4</v>
      </c>
      <c r="N184" s="20" t="n">
        <v>3</v>
      </c>
      <c r="O184" s="20" t="n">
        <v>7</v>
      </c>
      <c r="P184" s="20" t="n">
        <v>1</v>
      </c>
      <c r="Q184" s="20" t="n">
        <v>0</v>
      </c>
      <c r="R184" s="20" t="n">
        <v>660</v>
      </c>
      <c r="S184" s="20" t="n">
        <v>1326</v>
      </c>
      <c r="T184" s="20" t="n">
        <v>20</v>
      </c>
      <c r="U184" s="20" t="n">
        <v>0</v>
      </c>
      <c r="V184" s="20" t="n">
        <v>1346</v>
      </c>
      <c r="W184" s="20" t="n">
        <v>0</v>
      </c>
      <c r="X184" s="20">
        <f>SUM(C185:R185)-S185</f>
        <v/>
      </c>
    </row>
    <row r="185">
      <c r="A185" s="18" t="n">
        <v>180</v>
      </c>
      <c r="B185" s="27" t="inlineStr">
        <is>
          <t>RADAPUR</t>
        </is>
      </c>
      <c r="C185" s="20" t="n">
        <v>5</v>
      </c>
      <c r="D185" s="20" t="n">
        <v>2</v>
      </c>
      <c r="E185" s="20" t="n">
        <v>4</v>
      </c>
      <c r="F185" s="20" t="n">
        <v>121</v>
      </c>
      <c r="G185" s="20" t="n">
        <v>0</v>
      </c>
      <c r="H185" s="20" t="n">
        <v>0</v>
      </c>
      <c r="I185" s="20" t="n">
        <v>4</v>
      </c>
      <c r="J185" s="20" t="n">
        <v>4</v>
      </c>
      <c r="K185" s="20" t="n">
        <v>0</v>
      </c>
      <c r="L185" s="20" t="n">
        <v>1</v>
      </c>
      <c r="M185" s="20" t="n">
        <v>4</v>
      </c>
      <c r="N185" s="20" t="n">
        <v>4</v>
      </c>
      <c r="O185" s="20" t="n">
        <v>2</v>
      </c>
      <c r="P185" s="20" t="n">
        <v>1</v>
      </c>
      <c r="Q185" s="20" t="n">
        <v>1</v>
      </c>
      <c r="R185" s="20" t="n">
        <v>195</v>
      </c>
      <c r="S185" s="20" t="n">
        <v>348</v>
      </c>
      <c r="T185" s="20" t="n">
        <v>6</v>
      </c>
      <c r="U185" s="20" t="n">
        <v>201</v>
      </c>
      <c r="V185" s="20" t="n">
        <v>555</v>
      </c>
      <c r="W185" s="20" t="n">
        <v>0</v>
      </c>
      <c r="X185" s="20">
        <f>SUM(C186:R186)-S186</f>
        <v/>
      </c>
    </row>
    <row r="186">
      <c r="A186" s="18" t="n">
        <v>181</v>
      </c>
      <c r="B186" s="27" t="inlineStr">
        <is>
          <t>VENKAPALLI</t>
        </is>
      </c>
      <c r="C186" s="20" t="n">
        <v>157</v>
      </c>
      <c r="D186" s="20" t="n">
        <v>413</v>
      </c>
      <c r="E186" s="20" t="n">
        <v>7</v>
      </c>
      <c r="F186" s="20" t="n">
        <v>380</v>
      </c>
      <c r="G186" s="20" t="n">
        <v>3</v>
      </c>
      <c r="H186" s="20" t="n">
        <v>1</v>
      </c>
      <c r="I186" s="20" t="n">
        <v>6</v>
      </c>
      <c r="J186" s="20" t="n">
        <v>2</v>
      </c>
      <c r="K186" s="20" t="n">
        <v>0</v>
      </c>
      <c r="L186" s="20" t="n">
        <v>0</v>
      </c>
      <c r="M186" s="20" t="n">
        <v>14</v>
      </c>
      <c r="N186" s="20" t="n">
        <v>0</v>
      </c>
      <c r="O186" s="20" t="n">
        <v>0</v>
      </c>
      <c r="P186" s="20" t="n">
        <v>1</v>
      </c>
      <c r="Q186" s="20" t="n">
        <v>5</v>
      </c>
      <c r="R186" s="20" t="n">
        <v>585</v>
      </c>
      <c r="S186" s="20" t="n">
        <v>1574</v>
      </c>
      <c r="T186" s="20" t="n">
        <v>25</v>
      </c>
      <c r="U186" s="20" t="n">
        <v>0</v>
      </c>
      <c r="V186" s="20" t="n">
        <v>1599</v>
      </c>
      <c r="W186" s="20" t="n">
        <v>0</v>
      </c>
      <c r="X186" s="20">
        <f>SUM(C187:R187)-S187</f>
        <v/>
      </c>
    </row>
    <row r="187">
      <c r="A187" s="18" t="n">
        <v>182</v>
      </c>
      <c r="B187" s="27" t="inlineStr">
        <is>
          <t>VENKAPALLI</t>
        </is>
      </c>
      <c r="C187" s="20" t="n">
        <v>130</v>
      </c>
      <c r="D187" s="20" t="n">
        <v>17</v>
      </c>
      <c r="E187" s="20" t="n">
        <v>2</v>
      </c>
      <c r="F187" s="20" t="n">
        <v>414</v>
      </c>
      <c r="G187" s="20" t="n">
        <v>4</v>
      </c>
      <c r="H187" s="20" t="n">
        <v>2</v>
      </c>
      <c r="I187" s="20" t="n">
        <v>0</v>
      </c>
      <c r="J187" s="20" t="n">
        <v>4</v>
      </c>
      <c r="K187" s="20" t="n">
        <v>2</v>
      </c>
      <c r="L187" s="20" t="n">
        <v>20</v>
      </c>
      <c r="M187" s="20" t="n">
        <v>4</v>
      </c>
      <c r="N187" s="20" t="n">
        <v>14</v>
      </c>
      <c r="O187" s="20" t="n">
        <v>2</v>
      </c>
      <c r="P187" s="20" t="n">
        <v>1</v>
      </c>
      <c r="Q187" s="20" t="n">
        <v>6</v>
      </c>
      <c r="R187" s="20" t="n">
        <v>614</v>
      </c>
      <c r="S187" s="20" t="n">
        <v>1236</v>
      </c>
      <c r="T187" s="20" t="n">
        <v>27</v>
      </c>
      <c r="U187" s="20" t="n">
        <v>0</v>
      </c>
      <c r="V187" s="20" t="n">
        <v>1263</v>
      </c>
      <c r="W187" s="20" t="n">
        <v>0</v>
      </c>
      <c r="X187" s="20">
        <f>SUM(C188:R188)-S188</f>
        <v/>
      </c>
    </row>
    <row r="188">
      <c r="A188" s="18" t="n">
        <v>183</v>
      </c>
      <c r="B188" s="27" t="inlineStr">
        <is>
          <t>IDUDENAPALLI</t>
        </is>
      </c>
      <c r="C188" s="20" t="n">
        <v>44</v>
      </c>
      <c r="D188" s="20" t="n">
        <v>4</v>
      </c>
      <c r="E188" s="20" t="n">
        <v>4</v>
      </c>
      <c r="F188" s="20" t="n">
        <v>199</v>
      </c>
      <c r="G188" s="20" t="n">
        <v>2</v>
      </c>
      <c r="H188" s="20" t="n">
        <v>0</v>
      </c>
      <c r="I188" s="20" t="n">
        <v>4</v>
      </c>
      <c r="J188" s="20" t="n">
        <v>4</v>
      </c>
      <c r="K188" s="20" t="n">
        <v>4</v>
      </c>
      <c r="L188" s="20" t="n">
        <v>5</v>
      </c>
      <c r="M188" s="20" t="n">
        <v>2</v>
      </c>
      <c r="N188" s="20" t="n">
        <v>4</v>
      </c>
      <c r="O188" s="20" t="n">
        <v>0</v>
      </c>
      <c r="P188" s="20" t="n">
        <v>1</v>
      </c>
      <c r="Q188" s="20" t="n">
        <v>2</v>
      </c>
      <c r="R188" s="20" t="n">
        <v>267</v>
      </c>
      <c r="S188" s="20" t="n">
        <v>546</v>
      </c>
      <c r="T188" s="20" t="n">
        <v>7</v>
      </c>
      <c r="U188" s="20" t="n">
        <v>274</v>
      </c>
      <c r="V188" s="20" t="n">
        <v>827</v>
      </c>
      <c r="W188" s="20" t="n">
        <v>0</v>
      </c>
      <c r="X188" s="20">
        <f>SUM(C189:R189)-S189</f>
        <v/>
      </c>
    </row>
    <row r="189">
      <c r="A189" s="18" t="n">
        <v>184</v>
      </c>
      <c r="B189" s="27" t="inlineStr">
        <is>
          <t>IDUDDENAPALLI</t>
        </is>
      </c>
      <c r="C189" s="20" t="n">
        <v>92</v>
      </c>
      <c r="D189" s="20" t="n">
        <v>4</v>
      </c>
      <c r="E189" s="20" t="n">
        <v>16</v>
      </c>
      <c r="F189" s="20" t="n">
        <v>223</v>
      </c>
      <c r="G189" s="20" t="n">
        <v>2</v>
      </c>
      <c r="H189" s="20" t="n">
        <v>2</v>
      </c>
      <c r="I189" s="20" t="n">
        <v>6</v>
      </c>
      <c r="J189" s="20" t="n">
        <v>0</v>
      </c>
      <c r="K189" s="20" t="n">
        <v>4</v>
      </c>
      <c r="L189" s="20" t="n">
        <v>12</v>
      </c>
      <c r="M189" s="20" t="n">
        <v>14</v>
      </c>
      <c r="N189" s="20" t="n">
        <v>4</v>
      </c>
      <c r="O189" s="20" t="n">
        <v>3</v>
      </c>
      <c r="P189" s="20" t="n">
        <v>2</v>
      </c>
      <c r="Q189" s="20" t="n">
        <v>0</v>
      </c>
      <c r="R189" s="20" t="n">
        <v>365</v>
      </c>
      <c r="S189" s="20" t="n">
        <v>749</v>
      </c>
      <c r="T189" s="20" t="n">
        <v>16</v>
      </c>
      <c r="U189" s="20" t="n">
        <v>381</v>
      </c>
      <c r="V189" s="20" t="n">
        <v>1146</v>
      </c>
      <c r="W189" s="20" t="n">
        <v>0</v>
      </c>
      <c r="X189" s="20">
        <f>SUM(C190:R190)-S190</f>
        <v/>
      </c>
    </row>
    <row r="190">
      <c r="A190" s="18" t="n">
        <v>185</v>
      </c>
      <c r="B190" s="27" t="inlineStr">
        <is>
          <t>IDUDDENAPALLI</t>
        </is>
      </c>
      <c r="C190" s="20" t="n">
        <v>85</v>
      </c>
      <c r="D190" s="20" t="n">
        <v>4</v>
      </c>
      <c r="E190" s="20" t="n">
        <v>9</v>
      </c>
      <c r="F190" s="20" t="n">
        <v>417</v>
      </c>
      <c r="G190" s="20" t="n">
        <v>3</v>
      </c>
      <c r="H190" s="20" t="n">
        <v>0</v>
      </c>
      <c r="I190" s="20" t="n">
        <v>2</v>
      </c>
      <c r="J190" s="20" t="n">
        <v>0</v>
      </c>
      <c r="K190" s="20" t="n">
        <v>2</v>
      </c>
      <c r="L190" s="20" t="n">
        <v>14</v>
      </c>
      <c r="M190" s="20" t="n">
        <v>4</v>
      </c>
      <c r="N190" s="20" t="n">
        <v>0</v>
      </c>
      <c r="O190" s="20" t="n">
        <v>0</v>
      </c>
      <c r="P190" s="20" t="n">
        <v>1</v>
      </c>
      <c r="Q190" s="20" t="n">
        <v>1</v>
      </c>
      <c r="R190" s="20" t="n">
        <v>536</v>
      </c>
      <c r="S190" s="20" t="n">
        <v>1078</v>
      </c>
      <c r="T190" s="20" t="n">
        <v>4</v>
      </c>
      <c r="U190" s="20" t="n">
        <v>0</v>
      </c>
      <c r="V190" s="20" t="n">
        <v>1082</v>
      </c>
      <c r="W190" s="20" t="n">
        <v>0</v>
      </c>
      <c r="X190" s="20">
        <f>SUM(C191:R191)-S191</f>
        <v/>
      </c>
    </row>
    <row r="191">
      <c r="A191" s="18" t="n">
        <v>186</v>
      </c>
      <c r="B191" s="27" t="inlineStr">
        <is>
          <t>IDUDDENAPALLI</t>
        </is>
      </c>
      <c r="C191" s="20" t="n">
        <v>70</v>
      </c>
      <c r="D191" s="20" t="n">
        <v>8</v>
      </c>
      <c r="E191" s="20" t="n">
        <v>7</v>
      </c>
      <c r="F191" s="20" t="n">
        <v>284</v>
      </c>
      <c r="G191" s="20" t="n">
        <v>4</v>
      </c>
      <c r="H191" s="20" t="n">
        <v>0</v>
      </c>
      <c r="I191" s="20" t="n">
        <v>4</v>
      </c>
      <c r="J191" s="20" t="n">
        <v>0</v>
      </c>
      <c r="K191" s="20" t="n">
        <v>4</v>
      </c>
      <c r="L191" s="20" t="n">
        <v>17</v>
      </c>
      <c r="M191" s="20" t="n">
        <v>0</v>
      </c>
      <c r="N191" s="20" t="n">
        <v>4</v>
      </c>
      <c r="O191" s="20" t="n">
        <v>2</v>
      </c>
      <c r="P191" s="20" t="n">
        <v>0</v>
      </c>
      <c r="Q191" s="20" t="n">
        <v>3</v>
      </c>
      <c r="R191" s="20" t="n">
        <v>401</v>
      </c>
      <c r="S191" s="20" t="n">
        <v>808</v>
      </c>
      <c r="T191" s="20" t="n">
        <v>6</v>
      </c>
      <c r="U191" s="20" t="n">
        <v>407</v>
      </c>
      <c r="V191" s="20" t="n">
        <v>1221</v>
      </c>
      <c r="W191" s="20" t="n">
        <v>0</v>
      </c>
      <c r="X191" s="20">
        <f>SUM(C192:R192)-S192</f>
        <v/>
      </c>
    </row>
    <row r="192">
      <c r="A192" s="18" t="n">
        <v>187</v>
      </c>
      <c r="B192" s="27" t="inlineStr">
        <is>
          <t>a</t>
        </is>
      </c>
      <c r="C192" s="20" t="n">
        <v>2</v>
      </c>
      <c r="D192" s="20" t="n">
        <v>3</v>
      </c>
      <c r="E192" s="20" t="n">
        <v>4</v>
      </c>
      <c r="F192" s="20" t="n">
        <v>5</v>
      </c>
      <c r="G192" s="20" t="n">
        <v>6</v>
      </c>
      <c r="H192" s="20" t="n">
        <v>7</v>
      </c>
      <c r="I192" s="20" t="n">
        <v>8</v>
      </c>
      <c r="J192" s="20" t="n">
        <v>9</v>
      </c>
      <c r="K192" s="20" t="n">
        <v>10</v>
      </c>
      <c r="L192" s="20" t="n">
        <v>1</v>
      </c>
      <c r="M192" s="20" t="n">
        <v>12</v>
      </c>
      <c r="N192" s="20" t="n">
        <v>13</v>
      </c>
      <c r="O192" s="20" t="n">
        <v>14</v>
      </c>
      <c r="P192" s="20" t="n">
        <v>15</v>
      </c>
      <c r="Q192" s="20" t="n">
        <v>16</v>
      </c>
      <c r="R192" s="20" t="n">
        <v>17</v>
      </c>
      <c r="S192" s="20" t="n">
        <v>142</v>
      </c>
      <c r="T192" s="20" t="n">
        <v>19</v>
      </c>
      <c r="U192" s="20" t="n">
        <v>20</v>
      </c>
      <c r="V192" s="20" t="n">
        <v>181</v>
      </c>
      <c r="W192" s="20" t="n">
        <v>0</v>
      </c>
      <c r="X192" s="20">
        <f>SUM(C193:R193)-S193</f>
        <v/>
      </c>
    </row>
    <row r="193">
      <c r="A193" s="18" t="n">
        <v>188</v>
      </c>
      <c r="B193" s="27" t="inlineStr">
        <is>
          <t>AKUNUR</t>
        </is>
      </c>
      <c r="C193" s="20" t="n">
        <v>196</v>
      </c>
      <c r="D193" s="20" t="n">
        <v>61</v>
      </c>
      <c r="E193" s="20" t="n">
        <v>10</v>
      </c>
      <c r="F193" s="20" t="n">
        <v>491</v>
      </c>
      <c r="G193" s="20" t="n">
        <v>19</v>
      </c>
      <c r="H193" s="20" t="n">
        <v>4</v>
      </c>
      <c r="I193" s="20" t="n">
        <v>12</v>
      </c>
      <c r="J193" s="20" t="n">
        <v>3</v>
      </c>
      <c r="K193" s="20" t="n">
        <v>1</v>
      </c>
      <c r="L193" s="20" t="n">
        <v>26</v>
      </c>
      <c r="M193" s="20" t="n">
        <v>1</v>
      </c>
      <c r="N193" s="20" t="n">
        <v>2</v>
      </c>
      <c r="O193" s="20" t="n">
        <v>5</v>
      </c>
      <c r="P193" s="20" t="n">
        <v>2</v>
      </c>
      <c r="Q193" s="20" t="n">
        <v>1</v>
      </c>
      <c r="R193" s="20" t="n">
        <v>834</v>
      </c>
      <c r="S193" s="20" t="n">
        <v>1668</v>
      </c>
      <c r="T193" s="20" t="n">
        <v>15</v>
      </c>
      <c r="U193" s="20" t="n">
        <v>0</v>
      </c>
      <c r="V193" s="20" t="n">
        <v>1683</v>
      </c>
      <c r="W193" s="20" t="n">
        <v>0</v>
      </c>
      <c r="X193" s="20">
        <f>SUM(C194:R194)-S194</f>
        <v/>
      </c>
    </row>
    <row r="194">
      <c r="A194" s="18" t="n">
        <v>189</v>
      </c>
      <c r="B194" s="27" t="inlineStr">
        <is>
          <t>AKUNUR</t>
        </is>
      </c>
      <c r="C194" s="20" t="n">
        <v>264</v>
      </c>
      <c r="D194" s="20" t="n">
        <v>24</v>
      </c>
      <c r="E194" s="20" t="n">
        <v>12</v>
      </c>
      <c r="F194" s="20" t="n">
        <v>539</v>
      </c>
      <c r="G194" s="20" t="n">
        <v>10</v>
      </c>
      <c r="H194" s="20" t="n">
        <v>4</v>
      </c>
      <c r="I194" s="20" t="n">
        <v>6</v>
      </c>
      <c r="J194" s="20" t="n">
        <v>1</v>
      </c>
      <c r="K194" s="20" t="n">
        <v>3</v>
      </c>
      <c r="L194" s="20" t="n">
        <v>29</v>
      </c>
      <c r="M194" s="20" t="n">
        <v>1</v>
      </c>
      <c r="N194" s="20" t="n">
        <v>4</v>
      </c>
      <c r="O194" s="20" t="n">
        <v>5</v>
      </c>
      <c r="P194" s="20" t="n">
        <v>3</v>
      </c>
      <c r="Q194" s="20" t="n">
        <v>3</v>
      </c>
      <c r="R194" s="20" t="n">
        <v>908</v>
      </c>
      <c r="S194" s="20" t="n">
        <v>1816</v>
      </c>
      <c r="T194" s="20" t="n">
        <v>22</v>
      </c>
      <c r="U194" s="20" t="n">
        <v>0</v>
      </c>
      <c r="V194" s="20" t="n">
        <v>1838</v>
      </c>
      <c r="W194" s="20" t="n">
        <v>0</v>
      </c>
      <c r="X194" s="20">
        <f>SUM(C195:R195)-S195</f>
        <v/>
      </c>
    </row>
    <row r="195">
      <c r="A195" s="18" t="n">
        <v>190</v>
      </c>
      <c r="B195" s="27" t="inlineStr">
        <is>
          <t>PERKAPALLL HIO,</t>
        </is>
      </c>
      <c r="C195" s="20" t="n">
        <v>282</v>
      </c>
      <c r="D195" s="20" t="n">
        <v>11</v>
      </c>
      <c r="E195" s="20" t="n">
        <v>3</v>
      </c>
      <c r="F195" s="20" t="n">
        <v>209</v>
      </c>
      <c r="G195" s="20" t="n">
        <v>3</v>
      </c>
      <c r="H195" s="20" t="n">
        <v>3</v>
      </c>
      <c r="I195" s="20" t="n">
        <v>4</v>
      </c>
      <c r="J195" s="20" t="n">
        <v>2</v>
      </c>
      <c r="K195" s="20" t="n">
        <v>1</v>
      </c>
      <c r="L195" s="20" t="n">
        <v>8</v>
      </c>
      <c r="M195" s="20" t="n">
        <v>1</v>
      </c>
      <c r="N195" s="20" t="n">
        <v>1</v>
      </c>
      <c r="O195" s="20" t="n">
        <v>7</v>
      </c>
      <c r="P195" s="20" t="n">
        <v>4</v>
      </c>
      <c r="Q195" s="20" t="n">
        <v>2</v>
      </c>
      <c r="R195" s="20" t="n">
        <v>538</v>
      </c>
      <c r="S195" s="20" t="n">
        <v>1079</v>
      </c>
      <c r="T195" s="20" t="n">
        <v>24</v>
      </c>
      <c r="U195" s="20" t="n">
        <v>0</v>
      </c>
      <c r="V195" s="20" t="n">
        <v>1103</v>
      </c>
      <c r="W195" s="20" t="n">
        <v>0</v>
      </c>
      <c r="X195" s="20">
        <f>SUM(C196:R196)-S196</f>
        <v/>
      </c>
    </row>
    <row r="196">
      <c r="A196" s="18" t="n">
        <v>191</v>
      </c>
      <c r="B196" s="27" t="inlineStr">
        <is>
          <t>PERKAPALLI HIO)</t>
        </is>
      </c>
      <c r="C196" s="20" t="n">
        <v>76</v>
      </c>
      <c r="D196" s="20" t="n">
        <v>21</v>
      </c>
      <c r="E196" s="20" t="n">
        <v>11</v>
      </c>
      <c r="F196" s="20" t="n">
        <v>344</v>
      </c>
      <c r="G196" s="20" t="n">
        <v>3</v>
      </c>
      <c r="H196" s="20" t="n">
        <v>2</v>
      </c>
      <c r="I196" s="20" t="n">
        <v>11</v>
      </c>
      <c r="J196" s="20" t="n">
        <v>4</v>
      </c>
      <c r="K196" s="20" t="n">
        <v>1</v>
      </c>
      <c r="L196" s="20" t="n">
        <v>30</v>
      </c>
      <c r="M196" s="20" t="n">
        <v>2</v>
      </c>
      <c r="N196" s="20" t="n">
        <v>3</v>
      </c>
      <c r="O196" s="20" t="n">
        <v>2</v>
      </c>
      <c r="P196" s="20" t="n">
        <v>4</v>
      </c>
      <c r="Q196" s="20" t="n">
        <v>3</v>
      </c>
      <c r="R196" s="20" t="n">
        <v>514</v>
      </c>
      <c r="S196" s="20" t="n">
        <v>1031</v>
      </c>
      <c r="T196" s="20" t="n">
        <v>16</v>
      </c>
      <c r="U196" s="20" t="n">
        <v>0</v>
      </c>
      <c r="V196" s="20" t="n">
        <v>1047</v>
      </c>
      <c r="W196" s="20" t="n">
        <v>0</v>
      </c>
      <c r="X196" s="20">
        <f>SUM(C197:R197)-S197</f>
        <v/>
      </c>
    </row>
    <row r="197">
      <c r="A197" s="18" t="n">
        <v>192</v>
      </c>
      <c r="B197" s="27" t="inlineStr">
        <is>
          <t>PERKAPALLI HIO</t>
        </is>
      </c>
      <c r="C197" s="20" t="n">
        <v>112</v>
      </c>
      <c r="D197" s="20" t="n">
        <v>38</v>
      </c>
      <c r="E197" s="20" t="n">
        <v>12</v>
      </c>
      <c r="F197" s="20" t="n">
        <v>644</v>
      </c>
      <c r="G197" s="20" t="n">
        <v>5</v>
      </c>
      <c r="H197" s="20" t="n">
        <v>5</v>
      </c>
      <c r="I197" s="20" t="n">
        <v>10</v>
      </c>
      <c r="J197" s="20" t="n">
        <v>3</v>
      </c>
      <c r="K197" s="20" t="n">
        <v>5</v>
      </c>
      <c r="L197" s="20" t="n">
        <v>29</v>
      </c>
      <c r="M197" s="20" t="n">
        <v>3</v>
      </c>
      <c r="N197" s="20" t="n">
        <v>2</v>
      </c>
      <c r="O197" s="20" t="n">
        <v>4</v>
      </c>
      <c r="P197" s="20" t="n">
        <v>2</v>
      </c>
      <c r="Q197" s="20" t="n">
        <v>2</v>
      </c>
      <c r="R197" s="20" t="n">
        <v>876</v>
      </c>
      <c r="S197" s="20" t="n">
        <v>1752</v>
      </c>
      <c r="T197" s="20" t="n">
        <v>14</v>
      </c>
      <c r="U197" s="20" t="n">
        <v>0</v>
      </c>
      <c r="V197" s="20" t="n">
        <v>1766</v>
      </c>
      <c r="W197" s="20" t="n">
        <v>0</v>
      </c>
      <c r="X197" s="20">
        <f>SUM(C198:R198)-S198</f>
        <v/>
      </c>
    </row>
    <row r="198">
      <c r="A198" s="18" t="n">
        <v>193</v>
      </c>
      <c r="B198" s="27" t="inlineStr">
        <is>
          <t>GHANPUR</t>
        </is>
      </c>
      <c r="C198" s="20" t="n">
        <v>120</v>
      </c>
      <c r="D198" s="20" t="n">
        <v>10</v>
      </c>
      <c r="E198" s="20" t="n">
        <v>8</v>
      </c>
      <c r="F198" s="20" t="n">
        <v>290</v>
      </c>
      <c r="G198" s="20" t="n">
        <v>8</v>
      </c>
      <c r="H198" s="20" t="n">
        <v>3</v>
      </c>
      <c r="I198" s="20" t="n">
        <v>6</v>
      </c>
      <c r="J198" s="20" t="n">
        <v>0</v>
      </c>
      <c r="K198" s="20" t="n">
        <v>1</v>
      </c>
      <c r="L198" s="20" t="n">
        <v>14</v>
      </c>
      <c r="M198" s="20" t="n">
        <v>1</v>
      </c>
      <c r="N198" s="20" t="n">
        <v>5</v>
      </c>
      <c r="O198" s="20" t="n">
        <v>3</v>
      </c>
      <c r="P198" s="20" t="n">
        <v>0</v>
      </c>
      <c r="Q198" s="20" t="n">
        <v>2</v>
      </c>
      <c r="R198" s="20" t="n">
        <v>471</v>
      </c>
      <c r="S198" s="20" t="n">
        <v>942</v>
      </c>
      <c r="T198" s="20" t="n">
        <v>21</v>
      </c>
      <c r="U198" s="20" t="n">
        <v>492</v>
      </c>
      <c r="V198" s="20" t="n">
        <v>1455</v>
      </c>
      <c r="W198" s="20" t="n">
        <v>0</v>
      </c>
      <c r="X198" s="20">
        <f>SUM(C199:R199)-S199</f>
        <v/>
      </c>
    </row>
    <row r="199">
      <c r="A199" s="18" t="n">
        <v>194</v>
      </c>
      <c r="B199" s="27" t="inlineStr">
        <is>
          <t>GHANPUR</t>
        </is>
      </c>
      <c r="C199" s="20" t="n">
        <v>127</v>
      </c>
      <c r="D199" s="20" t="n">
        <v>18</v>
      </c>
      <c r="E199" s="20" t="n">
        <v>9</v>
      </c>
      <c r="F199" s="20" t="n">
        <v>510</v>
      </c>
      <c r="G199" s="20" t="n">
        <v>6</v>
      </c>
      <c r="H199" s="20" t="n">
        <v>4</v>
      </c>
      <c r="I199" s="20" t="n">
        <v>14</v>
      </c>
      <c r="J199" s="20" t="n">
        <v>0</v>
      </c>
      <c r="K199" s="20" t="n">
        <v>3</v>
      </c>
      <c r="L199" s="20" t="n">
        <v>19</v>
      </c>
      <c r="M199" s="20" t="n">
        <v>3</v>
      </c>
      <c r="N199" s="20" t="n">
        <v>5</v>
      </c>
      <c r="O199" s="20" t="n">
        <v>6</v>
      </c>
      <c r="P199" s="20" t="n">
        <v>2</v>
      </c>
      <c r="Q199" s="20" t="n">
        <v>1</v>
      </c>
      <c r="R199" s="20" t="n">
        <v>727</v>
      </c>
      <c r="S199" s="20" t="n">
        <v>1454</v>
      </c>
      <c r="T199" s="20" t="n">
        <v>23</v>
      </c>
      <c r="U199" s="20" t="n">
        <v>0</v>
      </c>
      <c r="V199" s="20" t="n">
        <v>1477</v>
      </c>
      <c r="W199" s="20" t="n">
        <v>0</v>
      </c>
      <c r="X199" s="20">
        <f>SUM(C200:R200)-S200</f>
        <v/>
      </c>
    </row>
    <row r="200">
      <c r="A200" s="18" t="n">
        <v>195</v>
      </c>
      <c r="B200" s="27" t="inlineStr">
        <is>
          <t>GODISHALA</t>
        </is>
      </c>
      <c r="C200" s="20" t="n">
        <v>128</v>
      </c>
      <c r="D200" s="20" t="n">
        <v>14</v>
      </c>
      <c r="E200" s="20" t="n">
        <v>6</v>
      </c>
      <c r="F200" s="20" t="n">
        <v>346</v>
      </c>
      <c r="G200" s="20" t="n">
        <v>0</v>
      </c>
      <c r="H200" s="20" t="n">
        <v>1</v>
      </c>
      <c r="I200" s="20" t="n">
        <v>6</v>
      </c>
      <c r="J200" s="20" t="n">
        <v>0</v>
      </c>
      <c r="K200" s="20" t="n">
        <v>1</v>
      </c>
      <c r="L200" s="20" t="n">
        <v>14</v>
      </c>
      <c r="M200" s="20" t="n">
        <v>0</v>
      </c>
      <c r="N200" s="20" t="n">
        <v>3</v>
      </c>
      <c r="O200" s="20" t="n">
        <v>0</v>
      </c>
      <c r="P200" s="20" t="n">
        <v>2</v>
      </c>
      <c r="Q200" s="20" t="n">
        <v>0</v>
      </c>
      <c r="R200" s="20" t="n">
        <v>523</v>
      </c>
      <c r="S200" s="20" t="n">
        <v>1044</v>
      </c>
      <c r="T200" s="20" t="n">
        <v>16</v>
      </c>
      <c r="U200" s="20" t="n">
        <v>0</v>
      </c>
      <c r="V200" s="20" t="n">
        <v>1060</v>
      </c>
      <c r="W200" s="20" t="n">
        <v>0</v>
      </c>
      <c r="X200" s="20">
        <f>SUM(C201:R201)-S201</f>
        <v/>
      </c>
    </row>
    <row r="201">
      <c r="A201" s="18" t="n">
        <v>196</v>
      </c>
      <c r="B201" s="27" t="inlineStr">
        <is>
          <t>GODISHALA</t>
        </is>
      </c>
      <c r="C201" s="20" t="n">
        <v>204</v>
      </c>
      <c r="D201" s="20" t="n">
        <v>10</v>
      </c>
      <c r="E201" s="20" t="n">
        <v>13</v>
      </c>
      <c r="F201" s="20" t="n">
        <v>397</v>
      </c>
      <c r="G201" s="20" t="n">
        <v>0</v>
      </c>
      <c r="H201" s="20" t="n">
        <v>3</v>
      </c>
      <c r="I201" s="20" t="n">
        <v>9</v>
      </c>
      <c r="J201" s="20" t="n">
        <v>4</v>
      </c>
      <c r="K201" s="20" t="n">
        <v>2</v>
      </c>
      <c r="L201" s="20" t="n">
        <v>27</v>
      </c>
      <c r="M201" s="20" t="n">
        <v>5</v>
      </c>
      <c r="N201" s="20" t="n">
        <v>2</v>
      </c>
      <c r="O201" s="20" t="n">
        <v>2</v>
      </c>
      <c r="P201" s="20" t="n">
        <v>2</v>
      </c>
      <c r="Q201" s="20" t="n">
        <v>5</v>
      </c>
      <c r="R201" s="20" t="n">
        <v>685</v>
      </c>
      <c r="S201" s="20" t="n">
        <v>1370</v>
      </c>
      <c r="T201" s="20" t="n">
        <v>22</v>
      </c>
      <c r="U201" s="20" t="n">
        <v>0</v>
      </c>
      <c r="V201" s="20" t="n">
        <v>1392</v>
      </c>
      <c r="W201" s="20" t="n">
        <v>0</v>
      </c>
      <c r="X201" s="20">
        <f>SUM(C202:R202)-S202</f>
        <v/>
      </c>
    </row>
    <row r="202">
      <c r="A202" s="18" t="n">
        <v>197</v>
      </c>
      <c r="B202" s="27" t="inlineStr">
        <is>
          <t>CODA</t>
        </is>
      </c>
      <c r="C202" s="20" t="n">
        <v>115</v>
      </c>
      <c r="D202" s="20" t="n">
        <v>11</v>
      </c>
      <c r="E202" s="20" t="n">
        <v>19</v>
      </c>
      <c r="F202" s="20" t="n">
        <v>549</v>
      </c>
      <c r="G202" s="20" t="n">
        <v>3</v>
      </c>
      <c r="H202" s="20" t="n">
        <v>3</v>
      </c>
      <c r="I202" s="20" t="n">
        <v>7</v>
      </c>
      <c r="J202" s="20" t="n">
        <v>41</v>
      </c>
      <c r="K202" s="20" t="n">
        <v>2</v>
      </c>
      <c r="L202" s="20" t="n">
        <v>21</v>
      </c>
      <c r="M202" s="20" t="n">
        <v>1</v>
      </c>
      <c r="N202" s="20" t="n">
        <v>2</v>
      </c>
      <c r="O202" s="20" t="n">
        <v>2</v>
      </c>
      <c r="P202" s="20" t="n">
        <v>0</v>
      </c>
      <c r="Q202" s="20" t="n">
        <v>2</v>
      </c>
      <c r="R202" s="20" t="n">
        <v>738</v>
      </c>
      <c r="S202" s="20" t="n">
        <v>1516</v>
      </c>
      <c r="T202" s="20" t="n">
        <v>4</v>
      </c>
      <c r="U202" s="20" t="n">
        <v>0</v>
      </c>
      <c r="V202" s="20" t="n">
        <v>1520</v>
      </c>
      <c r="W202" s="20" t="n">
        <v>0</v>
      </c>
      <c r="X202" s="20">
        <f>SUM(C203:R203)-S203</f>
        <v/>
      </c>
    </row>
    <row r="203">
      <c r="A203" s="18" t="n">
        <v>198</v>
      </c>
      <c r="B203" s="27" t="inlineStr">
        <is>
          <t>SopRHALA</t>
        </is>
      </c>
      <c r="C203" s="20" t="n">
        <v>145</v>
      </c>
      <c r="D203" s="20" t="n">
        <v>10</v>
      </c>
      <c r="E203" s="20" t="n">
        <v>12</v>
      </c>
      <c r="F203" s="20" t="n">
        <v>560</v>
      </c>
      <c r="G203" s="20" t="n">
        <v>4</v>
      </c>
      <c r="H203" s="20" t="n">
        <v>5</v>
      </c>
      <c r="I203" s="20" t="n">
        <v>11</v>
      </c>
      <c r="J203" s="20" t="n">
        <v>1</v>
      </c>
      <c r="K203" s="20" t="n">
        <v>2</v>
      </c>
      <c r="L203" s="20" t="n">
        <v>34</v>
      </c>
      <c r="M203" s="20" t="n">
        <v>0</v>
      </c>
      <c r="N203" s="20" t="n">
        <v>3</v>
      </c>
      <c r="O203" s="20" t="n">
        <v>4</v>
      </c>
      <c r="P203" s="20" t="n">
        <v>1</v>
      </c>
      <c r="Q203" s="20" t="n">
        <v>0</v>
      </c>
      <c r="R203" s="20" t="n">
        <v>792</v>
      </c>
      <c r="S203" s="20" t="n">
        <v>1584</v>
      </c>
      <c r="T203" s="20" t="n">
        <v>0</v>
      </c>
      <c r="U203" s="20" t="n">
        <v>0</v>
      </c>
      <c r="V203" s="20" t="n">
        <v>1584</v>
      </c>
      <c r="W203" s="20" t="n">
        <v>0</v>
      </c>
      <c r="X203" s="20">
        <f>SUM(C204:R204)-S204</f>
        <v/>
      </c>
    </row>
    <row r="204">
      <c r="A204" s="18" t="n">
        <v>199</v>
      </c>
      <c r="B204" s="27" t="inlineStr">
        <is>
          <t>Payee Nai</t>
        </is>
      </c>
      <c r="C204" s="20" t="n">
        <v>43</v>
      </c>
      <c r="D204" s="20" t="n">
        <v>0</v>
      </c>
      <c r="E204" s="20" t="n">
        <v>1</v>
      </c>
      <c r="F204" s="20" t="n">
        <v>216</v>
      </c>
      <c r="G204" s="20" t="n">
        <v>0</v>
      </c>
      <c r="H204" s="20" t="n">
        <v>0</v>
      </c>
      <c r="I204" s="20" t="n">
        <v>2</v>
      </c>
      <c r="J204" s="20" t="n">
        <v>0</v>
      </c>
      <c r="K204" s="20" t="n">
        <v>0</v>
      </c>
      <c r="L204" s="20" t="n">
        <v>7</v>
      </c>
      <c r="M204" s="20" t="n">
        <v>0</v>
      </c>
      <c r="N204" s="20" t="n">
        <v>0</v>
      </c>
      <c r="O204" s="20" t="n">
        <v>2</v>
      </c>
      <c r="P204" s="20" t="n">
        <v>0</v>
      </c>
      <c r="Q204" s="20" t="n">
        <v>0</v>
      </c>
      <c r="R204" s="20" t="n">
        <v>271</v>
      </c>
      <c r="S204" s="20" t="n">
        <v>542</v>
      </c>
      <c r="T204" s="20" t="n">
        <v>7</v>
      </c>
      <c r="U204" s="20" t="n">
        <v>278</v>
      </c>
      <c r="V204" s="20" t="n">
        <v>827</v>
      </c>
      <c r="W204" s="20" t="n">
        <v>0</v>
      </c>
      <c r="X204" s="20">
        <f>SUM(C205:R205)-S205</f>
        <v/>
      </c>
    </row>
    <row r="205">
      <c r="A205" s="18" t="n">
        <v>200</v>
      </c>
      <c r="B205" s="27" t="inlineStr">
        <is>
          <t>ELABOTHARAM</t>
        </is>
      </c>
      <c r="C205" s="20" t="n">
        <v>364</v>
      </c>
      <c r="D205" s="20" t="n">
        <v>14</v>
      </c>
      <c r="E205" s="20" t="n">
        <v>4</v>
      </c>
      <c r="F205" s="20" t="n">
        <v>503</v>
      </c>
      <c r="G205" s="20" t="n">
        <v>4</v>
      </c>
      <c r="H205" s="20" t="n">
        <v>2</v>
      </c>
      <c r="I205" s="20" t="n">
        <v>6</v>
      </c>
      <c r="J205" s="20" t="n">
        <v>2</v>
      </c>
      <c r="K205" s="20" t="n">
        <v>1</v>
      </c>
      <c r="L205" s="20" t="n">
        <v>14</v>
      </c>
      <c r="M205" s="20" t="n">
        <v>4</v>
      </c>
      <c r="N205" s="20" t="n">
        <v>5</v>
      </c>
      <c r="O205" s="20" t="n">
        <v>6</v>
      </c>
      <c r="P205" s="20" t="n">
        <v>4</v>
      </c>
      <c r="Q205" s="20" t="n">
        <v>6</v>
      </c>
      <c r="R205" s="20" t="n">
        <v>943</v>
      </c>
      <c r="S205" s="20" t="n">
        <v>1882</v>
      </c>
      <c r="T205" s="20" t="n">
        <v>22</v>
      </c>
      <c r="U205" s="20" t="n">
        <v>0</v>
      </c>
      <c r="V205" s="20" t="n">
        <v>1904</v>
      </c>
      <c r="W205" s="20" t="n">
        <v>0</v>
      </c>
      <c r="X205" s="20">
        <f>SUM(C206:R206)-S206</f>
        <v/>
      </c>
    </row>
    <row r="206">
      <c r="A206" s="18" t="n">
        <v>201</v>
      </c>
      <c r="B206" s="27" t="inlineStr">
        <is>
          <t>ELABOTHARAM</t>
        </is>
      </c>
      <c r="C206" s="20" t="n">
        <v>294</v>
      </c>
      <c r="D206" s="20" t="n">
        <v>31</v>
      </c>
      <c r="E206" s="20" t="n">
        <v>4</v>
      </c>
      <c r="F206" s="20" t="n">
        <v>314</v>
      </c>
      <c r="G206" s="20" t="n">
        <v>10</v>
      </c>
      <c r="H206" s="20" t="n">
        <v>2</v>
      </c>
      <c r="I206" s="20" t="n">
        <v>4</v>
      </c>
      <c r="J206" s="20" t="n">
        <v>3</v>
      </c>
      <c r="K206" s="20" t="n">
        <v>6</v>
      </c>
      <c r="L206" s="20" t="n">
        <v>15</v>
      </c>
      <c r="M206" s="20" t="n">
        <v>0</v>
      </c>
      <c r="N206" s="20" t="n">
        <v>4</v>
      </c>
      <c r="O206" s="20" t="n">
        <v>4</v>
      </c>
      <c r="P206" s="20" t="n">
        <v>2</v>
      </c>
      <c r="Q206" s="20" t="n">
        <v>2</v>
      </c>
      <c r="R206" s="20" t="n">
        <v>695</v>
      </c>
      <c r="S206" s="20" t="n">
        <v>1390</v>
      </c>
      <c r="T206" s="20" t="n">
        <v>29</v>
      </c>
      <c r="U206" s="20" t="n">
        <v>0</v>
      </c>
      <c r="V206" s="20" t="n">
        <v>1419</v>
      </c>
      <c r="W206" s="20" t="n">
        <v>0</v>
      </c>
      <c r="X206" s="20">
        <f>SUM(C207:R207)-S207</f>
        <v/>
      </c>
    </row>
    <row r="207">
      <c r="A207" s="18" t="n">
        <v>202</v>
      </c>
      <c r="B207" s="27" t="inlineStr">
        <is>
          <t>RAMACHANDRAPUR</t>
        </is>
      </c>
      <c r="C207" s="20" t="n">
        <v>151</v>
      </c>
      <c r="D207" s="20" t="n">
        <v>3</v>
      </c>
      <c r="E207" s="20" t="n">
        <v>8</v>
      </c>
      <c r="F207" s="20" t="n">
        <v>523</v>
      </c>
      <c r="G207" s="20" t="n">
        <v>3</v>
      </c>
      <c r="H207" s="20" t="n">
        <v>2</v>
      </c>
      <c r="I207" s="20" t="n">
        <v>10</v>
      </c>
      <c r="J207" s="20" t="n">
        <v>2</v>
      </c>
      <c r="K207" s="20" t="n">
        <v>1</v>
      </c>
      <c r="L207" s="20" t="n">
        <v>15</v>
      </c>
      <c r="M207" s="20" t="n">
        <v>7</v>
      </c>
      <c r="N207" s="20" t="n">
        <v>5</v>
      </c>
      <c r="O207" s="20" t="n">
        <v>2</v>
      </c>
      <c r="P207" s="20" t="n">
        <v>2</v>
      </c>
      <c r="Q207" s="20" t="n">
        <v>5</v>
      </c>
      <c r="R207" s="20" t="n">
        <v>739</v>
      </c>
      <c r="S207" s="20" t="n">
        <v>1478</v>
      </c>
      <c r="T207" s="20" t="n">
        <v>24</v>
      </c>
      <c r="U207" s="20" t="n">
        <v>0</v>
      </c>
      <c r="V207" s="20" t="n">
        <v>1502</v>
      </c>
      <c r="W207" s="20" t="n">
        <v>0</v>
      </c>
      <c r="X207" s="20">
        <f>SUM(C208:R208)-S208</f>
        <v/>
      </c>
    </row>
    <row r="208">
      <c r="A208" s="18" t="n">
        <v>203</v>
      </c>
      <c r="B208" s="27" t="inlineStr">
        <is>
          <t>‘AMMANAGURTHI</t>
        </is>
      </c>
      <c r="C208" s="20" t="n">
        <v>216</v>
      </c>
      <c r="D208" s="20" t="n">
        <v>39</v>
      </c>
      <c r="E208" s="20" t="n">
        <v>9</v>
      </c>
      <c r="F208" s="20" t="n">
        <v>505</v>
      </c>
      <c r="G208" s="20" t="n">
        <v>7</v>
      </c>
      <c r="H208" s="20" t="n">
        <v>7</v>
      </c>
      <c r="I208" s="20" t="n">
        <v>10</v>
      </c>
      <c r="J208" s="20" t="n">
        <v>4</v>
      </c>
      <c r="K208" s="20" t="n">
        <v>6</v>
      </c>
      <c r="L208" s="20" t="n">
        <v>21</v>
      </c>
      <c r="M208" s="20" t="n">
        <v>4</v>
      </c>
      <c r="N208" s="20" t="n">
        <v>12</v>
      </c>
      <c r="O208" s="20" t="n">
        <v>5</v>
      </c>
      <c r="P208" s="20" t="n">
        <v>4</v>
      </c>
      <c r="Q208" s="20" t="n">
        <v>1</v>
      </c>
      <c r="R208" s="20" t="n">
        <v>850</v>
      </c>
      <c r="S208" s="20" t="n">
        <v>1700</v>
      </c>
      <c r="T208" s="20" t="n">
        <v>36</v>
      </c>
      <c r="U208" s="20" t="n">
        <v>0</v>
      </c>
      <c r="V208" s="20" t="n">
        <v>1736</v>
      </c>
      <c r="W208" s="20" t="n">
        <v>0</v>
      </c>
      <c r="X208" s="20">
        <f>SUM(C209:R209)-S209</f>
        <v/>
      </c>
    </row>
    <row r="209">
      <c r="A209" s="18" t="n">
        <v>204</v>
      </c>
      <c r="B209" s="27" t="inlineStr">
        <is>
          <t>AMMANAGURTHI</t>
        </is>
      </c>
      <c r="C209" s="20" t="n">
        <v>207</v>
      </c>
      <c r="D209" s="20" t="n">
        <v>4</v>
      </c>
      <c r="E209" s="20" t="n">
        <v>0</v>
      </c>
      <c r="F209" s="20" t="n">
        <v>387</v>
      </c>
      <c r="G209" s="20" t="n">
        <v>8</v>
      </c>
      <c r="H209" s="20" t="n">
        <v>2</v>
      </c>
      <c r="I209" s="20" t="n">
        <v>9</v>
      </c>
      <c r="J209" s="20" t="n">
        <v>0</v>
      </c>
      <c r="K209" s="20" t="n">
        <v>0</v>
      </c>
      <c r="L209" s="20" t="n">
        <v>12</v>
      </c>
      <c r="M209" s="20" t="n">
        <v>3</v>
      </c>
      <c r="N209" s="20" t="n">
        <v>3</v>
      </c>
      <c r="O209" s="20" t="n">
        <v>5</v>
      </c>
      <c r="P209" s="20" t="n">
        <v>3</v>
      </c>
      <c r="Q209" s="20" t="n">
        <v>0</v>
      </c>
      <c r="R209" s="20" t="n">
        <v>687</v>
      </c>
      <c r="S209" s="20" t="n">
        <v>1330</v>
      </c>
      <c r="T209" s="20" t="n">
        <v>8</v>
      </c>
      <c r="U209" s="20" t="n">
        <v>0</v>
      </c>
      <c r="V209" s="20" t="n">
        <v>1338</v>
      </c>
      <c r="W209" s="20" t="n">
        <v>0</v>
      </c>
      <c r="X209" s="20">
        <f>SUM(C210:R210)-S210</f>
        <v/>
      </c>
    </row>
    <row r="210">
      <c r="A210" s="18" t="n">
        <v>205</v>
      </c>
      <c r="B210" s="27" t="inlineStr">
        <is>
          <t>BOMMAKAL</t>
        </is>
      </c>
      <c r="C210" s="20" t="n">
        <v>111</v>
      </c>
      <c r="D210" s="20" t="n">
        <v>25</v>
      </c>
      <c r="E210" s="20" t="n">
        <v>2</v>
      </c>
      <c r="F210" s="20" t="n">
        <v>457</v>
      </c>
      <c r="G210" s="20" t="n">
        <v>4</v>
      </c>
      <c r="H210" s="20" t="n">
        <v>3</v>
      </c>
      <c r="I210" s="20" t="n">
        <v>11</v>
      </c>
      <c r="J210" s="20" t="n">
        <v>2</v>
      </c>
      <c r="K210" s="20" t="n">
        <v>2</v>
      </c>
      <c r="L210" s="20" t="n">
        <v>27</v>
      </c>
      <c r="M210" s="20" t="n">
        <v>6</v>
      </c>
      <c r="N210" s="20" t="n">
        <v>1</v>
      </c>
      <c r="O210" s="20" t="n">
        <v>5</v>
      </c>
      <c r="P210" s="20" t="n">
        <v>2</v>
      </c>
      <c r="Q210" s="20" t="n">
        <v>2</v>
      </c>
      <c r="R210" s="20" t="n">
        <v>660</v>
      </c>
      <c r="S210" s="20" t="n">
        <v>1320</v>
      </c>
      <c r="T210" s="20" t="n">
        <v>32</v>
      </c>
      <c r="U210" s="20" t="n">
        <v>0</v>
      </c>
      <c r="V210" s="20" t="n">
        <v>1352</v>
      </c>
      <c r="W210" s="20" t="n">
        <v>0</v>
      </c>
      <c r="X210" s="20">
        <f>SUM(C211:R211)-S211</f>
        <v/>
      </c>
    </row>
    <row r="211">
      <c r="A211" s="18" t="n">
        <v>206</v>
      </c>
      <c r="B211" s="27" t="inlineStr">
        <is>
          <t>BOMMAKAL</t>
        </is>
      </c>
      <c r="C211" s="20" t="n">
        <v>72</v>
      </c>
      <c r="D211" s="20" t="n">
        <v>5</v>
      </c>
      <c r="E211" s="20" t="n">
        <v>6</v>
      </c>
      <c r="F211" s="20" t="n">
        <v>321</v>
      </c>
      <c r="G211" s="20" t="n">
        <v>1</v>
      </c>
      <c r="H211" s="20" t="n">
        <v>1</v>
      </c>
      <c r="I211" s="20" t="n">
        <v>6</v>
      </c>
      <c r="J211" s="20" t="n">
        <v>1</v>
      </c>
      <c r="K211" s="20" t="n">
        <v>0</v>
      </c>
      <c r="L211" s="20" t="n">
        <v>2</v>
      </c>
      <c r="M211" s="20" t="n">
        <v>0</v>
      </c>
      <c r="N211" s="20" t="n">
        <v>1</v>
      </c>
      <c r="O211" s="20" t="n">
        <v>2</v>
      </c>
      <c r="P211" s="20" t="n">
        <v>0</v>
      </c>
      <c r="Q211" s="20" t="n">
        <v>0</v>
      </c>
      <c r="R211" s="20" t="n">
        <v>418</v>
      </c>
      <c r="S211" s="20" t="n">
        <v>836</v>
      </c>
      <c r="T211" s="20" t="n">
        <v>13</v>
      </c>
      <c r="U211" s="20" t="n">
        <v>431</v>
      </c>
      <c r="V211" s="20" t="n">
        <v>1280</v>
      </c>
      <c r="W211" s="20" t="n">
        <v>0</v>
      </c>
      <c r="X211" s="20">
        <f>SUM(C212:R212)-S212</f>
        <v/>
      </c>
    </row>
    <row r="212">
      <c r="A212" s="18" t="n">
        <v>207</v>
      </c>
      <c r="B212" s="27" t="inlineStr">
        <is>
          <t>BOMMAKAL</t>
        </is>
      </c>
      <c r="C212" s="20" t="n">
        <v>209</v>
      </c>
      <c r="D212" s="20" t="n">
        <v>11</v>
      </c>
      <c r="E212" s="20" t="n">
        <v>7</v>
      </c>
      <c r="F212" s="20" t="n">
        <v>247</v>
      </c>
      <c r="G212" s="20" t="n">
        <v>5</v>
      </c>
      <c r="H212" s="20" t="n">
        <v>2</v>
      </c>
      <c r="I212" s="20" t="n">
        <v>2</v>
      </c>
      <c r="J212" s="20" t="n">
        <v>3</v>
      </c>
      <c r="K212" s="20" t="n">
        <v>0</v>
      </c>
      <c r="L212" s="20" t="n">
        <v>10</v>
      </c>
      <c r="M212" s="20" t="n">
        <v>1</v>
      </c>
      <c r="N212" s="20" t="n">
        <v>2</v>
      </c>
      <c r="O212" s="20" t="n">
        <v>1</v>
      </c>
      <c r="P212" s="20" t="n">
        <v>3</v>
      </c>
      <c r="Q212" s="20" t="n">
        <v>1</v>
      </c>
      <c r="R212" s="20" t="n">
        <v>504</v>
      </c>
      <c r="S212" s="20" t="n">
        <v>1008</v>
      </c>
      <c r="T212" s="20" t="n">
        <v>10</v>
      </c>
      <c r="U212" s="20" t="n">
        <v>0</v>
      </c>
      <c r="V212" s="20" t="n">
        <v>1018</v>
      </c>
      <c r="W212" s="20" t="n">
        <v>0</v>
      </c>
      <c r="X212" s="20">
        <f>SUM(C213:R213)-S213</f>
        <v/>
      </c>
    </row>
    <row r="213">
      <c r="A213" s="18" t="n">
        <v>208</v>
      </c>
      <c r="B213" s="27" t="inlineStr">
        <is>
          <t>RAIKAL 7</t>
        </is>
      </c>
      <c r="C213" s="20" t="n">
        <v>87</v>
      </c>
      <c r="D213" s="20" t="n">
        <v>62</v>
      </c>
      <c r="E213" s="20" t="n">
        <v>8</v>
      </c>
      <c r="F213" s="20" t="n">
        <v>519</v>
      </c>
      <c r="G213" s="20" t="n">
        <v>6</v>
      </c>
      <c r="H213" s="20" t="n">
        <v>6</v>
      </c>
      <c r="I213" s="20" t="n">
        <v>13</v>
      </c>
      <c r="J213" s="20" t="n">
        <v>3</v>
      </c>
      <c r="K213" s="20" t="n">
        <v>4</v>
      </c>
      <c r="L213" s="20" t="n">
        <v>17</v>
      </c>
      <c r="M213" s="20" t="n">
        <v>2</v>
      </c>
      <c r="N213" s="20" t="n">
        <v>0</v>
      </c>
      <c r="O213" s="20" t="n">
        <v>4</v>
      </c>
      <c r="P213" s="20" t="n">
        <v>0</v>
      </c>
      <c r="Q213" s="20" t="n">
        <v>3</v>
      </c>
      <c r="R213" s="20" t="n">
        <v>734</v>
      </c>
      <c r="S213" s="20" t="n">
        <v>1468</v>
      </c>
      <c r="T213" s="20" t="n">
        <v>5</v>
      </c>
      <c r="U213" s="20" t="n">
        <v>0</v>
      </c>
      <c r="V213" s="20" t="n">
        <v>1473</v>
      </c>
      <c r="W213" s="20" t="n">
        <v>0</v>
      </c>
      <c r="X213" s="20">
        <f>SUM(C214:R214)-S214</f>
        <v/>
      </c>
    </row>
    <row r="214">
      <c r="A214" s="18" t="n">
        <v>209</v>
      </c>
      <c r="B214" s="27" t="inlineStr">
        <is>
          <t>RAIKAL 7</t>
        </is>
      </c>
      <c r="C214" s="20" t="n">
        <v>310</v>
      </c>
      <c r="D214" s="20" t="n">
        <v>22</v>
      </c>
      <c r="E214" s="20" t="n">
        <v>4</v>
      </c>
      <c r="F214" s="20" t="n">
        <v>352</v>
      </c>
      <c r="G214" s="20" t="n">
        <v>3</v>
      </c>
      <c r="H214" s="20" t="n">
        <v>9</v>
      </c>
      <c r="I214" s="20" t="n">
        <v>3</v>
      </c>
      <c r="J214" s="20" t="n">
        <v>2</v>
      </c>
      <c r="K214" s="20" t="n">
        <v>2</v>
      </c>
      <c r="L214" s="20" t="n">
        <v>10</v>
      </c>
      <c r="M214" s="20" t="n">
        <v>1</v>
      </c>
      <c r="N214" s="20" t="n">
        <v>3</v>
      </c>
      <c r="O214" s="20" t="n">
        <v>3</v>
      </c>
      <c r="P214" s="20" t="n">
        <v>41</v>
      </c>
      <c r="Q214" s="20" t="n">
        <v>3</v>
      </c>
      <c r="R214" s="20" t="n">
        <v>728</v>
      </c>
      <c r="S214" s="20" t="n">
        <v>1496</v>
      </c>
      <c r="T214" s="20" t="n">
        <v>15</v>
      </c>
      <c r="U214" s="20" t="n">
        <v>0</v>
      </c>
      <c r="V214" s="20" t="n">
        <v>1511</v>
      </c>
      <c r="W214" s="20" t="n">
        <v>0</v>
      </c>
      <c r="X214" s="20">
        <f>SUM(C215:R215)-S215</f>
        <v/>
      </c>
    </row>
    <row r="215">
      <c r="A215" s="18" t="n">
        <v>210</v>
      </c>
      <c r="B215" s="27" t="inlineStr">
        <is>
          <t>VANGARA</t>
        </is>
      </c>
      <c r="C215" s="20" t="n">
        <v>258</v>
      </c>
      <c r="D215" s="20" t="n">
        <v>11</v>
      </c>
      <c r="E215" s="20" t="n">
        <v>10</v>
      </c>
      <c r="F215" s="20" t="n">
        <v>520</v>
      </c>
      <c r="G215" s="20" t="n">
        <v>2</v>
      </c>
      <c r="H215" s="20" t="n">
        <v>4</v>
      </c>
      <c r="I215" s="20" t="n">
        <v>7</v>
      </c>
      <c r="J215" s="20" t="n">
        <v>6</v>
      </c>
      <c r="K215" s="20" t="n">
        <v>7</v>
      </c>
      <c r="L215" s="20" t="n">
        <v>36</v>
      </c>
      <c r="M215" s="20" t="n">
        <v>6</v>
      </c>
      <c r="N215" s="20" t="n">
        <v>3</v>
      </c>
      <c r="O215" s="20" t="n">
        <v>8</v>
      </c>
      <c r="P215" s="20" t="n">
        <v>0</v>
      </c>
      <c r="Q215" s="20" t="n">
        <v>2</v>
      </c>
      <c r="R215" s="20" t="n">
        <v>880</v>
      </c>
      <c r="S215" s="20" t="n">
        <v>1760</v>
      </c>
      <c r="T215" s="20" t="n">
        <v>14</v>
      </c>
      <c r="U215" s="20" t="n">
        <v>0</v>
      </c>
      <c r="V215" s="20" t="n">
        <v>1774</v>
      </c>
      <c r="W215" s="20" t="n">
        <v>0</v>
      </c>
      <c r="X215" s="20">
        <f>SUM(C216:R216)-S216</f>
        <v/>
      </c>
    </row>
    <row r="216">
      <c r="A216" s="18" t="n">
        <v>211</v>
      </c>
      <c r="B216" s="27" t="inlineStr">
        <is>
          <t>VANGARA</t>
        </is>
      </c>
      <c r="C216" s="20" t="n">
        <v>268</v>
      </c>
      <c r="D216" s="20" t="n">
        <v>15</v>
      </c>
      <c r="E216" s="20" t="n">
        <v>5</v>
      </c>
      <c r="F216" s="20" t="n">
        <v>461</v>
      </c>
      <c r="G216" s="20" t="n">
        <v>7</v>
      </c>
      <c r="H216" s="20" t="n">
        <v>3</v>
      </c>
      <c r="I216" s="20" t="n">
        <v>11</v>
      </c>
      <c r="J216" s="20" t="n">
        <v>0</v>
      </c>
      <c r="K216" s="20" t="n">
        <v>2</v>
      </c>
      <c r="L216" s="20" t="n">
        <v>19</v>
      </c>
      <c r="M216" s="20" t="n">
        <v>7</v>
      </c>
      <c r="N216" s="20" t="n">
        <v>0</v>
      </c>
      <c r="O216" s="20" t="n">
        <v>3</v>
      </c>
      <c r="P216" s="20" t="n">
        <v>2</v>
      </c>
      <c r="Q216" s="20" t="n">
        <v>3</v>
      </c>
      <c r="R216" s="20" t="n">
        <v>807</v>
      </c>
      <c r="S216" s="20" t="n">
        <v>1613</v>
      </c>
      <c r="T216" s="20" t="n">
        <v>24</v>
      </c>
      <c r="U216" s="20" t="n">
        <v>0</v>
      </c>
      <c r="V216" s="20" t="n">
        <v>1637</v>
      </c>
      <c r="W216" s="20" t="n">
        <v>0</v>
      </c>
      <c r="X216" s="20">
        <f>SUM(C217:R217)-S217</f>
        <v/>
      </c>
    </row>
    <row r="217">
      <c r="A217" s="18" t="n">
        <v>212</v>
      </c>
      <c r="B217" s="27" t="inlineStr">
        <is>
          <t>KANGARA TS</t>
        </is>
      </c>
      <c r="C217" s="20" t="n">
        <v>225</v>
      </c>
      <c r="D217" s="20" t="n">
        <v>5</v>
      </c>
      <c r="E217" s="20" t="n">
        <v>5</v>
      </c>
      <c r="F217" s="20" t="n">
        <v>204</v>
      </c>
      <c r="G217" s="20" t="n">
        <v>4</v>
      </c>
      <c r="H217" s="20" t="n">
        <v>4</v>
      </c>
      <c r="I217" s="20" t="n">
        <v>1</v>
      </c>
      <c r="J217" s="20" t="n">
        <v>0</v>
      </c>
      <c r="K217" s="20" t="n">
        <v>0</v>
      </c>
      <c r="L217" s="20" t="n">
        <v>0</v>
      </c>
      <c r="M217" s="20" t="n">
        <v>3</v>
      </c>
      <c r="N217" s="20" t="n">
        <v>1</v>
      </c>
      <c r="O217" s="20" t="n">
        <v>3</v>
      </c>
      <c r="P217" s="20" t="n">
        <v>4</v>
      </c>
      <c r="Q217" s="20" t="n">
        <v>2</v>
      </c>
      <c r="R217" s="20" t="n">
        <v>462</v>
      </c>
      <c r="S217" s="20" t="n">
        <v>923</v>
      </c>
      <c r="T217" s="20" t="n">
        <v>14</v>
      </c>
      <c r="U217" s="20" t="n">
        <v>476</v>
      </c>
      <c r="V217" s="20" t="n">
        <v>1413</v>
      </c>
      <c r="W217" s="20" t="n">
        <v>0</v>
      </c>
      <c r="X217" s="20">
        <f>SUM(C218:R218)-S218</f>
        <v/>
      </c>
    </row>
    <row r="218">
      <c r="A218" s="18" t="n">
        <v>213</v>
      </c>
      <c r="B218" s="27" t="inlineStr">
        <is>
          <t>MANGALAPALL HIO</t>
        </is>
      </c>
      <c r="C218" s="20" t="n">
        <v>183</v>
      </c>
      <c r="D218" s="20" t="n">
        <v>7</v>
      </c>
      <c r="E218" s="20" t="n">
        <v>12</v>
      </c>
      <c r="F218" s="20" t="n">
        <v>285</v>
      </c>
      <c r="G218" s="20" t="n">
        <v>5</v>
      </c>
      <c r="H218" s="20" t="n">
        <v>4</v>
      </c>
      <c r="I218" s="20" t="n">
        <v>6</v>
      </c>
      <c r="J218" s="20" t="n">
        <v>3</v>
      </c>
      <c r="K218" s="20" t="n">
        <v>3</v>
      </c>
      <c r="L218" s="20" t="n">
        <v>12</v>
      </c>
      <c r="M218" s="20" t="n">
        <v>4</v>
      </c>
      <c r="N218" s="20" t="n">
        <v>6</v>
      </c>
      <c r="O218" s="20" t="n">
        <v>4</v>
      </c>
      <c r="P218" s="20" t="n">
        <v>3</v>
      </c>
      <c r="Q218" s="20" t="n">
        <v>0</v>
      </c>
      <c r="R218" s="20" t="n">
        <v>537</v>
      </c>
      <c r="S218" s="20" t="n">
        <v>1074</v>
      </c>
      <c r="T218" s="20" t="n">
        <v>21</v>
      </c>
      <c r="U218" s="20" t="n">
        <v>0</v>
      </c>
      <c r="V218" s="20" t="n">
        <v>1095</v>
      </c>
      <c r="W218" s="20" t="n">
        <v>0</v>
      </c>
      <c r="X218" s="20">
        <f>SUM(C219:R219)-S219</f>
        <v/>
      </c>
    </row>
    <row r="219">
      <c r="A219" s="18" t="n">
        <v>214</v>
      </c>
      <c r="B219" s="27" t="inlineStr">
        <is>
          <t>RANGAIAHPALLI HIO</t>
        </is>
      </c>
      <c r="C219" s="20" t="n">
        <v>153</v>
      </c>
      <c r="D219" s="20" t="n">
        <v>7</v>
      </c>
      <c r="E219" s="20" t="n">
        <v>9</v>
      </c>
      <c r="F219" s="20" t="n">
        <v>670</v>
      </c>
      <c r="G219" s="20" t="n">
        <v>5</v>
      </c>
      <c r="H219" s="20" t="n">
        <v>2</v>
      </c>
      <c r="I219" s="20" t="n">
        <v>9</v>
      </c>
      <c r="J219" s="20" t="n">
        <v>1</v>
      </c>
      <c r="K219" s="20" t="n">
        <v>41</v>
      </c>
      <c r="L219" s="20" t="n">
        <v>27</v>
      </c>
      <c r="M219" s="20" t="n">
        <v>3</v>
      </c>
      <c r="N219" s="20" t="n">
        <v>0</v>
      </c>
      <c r="O219" s="20" t="n">
        <v>3</v>
      </c>
      <c r="P219" s="20" t="n">
        <v>1</v>
      </c>
      <c r="Q219" s="20" t="n">
        <v>2</v>
      </c>
      <c r="R219" s="20" t="n">
        <v>893</v>
      </c>
      <c r="S219" s="20" t="n">
        <v>1826</v>
      </c>
      <c r="T219" s="20" t="n">
        <v>11</v>
      </c>
      <c r="U219" s="20" t="n">
        <v>0</v>
      </c>
      <c r="V219" s="20" t="n">
        <v>1837</v>
      </c>
      <c r="W219" s="20" t="n">
        <v>0</v>
      </c>
      <c r="X219" s="20">
        <f>SUM(C220:R220)-S220</f>
        <v/>
      </c>
    </row>
    <row r="220">
      <c r="A220" s="18" t="n">
        <v>215</v>
      </c>
      <c r="B220" s="27" t="inlineStr">
        <is>
          <t>1</t>
        </is>
      </c>
      <c r="C220" s="20" t="n">
        <v>2</v>
      </c>
      <c r="D220" s="20" t="n">
        <v>3</v>
      </c>
      <c r="E220" s="20" t="n">
        <v>4</v>
      </c>
      <c r="F220" s="20" t="n">
        <v>5</v>
      </c>
      <c r="G220" s="20" t="n">
        <v>6</v>
      </c>
      <c r="H220" s="20" t="n">
        <v>7</v>
      </c>
      <c r="I220" s="20" t="n">
        <v>8</v>
      </c>
      <c r="J220" s="20" t="n">
        <v>9</v>
      </c>
      <c r="K220" s="20" t="n">
        <v>10</v>
      </c>
      <c r="L220" s="20" t="n">
        <v>11</v>
      </c>
      <c r="M220" s="20" t="n">
        <v>12</v>
      </c>
      <c r="N220" s="20" t="n">
        <v>13</v>
      </c>
      <c r="O220" s="20" t="n">
        <v>14</v>
      </c>
      <c r="P220" s="20" t="n">
        <v>15</v>
      </c>
      <c r="Q220" s="20" t="n">
        <v>16</v>
      </c>
      <c r="R220" s="20" t="n">
        <v>17</v>
      </c>
      <c r="S220" s="20" t="n">
        <v>152</v>
      </c>
      <c r="T220" s="20" t="n">
        <v>19</v>
      </c>
      <c r="U220" s="20" t="n">
        <v>20</v>
      </c>
      <c r="V220" s="20" t="n">
        <v>191</v>
      </c>
      <c r="W220" s="20" t="n">
        <v>0</v>
      </c>
      <c r="X220" s="20">
        <f>SUM(C221:R221)-S221</f>
        <v/>
      </c>
    </row>
    <row r="221">
      <c r="A221" s="18" t="n">
        <v>216</v>
      </c>
      <c r="B221" s="27" t="inlineStr">
        <is>
          <t>RATNAGIRI</t>
        </is>
      </c>
      <c r="C221" s="20" t="n">
        <v>73</v>
      </c>
      <c r="D221" s="20" t="n">
        <v>7</v>
      </c>
      <c r="E221" s="20" t="n">
        <v>1</v>
      </c>
      <c r="F221" s="20" t="n">
        <v>287</v>
      </c>
      <c r="G221" s="20" t="n">
        <v>3</v>
      </c>
      <c r="H221" s="20" t="n">
        <v>1</v>
      </c>
      <c r="I221" s="20" t="n">
        <v>4</v>
      </c>
      <c r="J221" s="20" t="n">
        <v>1</v>
      </c>
      <c r="K221" s="20" t="n">
        <v>0</v>
      </c>
      <c r="L221" s="20" t="n">
        <v>1</v>
      </c>
      <c r="M221" s="20" t="n">
        <v>2</v>
      </c>
      <c r="N221" s="20" t="n">
        <v>1</v>
      </c>
      <c r="O221" s="20" t="n">
        <v>2</v>
      </c>
      <c r="P221" s="20" t="n">
        <v>1</v>
      </c>
      <c r="Q221" s="20" t="n">
        <v>3</v>
      </c>
      <c r="R221" s="20" t="n">
        <v>397</v>
      </c>
      <c r="S221" s="20" t="n">
        <v>784</v>
      </c>
      <c r="T221" s="20" t="n">
        <v>13</v>
      </c>
      <c r="U221" s="20" t="n">
        <v>410</v>
      </c>
      <c r="V221" s="20" t="n">
        <v>1207</v>
      </c>
      <c r="W221" s="20" t="n">
        <v>0</v>
      </c>
      <c r="X221" s="20">
        <f>SUM(C222:R222)-S222</f>
        <v/>
      </c>
    </row>
    <row r="222">
      <c r="A222" s="18" t="n">
        <v>217</v>
      </c>
      <c r="B222" s="27" t="inlineStr">
        <is>
          <t>RATNAGIRI</t>
        </is>
      </c>
      <c r="C222" s="20" t="n">
        <v>160</v>
      </c>
      <c r="D222" s="20" t="n">
        <v>36</v>
      </c>
      <c r="E222" s="20" t="n">
        <v>2</v>
      </c>
      <c r="F222" s="20" t="n">
        <v>558</v>
      </c>
      <c r="G222" s="20" t="n">
        <v>1</v>
      </c>
      <c r="H222" s="20" t="n">
        <v>1</v>
      </c>
      <c r="I222" s="20" t="n">
        <v>2</v>
      </c>
      <c r="J222" s="20" t="n">
        <v>1</v>
      </c>
      <c r="K222" s="20" t="n">
        <v>0</v>
      </c>
      <c r="L222" s="20" t="n">
        <v>2</v>
      </c>
      <c r="M222" s="20" t="n">
        <v>0</v>
      </c>
      <c r="N222" s="20" t="n">
        <v>1</v>
      </c>
      <c r="O222" s="20" t="n">
        <v>1</v>
      </c>
      <c r="P222" s="20" t="n">
        <v>0</v>
      </c>
      <c r="Q222" s="20" t="n">
        <v>0</v>
      </c>
      <c r="R222" s="20" t="n">
        <v>765</v>
      </c>
      <c r="S222" s="20" t="n">
        <v>1530</v>
      </c>
      <c r="T222" s="20" t="n">
        <v>7</v>
      </c>
      <c r="U222" s="20" t="n">
        <v>0</v>
      </c>
      <c r="V222" s="20" t="n">
        <v>1537</v>
      </c>
      <c r="W222" s="20" t="n">
        <v>0</v>
      </c>
      <c r="X222" s="20">
        <f>SUM(C223:R223)-S223</f>
        <v/>
      </c>
    </row>
    <row r="223">
      <c r="A223" s="18" t="n">
        <v>218</v>
      </c>
      <c r="B223" s="27" t="inlineStr">
        <is>
          <t>MANIKYAPUR</t>
        </is>
      </c>
      <c r="C223" s="20" t="n">
        <v>297</v>
      </c>
      <c r="D223" s="20" t="n">
        <v>19</v>
      </c>
      <c r="E223" s="20" t="n">
        <v>12</v>
      </c>
      <c r="F223" s="20" t="n">
        <v>461</v>
      </c>
      <c r="G223" s="20" t="n">
        <v>2</v>
      </c>
      <c r="H223" s="20" t="n">
        <v>0</v>
      </c>
      <c r="I223" s="20" t="n">
        <v>7</v>
      </c>
      <c r="J223" s="20" t="n">
        <v>0</v>
      </c>
      <c r="K223" s="20" t="n">
        <v>0</v>
      </c>
      <c r="L223" s="20" t="n">
        <v>5</v>
      </c>
      <c r="M223" s="20" t="n">
        <v>0</v>
      </c>
      <c r="N223" s="20" t="n">
        <v>0</v>
      </c>
      <c r="O223" s="20" t="n">
        <v>2</v>
      </c>
      <c r="P223" s="20" t="n">
        <v>1</v>
      </c>
      <c r="Q223" s="20" t="n">
        <v>3</v>
      </c>
      <c r="R223" s="20" t="n">
        <v>809</v>
      </c>
      <c r="S223" s="20" t="n">
        <v>1618</v>
      </c>
      <c r="T223" s="20" t="n">
        <v>14</v>
      </c>
      <c r="U223" s="20" t="n">
        <v>0</v>
      </c>
      <c r="V223" s="20" t="n">
        <v>1632</v>
      </c>
      <c r="W223" s="20" t="n">
        <v>0</v>
      </c>
      <c r="X223" s="20">
        <f>SUM(C224:R224)-S224</f>
        <v/>
      </c>
    </row>
    <row r="224">
      <c r="A224" s="18" t="n">
        <v>219</v>
      </c>
      <c r="B224" s="27" t="inlineStr">
        <is>
          <t>ali</t>
        </is>
      </c>
      <c r="C224" s="20" t="n">
        <v>293</v>
      </c>
      <c r="D224" s="20" t="n">
        <v>5</v>
      </c>
      <c r="E224" s="20" t="n">
        <v>7</v>
      </c>
      <c r="F224" s="20" t="n">
        <v>244</v>
      </c>
      <c r="G224" s="20" t="n">
        <v>7</v>
      </c>
      <c r="H224" s="20" t="n">
        <v>3</v>
      </c>
      <c r="I224" s="20" t="n">
        <v>3</v>
      </c>
      <c r="J224" s="20" t="n">
        <v>3</v>
      </c>
      <c r="K224" s="20" t="n">
        <v>2</v>
      </c>
      <c r="L224" s="20" t="n">
        <v>19</v>
      </c>
      <c r="M224" s="20" t="n">
        <v>0</v>
      </c>
      <c r="N224" s="20" t="n">
        <v>2</v>
      </c>
      <c r="O224" s="20" t="n">
        <v>4</v>
      </c>
      <c r="P224" s="20" t="n">
        <v>3</v>
      </c>
      <c r="Q224" s="20" t="n">
        <v>3</v>
      </c>
      <c r="R224" s="20" t="n">
        <v>598</v>
      </c>
      <c r="S224" s="20" t="n">
        <v>1196</v>
      </c>
      <c r="T224" s="20" t="n">
        <v>25</v>
      </c>
      <c r="U224" s="20" t="n">
        <v>0</v>
      </c>
      <c r="V224" s="20" t="n">
        <v>1221</v>
      </c>
      <c r="W224" s="20" t="n">
        <v>0</v>
      </c>
      <c r="X224" s="20">
        <f>SUM(C225:R225)-S225</f>
        <v/>
      </c>
    </row>
    <row r="225">
      <c r="A225" s="18" t="n">
        <v>220</v>
      </c>
      <c r="B225" s="27" t="inlineStr">
        <is>
          <t>MANIKYAPUR</t>
        </is>
      </c>
      <c r="C225" s="20" t="n">
        <v>189</v>
      </c>
      <c r="D225" s="20" t="n">
        <v>8</v>
      </c>
      <c r="E225" s="20" t="n">
        <v>8</v>
      </c>
      <c r="F225" s="20" t="n">
        <v>366</v>
      </c>
      <c r="G225" s="20" t="n">
        <v>2</v>
      </c>
      <c r="H225" s="20" t="n">
        <v>41</v>
      </c>
      <c r="I225" s="20" t="n">
        <v>11</v>
      </c>
      <c r="J225" s="20" t="n">
        <v>4</v>
      </c>
      <c r="K225" s="20" t="n">
        <v>1</v>
      </c>
      <c r="L225" s="20" t="n">
        <v>17</v>
      </c>
      <c r="M225" s="20" t="n">
        <v>2</v>
      </c>
      <c r="N225" s="20" t="n">
        <v>1</v>
      </c>
      <c r="O225" s="20" t="n">
        <v>1</v>
      </c>
      <c r="P225" s="20" t="n">
        <v>2</v>
      </c>
      <c r="Q225" s="20" t="n">
        <v>1</v>
      </c>
      <c r="R225" s="20" t="n">
        <v>614</v>
      </c>
      <c r="S225" s="20" t="n">
        <v>1268</v>
      </c>
      <c r="T225" s="20" t="n">
        <v>8</v>
      </c>
      <c r="U225" s="20" t="n">
        <v>0</v>
      </c>
      <c r="V225" s="20" t="n">
        <v>1276</v>
      </c>
      <c r="W225" s="20" t="n">
        <v>0</v>
      </c>
      <c r="X225" s="20">
        <f>SUM(C226:R226)-S226</f>
        <v/>
      </c>
    </row>
    <row r="226">
      <c r="A226" s="18" t="n">
        <v>221</v>
      </c>
      <c r="B226" s="27" t="inlineStr">
        <is>
          <t>KOPPUR</t>
        </is>
      </c>
      <c r="C226" s="20" t="n">
        <v>198</v>
      </c>
      <c r="D226" s="20" t="n">
        <v>12</v>
      </c>
      <c r="E226" s="20" t="n">
        <v>7</v>
      </c>
      <c r="F226" s="20" t="n">
        <v>698</v>
      </c>
      <c r="G226" s="20" t="n">
        <v>1</v>
      </c>
      <c r="H226" s="20" t="n">
        <v>6</v>
      </c>
      <c r="I226" s="20" t="n">
        <v>8</v>
      </c>
      <c r="J226" s="20" t="n">
        <v>2</v>
      </c>
      <c r="K226" s="20" t="n">
        <v>0</v>
      </c>
      <c r="L226" s="20" t="n">
        <v>13</v>
      </c>
      <c r="M226" s="20" t="n">
        <v>2</v>
      </c>
      <c r="N226" s="20" t="n">
        <v>2</v>
      </c>
      <c r="O226" s="20" t="n">
        <v>0</v>
      </c>
      <c r="P226" s="20" t="n">
        <v>1</v>
      </c>
      <c r="Q226" s="20" t="n">
        <v>2</v>
      </c>
      <c r="R226" s="20" t="n">
        <v>952</v>
      </c>
      <c r="S226" s="20" t="n">
        <v>1904</v>
      </c>
      <c r="T226" s="20" t="n">
        <v>7</v>
      </c>
      <c r="U226" s="20" t="n">
        <v>0</v>
      </c>
      <c r="V226" s="20" t="n">
        <v>1911</v>
      </c>
      <c r="W226" s="20" t="n">
        <v>4</v>
      </c>
      <c r="X226" s="20">
        <f>SUM(C227:R227)-S227</f>
        <v/>
      </c>
    </row>
    <row r="227">
      <c r="A227" s="18" t="n">
        <v>222</v>
      </c>
      <c r="B227" s="27" t="inlineStr">
        <is>
          <t>KOPPUR</t>
        </is>
      </c>
      <c r="C227" s="20" t="n">
        <v>256</v>
      </c>
      <c r="D227" s="20" t="n">
        <v>21</v>
      </c>
      <c r="E227" s="20" t="n">
        <v>9</v>
      </c>
      <c r="F227" s="20" t="n">
        <v>586</v>
      </c>
      <c r="G227" s="20" t="n">
        <v>4</v>
      </c>
      <c r="H227" s="20" t="n">
        <v>4</v>
      </c>
      <c r="I227" s="20" t="n">
        <v>9</v>
      </c>
      <c r="J227" s="20" t="n">
        <v>8</v>
      </c>
      <c r="K227" s="20" t="n">
        <v>1</v>
      </c>
      <c r="L227" s="20" t="n">
        <v>15</v>
      </c>
      <c r="M227" s="20" t="n">
        <v>1</v>
      </c>
      <c r="N227" s="20" t="n">
        <v>41</v>
      </c>
      <c r="O227" s="20" t="n">
        <v>1</v>
      </c>
      <c r="P227" s="20" t="n">
        <v>1</v>
      </c>
      <c r="Q227" s="20" t="n">
        <v>1</v>
      </c>
      <c r="R227" s="20" t="n">
        <v>918</v>
      </c>
      <c r="S227" s="20" t="n">
        <v>1876</v>
      </c>
      <c r="T227" s="20" t="n">
        <v>12</v>
      </c>
      <c r="U227" s="20" t="n">
        <v>0</v>
      </c>
      <c r="V227" s="20" t="n">
        <v>1888</v>
      </c>
      <c r="W227" s="20" t="n">
        <v>1</v>
      </c>
      <c r="X227" s="20">
        <f>SUM(C228:R228)-S228</f>
        <v/>
      </c>
    </row>
    <row r="228">
      <c r="A228" s="18" t="n">
        <v>223</v>
      </c>
      <c r="B228" s="27" t="inlineStr">
        <is>
          <t>BHEEMADEVARAPALLI</t>
        </is>
      </c>
      <c r="C228" s="20" t="n">
        <v>260</v>
      </c>
      <c r="D228" s="20" t="n">
        <v>15</v>
      </c>
      <c r="E228" s="20" t="n">
        <v>7</v>
      </c>
      <c r="F228" s="20" t="n">
        <v>486</v>
      </c>
      <c r="G228" s="20" t="n">
        <v>4</v>
      </c>
      <c r="H228" s="20" t="n">
        <v>6</v>
      </c>
      <c r="I228" s="20" t="n">
        <v>9</v>
      </c>
      <c r="J228" s="20" t="n">
        <v>2</v>
      </c>
      <c r="K228" s="20" t="n">
        <v>0</v>
      </c>
      <c r="L228" s="20" t="n">
        <v>12</v>
      </c>
      <c r="M228" s="20" t="n">
        <v>2</v>
      </c>
      <c r="N228" s="20" t="n">
        <v>0</v>
      </c>
      <c r="O228" s="20" t="n">
        <v>1</v>
      </c>
      <c r="P228" s="20" t="n">
        <v>2</v>
      </c>
      <c r="Q228" s="20" t="n">
        <v>1</v>
      </c>
      <c r="R228" s="20" t="n">
        <v>807</v>
      </c>
      <c r="S228" s="20" t="n">
        <v>1614</v>
      </c>
      <c r="T228" s="20" t="n">
        <v>10</v>
      </c>
      <c r="U228" s="20" t="n">
        <v>0</v>
      </c>
      <c r="V228" s="20" t="n">
        <v>1624</v>
      </c>
      <c r="W228" s="20" t="n">
        <v>0</v>
      </c>
      <c r="X228" s="20">
        <f>SUM(C229:R229)-S229</f>
        <v/>
      </c>
    </row>
    <row r="229">
      <c r="A229" s="18" t="n">
        <v>224</v>
      </c>
      <c r="B229" s="27" t="inlineStr">
        <is>
          <t>BHEEMADEVARAPALLI</t>
        </is>
      </c>
      <c r="C229" s="20" t="n">
        <v>247</v>
      </c>
      <c r="D229" s="20" t="n">
        <v>33</v>
      </c>
      <c r="E229" s="20" t="n">
        <v>8</v>
      </c>
      <c r="F229" s="20" t="n">
        <v>406</v>
      </c>
      <c r="G229" s="20" t="n">
        <v>6</v>
      </c>
      <c r="H229" s="20" t="n">
        <v>1</v>
      </c>
      <c r="I229" s="20" t="n">
        <v>8</v>
      </c>
      <c r="J229" s="20" t="n">
        <v>2</v>
      </c>
      <c r="K229" s="20" t="n">
        <v>1</v>
      </c>
      <c r="L229" s="20" t="n">
        <v>24</v>
      </c>
      <c r="M229" s="20" t="n">
        <v>4</v>
      </c>
      <c r="N229" s="20" t="n">
        <v>2</v>
      </c>
      <c r="O229" s="20" t="n">
        <v>3</v>
      </c>
      <c r="P229" s="20" t="n">
        <v>4</v>
      </c>
      <c r="Q229" s="20" t="n">
        <v>3</v>
      </c>
      <c r="R229" s="20" t="n">
        <v>749</v>
      </c>
      <c r="S229" s="20" t="n">
        <v>1501</v>
      </c>
      <c r="T229" s="20" t="n">
        <v>14</v>
      </c>
      <c r="U229" s="20" t="n">
        <v>0</v>
      </c>
      <c r="V229" s="20" t="n">
        <v>1515</v>
      </c>
      <c r="W229" s="20" t="n">
        <v>0</v>
      </c>
      <c r="X229" s="20">
        <f>SUM(C230:R230)-S230</f>
        <v/>
      </c>
    </row>
    <row r="230">
      <c r="A230" s="18" t="n">
        <v>225</v>
      </c>
      <c r="B230" s="27" t="inlineStr">
        <is>
          <t>GATLANARSINGAPUR</t>
        </is>
      </c>
      <c r="C230" s="20" t="n">
        <v>62</v>
      </c>
      <c r="D230" s="20" t="n">
        <v>13</v>
      </c>
      <c r="E230" s="20" t="n">
        <v>7</v>
      </c>
      <c r="F230" s="20" t="n">
        <v>534</v>
      </c>
      <c r="G230" s="20" t="n">
        <v>2</v>
      </c>
      <c r="H230" s="20" t="n">
        <v>4</v>
      </c>
      <c r="I230" s="20" t="n">
        <v>7</v>
      </c>
      <c r="J230" s="20" t="n">
        <v>4</v>
      </c>
      <c r="K230" s="20" t="n">
        <v>2</v>
      </c>
      <c r="L230" s="20" t="n">
        <v>19</v>
      </c>
      <c r="M230" s="20" t="n">
        <v>1</v>
      </c>
      <c r="N230" s="20" t="n">
        <v>2</v>
      </c>
      <c r="O230" s="20" t="n">
        <v>1</v>
      </c>
      <c r="P230" s="20" t="n">
        <v>4</v>
      </c>
      <c r="Q230" s="20" t="n">
        <v>2</v>
      </c>
      <c r="R230" s="20" t="n">
        <v>664</v>
      </c>
      <c r="S230" s="20" t="n">
        <v>1328</v>
      </c>
      <c r="T230" s="20" t="n">
        <v>12</v>
      </c>
      <c r="U230" s="20" t="n">
        <v>0</v>
      </c>
      <c r="V230" s="20" t="n">
        <v>1340</v>
      </c>
      <c r="W230" s="20" t="n">
        <v>0</v>
      </c>
      <c r="X230" s="20">
        <f>SUM(C231:R231)-S231</f>
        <v/>
      </c>
    </row>
    <row r="231">
      <c r="A231" s="18" t="n">
        <v>226</v>
      </c>
      <c r="B231" s="27" t="inlineStr">
        <is>
          <t>GATLANARSINGAPUR</t>
        </is>
      </c>
      <c r="C231" s="20" t="n">
        <v>78</v>
      </c>
      <c r="D231" s="20" t="n">
        <v>5</v>
      </c>
      <c r="E231" s="20" t="n">
        <v>11</v>
      </c>
      <c r="F231" s="20" t="n">
        <v>736</v>
      </c>
      <c r="G231" s="20" t="n">
        <v>4</v>
      </c>
      <c r="H231" s="20" t="n">
        <v>4</v>
      </c>
      <c r="I231" s="20" t="n">
        <v>1</v>
      </c>
      <c r="J231" s="20" t="n">
        <v>5</v>
      </c>
      <c r="K231" s="20" t="n">
        <v>5</v>
      </c>
      <c r="L231" s="20" t="n">
        <v>21</v>
      </c>
      <c r="M231" s="20" t="n">
        <v>5</v>
      </c>
      <c r="N231" s="20" t="n">
        <v>2</v>
      </c>
      <c r="O231" s="20" t="n">
        <v>5</v>
      </c>
      <c r="P231" s="20" t="n">
        <v>1</v>
      </c>
      <c r="Q231" s="20" t="n">
        <v>3</v>
      </c>
      <c r="R231" s="20" t="n">
        <v>896</v>
      </c>
      <c r="S231" s="20" t="n">
        <v>1782</v>
      </c>
      <c r="T231" s="20" t="n">
        <v>17</v>
      </c>
      <c r="U231" s="20" t="n">
        <v>0</v>
      </c>
      <c r="V231" s="20" t="n">
        <v>1799</v>
      </c>
      <c r="W231" s="20" t="n">
        <v>0</v>
      </c>
      <c r="X231" s="20">
        <f>SUM(C232:R232)-S232</f>
        <v/>
      </c>
    </row>
    <row r="232">
      <c r="A232" s="18" t="n">
        <v>227</v>
      </c>
      <c r="B232" s="27" t="inlineStr">
        <is>
          <t>GATLANARSINGAPUR</t>
        </is>
      </c>
      <c r="C232" s="20" t="n">
        <v>287</v>
      </c>
      <c r="D232" s="20" t="n">
        <v>33</v>
      </c>
      <c r="E232" s="20" t="n">
        <v>16</v>
      </c>
      <c r="F232" s="20" t="n">
        <v>411</v>
      </c>
      <c r="G232" s="20" t="n">
        <v>5</v>
      </c>
      <c r="H232" s="20" t="n">
        <v>6</v>
      </c>
      <c r="I232" s="20" t="n">
        <v>4</v>
      </c>
      <c r="J232" s="20" t="n">
        <v>3</v>
      </c>
      <c r="K232" s="20" t="n">
        <v>4</v>
      </c>
      <c r="L232" s="20" t="n">
        <v>14</v>
      </c>
      <c r="M232" s="20" t="n">
        <v>2</v>
      </c>
      <c r="N232" s="20" t="n">
        <v>3</v>
      </c>
      <c r="O232" s="20" t="n">
        <v>0</v>
      </c>
      <c r="P232" s="20" t="n">
        <v>2</v>
      </c>
      <c r="Q232" s="20" t="n">
        <v>5</v>
      </c>
      <c r="R232" s="20" t="n">
        <v>795</v>
      </c>
      <c r="S232" s="20" t="n">
        <v>1590</v>
      </c>
      <c r="T232" s="20" t="n">
        <v>35</v>
      </c>
      <c r="U232" s="20" t="n">
        <v>0</v>
      </c>
      <c r="V232" s="20" t="n">
        <v>1625</v>
      </c>
      <c r="W232" s="20" t="n">
        <v>0</v>
      </c>
      <c r="X232" s="20">
        <f>SUM(C233:R233)-S233</f>
        <v/>
      </c>
    </row>
    <row r="233">
      <c r="A233" s="18" t="n">
        <v>228</v>
      </c>
      <c r="B233" s="27" t="inlineStr">
        <is>
          <t>ER NARSRGAPUR</t>
        </is>
      </c>
      <c r="C233" s="20" t="n">
        <v>90</v>
      </c>
      <c r="D233" s="20" t="n">
        <v>2</v>
      </c>
      <c r="E233" s="20" t="n">
        <v>3</v>
      </c>
      <c r="F233" s="20" t="n">
        <v>231</v>
      </c>
      <c r="G233" s="20" t="n">
        <v>2</v>
      </c>
      <c r="H233" s="20" t="n">
        <v>4</v>
      </c>
      <c r="I233" s="20" t="n">
        <v>2</v>
      </c>
      <c r="J233" s="20" t="n">
        <v>3</v>
      </c>
      <c r="K233" s="20" t="n">
        <v>0</v>
      </c>
      <c r="L233" s="20" t="n">
        <v>12</v>
      </c>
      <c r="M233" s="20" t="n">
        <v>1</v>
      </c>
      <c r="N233" s="20" t="n">
        <v>0</v>
      </c>
      <c r="O233" s="20" t="n">
        <v>0</v>
      </c>
      <c r="P233" s="20" t="n">
        <v>1</v>
      </c>
      <c r="Q233" s="20" t="n">
        <v>0</v>
      </c>
      <c r="R233" s="20" t="n">
        <v>348</v>
      </c>
      <c r="S233" s="20" t="n">
        <v>699</v>
      </c>
      <c r="T233" s="20" t="n">
        <v>5</v>
      </c>
      <c r="U233" s="20" t="n">
        <v>353</v>
      </c>
      <c r="V233" s="20" t="n">
        <v>1057</v>
      </c>
      <c r="W233" s="20" t="n">
        <v>0</v>
      </c>
      <c r="X233" s="20">
        <f>SUM(C234:R234)-S234</f>
        <v/>
      </c>
    </row>
    <row r="234">
      <c r="A234" s="18" t="n">
        <v>229</v>
      </c>
      <c r="B234" s="27" t="inlineStr">
        <is>
          <t>KATKOOR</t>
        </is>
      </c>
      <c r="C234" s="20" t="n">
        <v>157</v>
      </c>
      <c r="D234" s="20" t="n">
        <v>11</v>
      </c>
      <c r="E234" s="20" t="n">
        <v>9</v>
      </c>
      <c r="F234" s="20" t="n">
        <v>596</v>
      </c>
      <c r="G234" s="20" t="n">
        <v>8</v>
      </c>
      <c r="H234" s="20" t="n">
        <v>3</v>
      </c>
      <c r="I234" s="20" t="n">
        <v>12</v>
      </c>
      <c r="J234" s="20" t="n">
        <v>3</v>
      </c>
      <c r="K234" s="20" t="n">
        <v>0</v>
      </c>
      <c r="L234" s="20" t="n">
        <v>30</v>
      </c>
      <c r="M234" s="20" t="n">
        <v>3</v>
      </c>
      <c r="N234" s="20" t="n">
        <v>6</v>
      </c>
      <c r="O234" s="20" t="n">
        <v>1</v>
      </c>
      <c r="P234" s="20" t="n">
        <v>2</v>
      </c>
      <c r="Q234" s="20" t="n">
        <v>3</v>
      </c>
      <c r="R234" s="20" t="n">
        <v>844</v>
      </c>
      <c r="S234" s="20" t="n">
        <v>1688</v>
      </c>
      <c r="T234" s="20" t="n">
        <v>14</v>
      </c>
      <c r="U234" s="20" t="n">
        <v>0</v>
      </c>
      <c r="V234" s="20" t="n">
        <v>1702</v>
      </c>
      <c r="W234" s="20" t="n">
        <v>0</v>
      </c>
      <c r="X234" s="20">
        <f>SUM(C235:R235)-S235</f>
        <v/>
      </c>
    </row>
    <row r="235">
      <c r="A235" s="18" t="n">
        <v>230</v>
      </c>
      <c r="B235" s="27" t="inlineStr">
        <is>
          <t>KATKOOR</t>
        </is>
      </c>
      <c r="C235" s="20" t="n">
        <v>211</v>
      </c>
      <c r="D235" s="20" t="n">
        <v>3</v>
      </c>
      <c r="E235" s="20" t="n">
        <v>12</v>
      </c>
      <c r="F235" s="20" t="n">
        <v>502</v>
      </c>
      <c r="G235" s="20" t="n">
        <v>5</v>
      </c>
      <c r="H235" s="20" t="n">
        <v>3</v>
      </c>
      <c r="I235" s="20" t="n">
        <v>5</v>
      </c>
      <c r="J235" s="20" t="n">
        <v>0</v>
      </c>
      <c r="K235" s="20" t="n">
        <v>2</v>
      </c>
      <c r="L235" s="20" t="n">
        <v>25</v>
      </c>
      <c r="M235" s="20" t="n">
        <v>4</v>
      </c>
      <c r="N235" s="20" t="n">
        <v>5</v>
      </c>
      <c r="O235" s="20" t="n">
        <v>0</v>
      </c>
      <c r="P235" s="20" t="n">
        <v>4</v>
      </c>
      <c r="Q235" s="20" t="n">
        <v>3</v>
      </c>
      <c r="R235" s="20" t="n">
        <v>784</v>
      </c>
      <c r="S235" s="20" t="n">
        <v>1568</v>
      </c>
      <c r="T235" s="20" t="n">
        <v>13</v>
      </c>
      <c r="U235" s="20" t="n">
        <v>0</v>
      </c>
      <c r="V235" s="20" t="n">
        <v>1581</v>
      </c>
      <c r="W235" s="20" t="n">
        <v>0</v>
      </c>
      <c r="X235" s="20">
        <f>SUM(C236:R236)-S236</f>
        <v/>
      </c>
    </row>
    <row r="236">
      <c r="A236" s="18" t="n">
        <v>231</v>
      </c>
      <c r="B236" s="27" t="inlineStr">
        <is>
          <t>KATKOOR 7</t>
        </is>
      </c>
      <c r="C236" s="20" t="n">
        <v>144</v>
      </c>
      <c r="D236" s="20" t="n">
        <v>10</v>
      </c>
      <c r="E236" s="20" t="n">
        <v>8</v>
      </c>
      <c r="F236" s="20" t="n">
        <v>420</v>
      </c>
      <c r="G236" s="20" t="n">
        <v>8</v>
      </c>
      <c r="H236" s="20" t="n">
        <v>8</v>
      </c>
      <c r="I236" s="20" t="n">
        <v>16</v>
      </c>
      <c r="J236" s="20" t="n">
        <v>3</v>
      </c>
      <c r="K236" s="20" t="n">
        <v>5</v>
      </c>
      <c r="L236" s="20" t="n">
        <v>44</v>
      </c>
      <c r="M236" s="20" t="n">
        <v>8</v>
      </c>
      <c r="N236" s="20" t="n">
        <v>3</v>
      </c>
      <c r="O236" s="20" t="n">
        <v>5</v>
      </c>
      <c r="P236" s="20" t="n">
        <v>1</v>
      </c>
      <c r="Q236" s="20" t="n">
        <v>6</v>
      </c>
      <c r="R236" s="20" t="n">
        <v>689</v>
      </c>
      <c r="S236" s="20" t="n">
        <v>1378</v>
      </c>
      <c r="T236" s="20" t="n">
        <v>11</v>
      </c>
      <c r="U236" s="20" t="n">
        <v>0</v>
      </c>
      <c r="V236" s="20" t="n">
        <v>1389</v>
      </c>
      <c r="W236" s="20" t="n">
        <v>4</v>
      </c>
      <c r="X236" s="20">
        <f>SUM(C237:R237)-S237</f>
        <v/>
      </c>
    </row>
    <row r="237">
      <c r="A237" s="18" t="n">
        <v>232</v>
      </c>
      <c r="B237" s="27" t="inlineStr">
        <is>
          <t>HOKAMUR</t>
        </is>
      </c>
      <c r="C237" s="20" t="n">
        <v>78</v>
      </c>
      <c r="D237" s="20" t="n">
        <v>4</v>
      </c>
      <c r="E237" s="20" t="n">
        <v>4</v>
      </c>
      <c r="F237" s="20" t="n">
        <v>217</v>
      </c>
      <c r="G237" s="20" t="n">
        <v>2</v>
      </c>
      <c r="H237" s="20" t="n">
        <v>2</v>
      </c>
      <c r="I237" s="20" t="n">
        <v>6</v>
      </c>
      <c r="J237" s="20" t="n">
        <v>1</v>
      </c>
      <c r="K237" s="20" t="n">
        <v>1</v>
      </c>
      <c r="L237" s="20" t="n">
        <v>18</v>
      </c>
      <c r="M237" s="20" t="n">
        <v>2</v>
      </c>
      <c r="N237" s="20" t="n">
        <v>2</v>
      </c>
      <c r="O237" s="20" t="n">
        <v>0</v>
      </c>
      <c r="P237" s="20" t="n">
        <v>1</v>
      </c>
      <c r="Q237" s="20" t="n">
        <v>1</v>
      </c>
      <c r="R237" s="20" t="n">
        <v>339</v>
      </c>
      <c r="S237" s="20" t="n">
        <v>678</v>
      </c>
      <c r="T237" s="20" t="n">
        <v>5</v>
      </c>
      <c r="U237" s="20" t="n">
        <v>344</v>
      </c>
      <c r="V237" s="20" t="n">
        <v>1027</v>
      </c>
      <c r="W237" s="20" t="n">
        <v>0</v>
      </c>
      <c r="X237" s="20">
        <f>SUM(C238:R238)-S238</f>
        <v/>
      </c>
    </row>
    <row r="238">
      <c r="A238" s="18" t="n">
        <v>233</v>
      </c>
      <c r="B238" s="27" t="inlineStr">
        <is>
          <t>KANNARAM</t>
        </is>
      </c>
      <c r="C238" s="20" t="n">
        <v>102</v>
      </c>
      <c r="D238" s="20" t="n">
        <v>5</v>
      </c>
      <c r="E238" s="20" t="n">
        <v>4</v>
      </c>
      <c r="F238" s="20" t="n">
        <v>440</v>
      </c>
      <c r="G238" s="20" t="n">
        <v>7</v>
      </c>
      <c r="H238" s="20" t="n">
        <v>2</v>
      </c>
      <c r="I238" s="20" t="n">
        <v>12</v>
      </c>
      <c r="J238" s="20" t="n">
        <v>4</v>
      </c>
      <c r="K238" s="20" t="n">
        <v>5</v>
      </c>
      <c r="L238" s="20" t="n">
        <v>29</v>
      </c>
      <c r="M238" s="20" t="n">
        <v>6</v>
      </c>
      <c r="N238" s="20" t="n">
        <v>8</v>
      </c>
      <c r="O238" s="20" t="n">
        <v>8</v>
      </c>
      <c r="P238" s="20" t="n">
        <v>3</v>
      </c>
      <c r="Q238" s="20" t="n">
        <v>3</v>
      </c>
      <c r="R238" s="20" t="n">
        <v>638</v>
      </c>
      <c r="S238" s="20" t="n">
        <v>1276</v>
      </c>
      <c r="T238" s="20" t="n">
        <v>12</v>
      </c>
      <c r="U238" s="20" t="n">
        <v>0</v>
      </c>
      <c r="V238" s="20" t="n">
        <v>1288</v>
      </c>
      <c r="W238" s="20" t="n">
        <v>0</v>
      </c>
      <c r="X238" s="20">
        <f>SUM(C239:R239)-S239</f>
        <v/>
      </c>
    </row>
    <row r="239">
      <c r="A239" s="18" t="n">
        <v>234</v>
      </c>
      <c r="B239" s="27" t="inlineStr">
        <is>
          <t>KANNARAM</t>
        </is>
      </c>
      <c r="C239" s="20" t="n">
        <v>165</v>
      </c>
      <c r="D239" s="20" t="n">
        <v>12</v>
      </c>
      <c r="E239" s="20" t="n">
        <v>6</v>
      </c>
      <c r="F239" s="20" t="n">
        <v>391</v>
      </c>
      <c r="G239" s="20" t="n">
        <v>0</v>
      </c>
      <c r="H239" s="20" t="n">
        <v>1</v>
      </c>
      <c r="I239" s="20" t="n">
        <v>4</v>
      </c>
      <c r="J239" s="20" t="n">
        <v>0</v>
      </c>
      <c r="K239" s="20" t="n">
        <v>0</v>
      </c>
      <c r="L239" s="20" t="n">
        <v>19</v>
      </c>
      <c r="M239" s="20" t="n">
        <v>0</v>
      </c>
      <c r="N239" s="20" t="n">
        <v>1</v>
      </c>
      <c r="O239" s="20" t="n">
        <v>1</v>
      </c>
      <c r="P239" s="20" t="n">
        <v>1</v>
      </c>
      <c r="Q239" s="20" t="n">
        <v>0</v>
      </c>
      <c r="R239" s="20" t="n">
        <v>601</v>
      </c>
      <c r="S239" s="20" t="n">
        <v>1202</v>
      </c>
      <c r="T239" s="20" t="n">
        <v>3</v>
      </c>
      <c r="U239" s="20" t="n">
        <v>0</v>
      </c>
      <c r="V239" s="20" t="n">
        <v>1205</v>
      </c>
      <c r="W239" s="20" t="n">
        <v>0</v>
      </c>
      <c r="X239" s="20">
        <f>SUM(C240:R240)-S240</f>
        <v/>
      </c>
    </row>
    <row r="240">
      <c r="A240" s="18" t="n">
        <v>235</v>
      </c>
      <c r="B240" s="27" t="inlineStr">
        <is>
          <t>MALLARAM</t>
        </is>
      </c>
      <c r="C240" s="20" t="n">
        <v>55</v>
      </c>
      <c r="D240" s="20" t="n">
        <v>203</v>
      </c>
      <c r="E240" s="20" t="n">
        <v>14</v>
      </c>
      <c r="F240" s="20" t="n">
        <v>457</v>
      </c>
      <c r="G240" s="20" t="n">
        <v>9</v>
      </c>
      <c r="H240" s="20" t="n">
        <v>6</v>
      </c>
      <c r="I240" s="20" t="n">
        <v>10</v>
      </c>
      <c r="J240" s="20" t="n">
        <v>3</v>
      </c>
      <c r="K240" s="20" t="n">
        <v>1</v>
      </c>
      <c r="L240" s="20" t="n">
        <v>22</v>
      </c>
      <c r="M240" s="20" t="n">
        <v>1</v>
      </c>
      <c r="N240" s="20" t="n">
        <v>2</v>
      </c>
      <c r="O240" s="20" t="n">
        <v>41</v>
      </c>
      <c r="P240" s="20" t="n">
        <v>4</v>
      </c>
      <c r="Q240" s="20" t="n">
        <v>2</v>
      </c>
      <c r="R240" s="20" t="n">
        <v>790</v>
      </c>
      <c r="S240" s="20" t="n">
        <v>1620</v>
      </c>
      <c r="T240" s="20" t="n">
        <v>12</v>
      </c>
      <c r="U240" s="20" t="n">
        <v>0</v>
      </c>
      <c r="V240" s="20" t="n">
        <v>1632</v>
      </c>
      <c r="W240" s="20" t="n">
        <v>4</v>
      </c>
      <c r="X240" s="20">
        <f>SUM(C241:R241)-S241</f>
        <v/>
      </c>
    </row>
    <row r="241">
      <c r="A241" s="18" t="n">
        <v>236</v>
      </c>
      <c r="B241" s="27" t="inlineStr">
        <is>
          <t>MALLARAM</t>
        </is>
      </c>
      <c r="C241" s="20" t="n">
        <v>55</v>
      </c>
      <c r="D241" s="20" t="n">
        <v>314</v>
      </c>
      <c r="E241" s="20" t="n">
        <v>11</v>
      </c>
      <c r="F241" s="20" t="n">
        <v>427</v>
      </c>
      <c r="G241" s="20" t="n">
        <v>11</v>
      </c>
      <c r="H241" s="20" t="n">
        <v>7</v>
      </c>
      <c r="I241" s="20" t="n">
        <v>10</v>
      </c>
      <c r="J241" s="20" t="n">
        <v>3</v>
      </c>
      <c r="K241" s="20" t="n">
        <v>1</v>
      </c>
      <c r="L241" s="20" t="n">
        <v>23</v>
      </c>
      <c r="M241" s="20" t="n">
        <v>2</v>
      </c>
      <c r="N241" s="20" t="n">
        <v>1</v>
      </c>
      <c r="O241" s="20" t="n">
        <v>2</v>
      </c>
      <c r="P241" s="20" t="n">
        <v>3</v>
      </c>
      <c r="Q241" s="20" t="n">
        <v>7</v>
      </c>
      <c r="R241" s="20" t="n">
        <v>877</v>
      </c>
      <c r="S241" s="20" t="n">
        <v>1754</v>
      </c>
      <c r="T241" s="20" t="n">
        <v>21</v>
      </c>
      <c r="U241" s="20" t="n">
        <v>0</v>
      </c>
      <c r="V241" s="20" t="n">
        <v>1775</v>
      </c>
      <c r="W241" s="20" t="n">
        <v>4</v>
      </c>
      <c r="X241" s="20">
        <f>SUM(C242:R242)-S242</f>
        <v/>
      </c>
    </row>
    <row r="242">
      <c r="A242" s="18" t="n">
        <v>237</v>
      </c>
      <c r="B242" s="27" t="inlineStr">
        <is>
          <t>MALLARAM</t>
        </is>
      </c>
      <c r="C242" s="20" t="n">
        <v>78</v>
      </c>
      <c r="D242" s="20" t="n">
        <v>1</v>
      </c>
      <c r="E242" s="20" t="n">
        <v>12</v>
      </c>
      <c r="F242" s="20" t="n">
        <v>598</v>
      </c>
      <c r="G242" s="20" t="n">
        <v>9</v>
      </c>
      <c r="H242" s="20" t="n">
        <v>3</v>
      </c>
      <c r="I242" s="20" t="n">
        <v>16</v>
      </c>
      <c r="J242" s="20" t="n">
        <v>2</v>
      </c>
      <c r="K242" s="20" t="n">
        <v>3</v>
      </c>
      <c r="L242" s="20" t="n">
        <v>50</v>
      </c>
      <c r="M242" s="20" t="n">
        <v>7</v>
      </c>
      <c r="N242" s="20" t="n">
        <v>5</v>
      </c>
      <c r="O242" s="20" t="n">
        <v>7</v>
      </c>
      <c r="P242" s="20" t="n">
        <v>3</v>
      </c>
      <c r="Q242" s="20" t="n">
        <v>4</v>
      </c>
      <c r="R242" s="20" t="n">
        <v>838</v>
      </c>
      <c r="S242" s="20" t="n">
        <v>1636</v>
      </c>
      <c r="T242" s="20" t="n">
        <v>32</v>
      </c>
      <c r="U242" s="20" t="n">
        <v>0</v>
      </c>
      <c r="V242" s="20" t="n">
        <v>1668</v>
      </c>
      <c r="W242" s="20" t="n">
        <v>4</v>
      </c>
      <c r="X242" s="20">
        <f>SUM(C243:R243)-S243</f>
        <v/>
      </c>
    </row>
    <row r="243">
      <c r="A243" s="18" t="n">
        <v>238</v>
      </c>
      <c r="B243" s="27" t="inlineStr">
        <is>
          <t>Upper Primary SChool,
Musthafapur (East Wing)</t>
        </is>
      </c>
      <c r="C243" s="20" t="n">
        <v>240</v>
      </c>
      <c r="D243" s="20" t="n">
        <v>24</v>
      </c>
      <c r="E243" s="20" t="n">
        <v>6</v>
      </c>
      <c r="F243" s="20" t="n">
        <v>446</v>
      </c>
      <c r="G243" s="20" t="n">
        <v>5</v>
      </c>
      <c r="H243" s="20" t="n">
        <v>4</v>
      </c>
      <c r="I243" s="20" t="n">
        <v>8</v>
      </c>
      <c r="J243" s="20" t="n">
        <v>1</v>
      </c>
      <c r="K243" s="20" t="n">
        <v>2</v>
      </c>
      <c r="L243" s="20" t="n">
        <v>13</v>
      </c>
      <c r="M243" s="20" t="n">
        <v>2</v>
      </c>
      <c r="N243" s="20" t="n">
        <v>3</v>
      </c>
      <c r="O243" s="20" t="n">
        <v>3</v>
      </c>
      <c r="P243" s="20" t="n">
        <v>1</v>
      </c>
      <c r="Q243" s="20" t="n">
        <v>1</v>
      </c>
      <c r="R243" s="20" t="n">
        <v>756</v>
      </c>
      <c r="S243" s="20" t="n">
        <v>1515</v>
      </c>
      <c r="T243" s="20" t="n">
        <v>12</v>
      </c>
      <c r="U243" s="20" t="n">
        <v>0</v>
      </c>
      <c r="V243" s="20" t="n">
        <v>1527</v>
      </c>
      <c r="W243" s="20" t="n">
        <v>0</v>
      </c>
      <c r="X243" s="20">
        <f>SUM(C244:R244)-S244</f>
        <v/>
      </c>
    </row>
    <row r="244">
      <c r="A244" s="18" t="n">
        <v>239</v>
      </c>
      <c r="B244" s="27" t="inlineStr">
        <is>
          <t>KOTHAKONDA</t>
        </is>
      </c>
      <c r="C244" s="20" t="n">
        <v>159</v>
      </c>
      <c r="D244" s="20" t="n">
        <v>21</v>
      </c>
      <c r="E244" s="20" t="n">
        <v>6</v>
      </c>
      <c r="F244" s="20" t="n">
        <v>258</v>
      </c>
      <c r="G244" s="20" t="n">
        <v>6</v>
      </c>
      <c r="H244" s="20" t="n">
        <v>0</v>
      </c>
      <c r="I244" s="20" t="n">
        <v>4</v>
      </c>
      <c r="J244" s="20" t="n">
        <v>2</v>
      </c>
      <c r="K244" s="20" t="n">
        <v>0</v>
      </c>
      <c r="L244" s="20" t="n">
        <v>9</v>
      </c>
      <c r="M244" s="20" t="n">
        <v>1</v>
      </c>
      <c r="N244" s="20" t="n">
        <v>2</v>
      </c>
      <c r="O244" s="20" t="n">
        <v>1</v>
      </c>
      <c r="P244" s="20" t="n">
        <v>1</v>
      </c>
      <c r="Q244" s="20" t="n">
        <v>4</v>
      </c>
      <c r="R244" s="20" t="n">
        <v>474</v>
      </c>
      <c r="S244" s="20" t="n">
        <v>948</v>
      </c>
      <c r="T244" s="20" t="n">
        <v>5</v>
      </c>
      <c r="U244" s="20" t="n">
        <v>479</v>
      </c>
      <c r="V244" s="20" t="n">
        <v>1432</v>
      </c>
      <c r="W244" s="20" t="n">
        <v>0</v>
      </c>
      <c r="X244" s="20">
        <f>SUM(C245:R245)-S245</f>
        <v/>
      </c>
    </row>
    <row r="245">
      <c r="A245" s="18" t="n">
        <v>240</v>
      </c>
      <c r="B245" s="27" t="inlineStr">
        <is>
          <t>KOTHAKONDA</t>
        </is>
      </c>
      <c r="C245" s="20" t="n">
        <v>151</v>
      </c>
      <c r="D245" s="20" t="n">
        <v>5</v>
      </c>
      <c r="E245" s="20" t="n">
        <v>2</v>
      </c>
      <c r="F245" s="20" t="n">
        <v>407</v>
      </c>
      <c r="G245" s="20" t="n">
        <v>8</v>
      </c>
      <c r="H245" s="20" t="n">
        <v>4</v>
      </c>
      <c r="I245" s="20" t="n">
        <v>5</v>
      </c>
      <c r="J245" s="20" t="n">
        <v>1</v>
      </c>
      <c r="K245" s="20" t="n">
        <v>5</v>
      </c>
      <c r="L245" s="20" t="n">
        <v>23</v>
      </c>
      <c r="M245" s="20" t="n">
        <v>3</v>
      </c>
      <c r="N245" s="20" t="n">
        <v>0</v>
      </c>
      <c r="O245" s="20" t="n">
        <v>0</v>
      </c>
      <c r="P245" s="20" t="n">
        <v>4</v>
      </c>
      <c r="Q245" s="20" t="n">
        <v>2</v>
      </c>
      <c r="R245" s="20" t="n">
        <v>617</v>
      </c>
      <c r="S245" s="20" t="n">
        <v>1237</v>
      </c>
      <c r="T245" s="20" t="n">
        <v>9</v>
      </c>
      <c r="U245" s="20" t="n">
        <v>0</v>
      </c>
      <c r="V245" s="20" t="n">
        <v>1246</v>
      </c>
      <c r="W245" s="20" t="n">
        <v>4</v>
      </c>
      <c r="X245" s="20">
        <f>SUM(C246:R246)-S246</f>
        <v/>
      </c>
    </row>
    <row r="246">
      <c r="A246" s="18" t="n">
        <v>241</v>
      </c>
      <c r="B246" s="27" t="inlineStr">
        <is>
          <t>KOTHAKONDA</t>
        </is>
      </c>
      <c r="C246" s="20" t="n">
        <v>108</v>
      </c>
      <c r="D246" s="20" t="n">
        <v>16</v>
      </c>
      <c r="E246" s="20" t="n">
        <v>6</v>
      </c>
      <c r="F246" s="20" t="n">
        <v>336</v>
      </c>
      <c r="G246" s="20" t="n">
        <v>1</v>
      </c>
      <c r="H246" s="20" t="n">
        <v>3</v>
      </c>
      <c r="I246" s="20" t="n">
        <v>2</v>
      </c>
      <c r="J246" s="20" t="n">
        <v>1</v>
      </c>
      <c r="K246" s="20" t="n">
        <v>0</v>
      </c>
      <c r="L246" s="20" t="n">
        <v>10</v>
      </c>
      <c r="M246" s="20" t="n">
        <v>1</v>
      </c>
      <c r="N246" s="20" t="n">
        <v>0</v>
      </c>
      <c r="O246" s="20" t="n">
        <v>1</v>
      </c>
      <c r="P246" s="20" t="n">
        <v>0</v>
      </c>
      <c r="Q246" s="20" t="n">
        <v>0</v>
      </c>
      <c r="R246" s="20" t="n">
        <v>485</v>
      </c>
      <c r="S246" s="20" t="n">
        <v>970</v>
      </c>
      <c r="T246" s="20" t="n">
        <v>10</v>
      </c>
      <c r="U246" s="20" t="n">
        <v>495</v>
      </c>
      <c r="V246" s="20" t="n">
        <v>1475</v>
      </c>
      <c r="W246" s="20" t="n">
        <v>0</v>
      </c>
      <c r="X246" s="20">
        <f>SUM(C247:R247)-S247</f>
        <v/>
      </c>
    </row>
    <row r="247">
      <c r="A247" s="18" t="n">
        <v>242</v>
      </c>
      <c r="B247" s="27" t="inlineStr">
        <is>
          <t>KOTHAKONDA</t>
        </is>
      </c>
      <c r="C247" s="20" t="n">
        <v>120</v>
      </c>
      <c r="D247" s="20" t="n">
        <v>12</v>
      </c>
      <c r="E247" s="20" t="n">
        <v>2</v>
      </c>
      <c r="F247" s="20" t="n">
        <v>344</v>
      </c>
      <c r="G247" s="20" t="n">
        <v>4</v>
      </c>
      <c r="H247" s="20" t="n">
        <v>1</v>
      </c>
      <c r="I247" s="20" t="n">
        <v>6</v>
      </c>
      <c r="J247" s="20" t="n">
        <v>1</v>
      </c>
      <c r="K247" s="20" t="n">
        <v>1</v>
      </c>
      <c r="L247" s="20" t="n">
        <v>15</v>
      </c>
      <c r="M247" s="20" t="n">
        <v>1</v>
      </c>
      <c r="N247" s="20" t="n">
        <v>2</v>
      </c>
      <c r="O247" s="20" t="n">
        <v>1</v>
      </c>
      <c r="P247" s="20" t="n">
        <v>0</v>
      </c>
      <c r="Q247" s="20" t="n">
        <v>1</v>
      </c>
      <c r="R247" s="20" t="n">
        <v>511</v>
      </c>
      <c r="S247" s="20" t="n">
        <v>1022</v>
      </c>
      <c r="T247" s="20" t="n">
        <v>19</v>
      </c>
      <c r="U247" s="20" t="n">
        <v>0</v>
      </c>
      <c r="V247" s="20" t="n">
        <v>1041</v>
      </c>
      <c r="W247" s="20" t="n">
        <v>0</v>
      </c>
      <c r="X247" s="20">
        <f>SUM(C248:R248)-S248</f>
        <v/>
      </c>
    </row>
    <row r="248">
      <c r="A248" s="18" t="n">
        <v>243</v>
      </c>
      <c r="B248" s="27" t="inlineStr">
        <is>
          <t>ERRABELLI</t>
        </is>
      </c>
      <c r="C248" s="20" t="n">
        <v>168</v>
      </c>
      <c r="D248" s="20" t="n">
        <v>10</v>
      </c>
      <c r="E248" s="20" t="n">
        <v>4</v>
      </c>
      <c r="F248" s="20" t="n">
        <v>258</v>
      </c>
      <c r="G248" s="20" t="n">
        <v>72</v>
      </c>
      <c r="H248" s="20" t="n">
        <v>0</v>
      </c>
      <c r="I248" s="20" t="n">
        <v>6</v>
      </c>
      <c r="J248" s="20" t="n">
        <v>0</v>
      </c>
      <c r="K248" s="20" t="n">
        <v>0</v>
      </c>
      <c r="L248" s="20" t="n">
        <v>8</v>
      </c>
      <c r="M248" s="20" t="n">
        <v>2</v>
      </c>
      <c r="N248" s="20" t="n">
        <v>1</v>
      </c>
      <c r="O248" s="20" t="n">
        <v>0</v>
      </c>
      <c r="P248" s="20" t="n">
        <v>1</v>
      </c>
      <c r="Q248" s="20" t="n">
        <v>0</v>
      </c>
      <c r="R248" s="20" t="n">
        <v>462</v>
      </c>
      <c r="S248" s="20" t="n">
        <v>992</v>
      </c>
      <c r="T248" s="20" t="n">
        <v>9</v>
      </c>
      <c r="U248" s="20" t="n">
        <v>471</v>
      </c>
      <c r="V248" s="20" t="n">
        <v>1472</v>
      </c>
      <c r="W248" s="20" t="n">
        <v>4</v>
      </c>
      <c r="X248" s="20">
        <f>SUM(C249:R249)-S249</f>
        <v/>
      </c>
    </row>
    <row r="249">
      <c r="A249" s="18" t="n">
        <v>244</v>
      </c>
      <c r="B249" s="27" t="inlineStr">
        <is>
          <t>ERRABELLI</t>
        </is>
      </c>
      <c r="C249" s="20" t="n">
        <v>102</v>
      </c>
      <c r="D249" s="20" t="n">
        <v>13</v>
      </c>
      <c r="E249" s="20" t="n">
        <v>1</v>
      </c>
      <c r="F249" s="20" t="n">
        <v>309</v>
      </c>
      <c r="G249" s="20" t="n">
        <v>2</v>
      </c>
      <c r="H249" s="20" t="n">
        <v>1</v>
      </c>
      <c r="I249" s="20" t="n">
        <v>7</v>
      </c>
      <c r="J249" s="20" t="n">
        <v>0</v>
      </c>
      <c r="K249" s="20" t="n">
        <v>0</v>
      </c>
      <c r="L249" s="20" t="n">
        <v>16</v>
      </c>
      <c r="M249" s="20" t="n">
        <v>2</v>
      </c>
      <c r="N249" s="20" t="n">
        <v>0</v>
      </c>
      <c r="O249" s="20" t="n">
        <v>1</v>
      </c>
      <c r="P249" s="20" t="n">
        <v>4</v>
      </c>
      <c r="Q249" s="20" t="n">
        <v>0</v>
      </c>
      <c r="R249" s="20" t="n">
        <v>455</v>
      </c>
      <c r="S249" s="20" t="n">
        <v>913</v>
      </c>
      <c r="T249" s="20" t="n">
        <v>6</v>
      </c>
      <c r="U249" s="20" t="n">
        <v>461</v>
      </c>
      <c r="V249" s="20" t="n">
        <v>1380</v>
      </c>
      <c r="W249" s="20" t="n">
        <v>1</v>
      </c>
      <c r="X249" s="20">
        <f>SUM(C250:R250)-S250</f>
        <v/>
      </c>
    </row>
    <row r="250">
      <c r="A250" s="18" t="n">
        <v>245</v>
      </c>
      <c r="B250" s="27" t="inlineStr">
        <is>
          <t>Zilla Parishad High School, (Girils),
Mulkanoor (SW )</t>
        </is>
      </c>
      <c r="C250" s="20" t="n">
        <v>0</v>
      </c>
      <c r="D250" s="20" t="n">
        <v>0</v>
      </c>
      <c r="E250" s="20" t="n">
        <v>4</v>
      </c>
      <c r="F250" s="20" t="n">
        <v>5</v>
      </c>
      <c r="G250" s="20" t="n">
        <v>6</v>
      </c>
      <c r="H250" s="20" t="n">
        <v>7</v>
      </c>
      <c r="I250" s="20" t="n">
        <v>8</v>
      </c>
      <c r="J250" s="20" t="n">
        <v>9</v>
      </c>
      <c r="K250" s="20" t="n">
        <v>10</v>
      </c>
      <c r="L250" s="20" t="n">
        <v>14</v>
      </c>
      <c r="M250" s="20" t="n">
        <v>12</v>
      </c>
      <c r="N250" s="20" t="n">
        <v>13</v>
      </c>
      <c r="O250" s="20" t="n">
        <v>14</v>
      </c>
      <c r="P250" s="20" t="n">
        <v>15</v>
      </c>
      <c r="Q250" s="20" t="n">
        <v>16</v>
      </c>
      <c r="R250" s="20" t="n">
        <v>17</v>
      </c>
      <c r="S250" s="20" t="n">
        <v>150</v>
      </c>
      <c r="T250" s="20" t="n">
        <v>19</v>
      </c>
      <c r="U250" s="20" t="n">
        <v>20</v>
      </c>
      <c r="V250" s="20" t="n">
        <v>189</v>
      </c>
      <c r="W250" s="20" t="n">
        <v>0</v>
      </c>
      <c r="X250" s="20">
        <f>SUM(C251:R251)-S251</f>
        <v/>
      </c>
    </row>
    <row r="251">
      <c r="A251" s="18" t="n">
        <v>246</v>
      </c>
      <c r="B251" s="27" t="inlineStr">
        <is>
          <t>FRRARFII1</t>
        </is>
      </c>
      <c r="C251" s="20" t="n">
        <v>226</v>
      </c>
      <c r="D251" s="20" t="n">
        <v>8</v>
      </c>
      <c r="E251" s="20" t="n">
        <v>14</v>
      </c>
      <c r="F251" s="20" t="n">
        <v>461</v>
      </c>
      <c r="G251" s="20" t="n">
        <v>3</v>
      </c>
      <c r="H251" s="20" t="n">
        <v>3</v>
      </c>
      <c r="I251" s="20" t="n">
        <v>10</v>
      </c>
      <c r="J251" s="20" t="n">
        <v>2</v>
      </c>
      <c r="K251" s="20" t="n">
        <v>2</v>
      </c>
      <c r="L251" s="20" t="n">
        <v>31</v>
      </c>
      <c r="M251" s="20" t="n">
        <v>5</v>
      </c>
      <c r="N251" s="20" t="n">
        <v>5</v>
      </c>
      <c r="O251" s="20" t="n">
        <v>7</v>
      </c>
      <c r="P251" s="20" t="n">
        <v>3</v>
      </c>
      <c r="Q251" s="20" t="n">
        <v>4</v>
      </c>
      <c r="R251" s="20" t="n">
        <v>784</v>
      </c>
      <c r="S251" s="20" t="n">
        <v>1568</v>
      </c>
      <c r="T251" s="20" t="n">
        <v>25</v>
      </c>
      <c r="U251" s="20" t="n">
        <v>0</v>
      </c>
      <c r="V251" s="20" t="n">
        <v>1593</v>
      </c>
      <c r="W251" s="20" t="n">
        <v>4</v>
      </c>
      <c r="X251" s="20">
        <f>SUM(C252:R252)-S252</f>
        <v/>
      </c>
    </row>
    <row r="252">
      <c r="A252" s="18" t="n">
        <v>247</v>
      </c>
      <c r="B252" s="27" t="inlineStr">
        <is>
          <t>MUSTAFAPUR</t>
        </is>
      </c>
      <c r="C252" s="20" t="n">
        <v>254</v>
      </c>
      <c r="D252" s="20" t="n">
        <v>33</v>
      </c>
      <c r="E252" s="20" t="n">
        <v>6</v>
      </c>
      <c r="F252" s="20" t="n">
        <v>453</v>
      </c>
      <c r="G252" s="20" t="n">
        <v>3</v>
      </c>
      <c r="H252" s="20" t="n">
        <v>4</v>
      </c>
      <c r="I252" s="20" t="n">
        <v>2</v>
      </c>
      <c r="J252" s="20" t="n">
        <v>1</v>
      </c>
      <c r="K252" s="20" t="n">
        <v>1</v>
      </c>
      <c r="L252" s="20" t="n">
        <v>22</v>
      </c>
      <c r="M252" s="20" t="n">
        <v>5</v>
      </c>
      <c r="N252" s="20" t="n">
        <v>1</v>
      </c>
      <c r="O252" s="20" t="n">
        <v>1</v>
      </c>
      <c r="P252" s="20" t="n">
        <v>2</v>
      </c>
      <c r="Q252" s="20" t="n">
        <v>3</v>
      </c>
      <c r="R252" s="20" t="n">
        <v>791</v>
      </c>
      <c r="S252" s="20" t="n">
        <v>1582</v>
      </c>
      <c r="T252" s="20" t="n">
        <v>27</v>
      </c>
      <c r="U252" s="20" t="n">
        <v>0</v>
      </c>
      <c r="V252" s="20" t="n">
        <v>1609</v>
      </c>
      <c r="W252" s="20" t="n">
        <v>4</v>
      </c>
      <c r="X252" s="20">
        <f>SUM(C253:R253)-S253</f>
        <v/>
      </c>
    </row>
    <row r="253">
      <c r="A253" s="18" t="n">
        <v>248</v>
      </c>
      <c r="B253" s="27" t="inlineStr">
        <is>
          <t>MUSTAFAPUR</t>
        </is>
      </c>
      <c r="C253" s="20" t="n">
        <v>158</v>
      </c>
      <c r="D253" s="20" t="n">
        <v>3</v>
      </c>
      <c r="E253" s="20" t="n">
        <v>6</v>
      </c>
      <c r="F253" s="20" t="n">
        <v>517</v>
      </c>
      <c r="G253" s="20" t="n">
        <v>4</v>
      </c>
      <c r="H253" s="20" t="n">
        <v>3</v>
      </c>
      <c r="I253" s="20" t="n">
        <v>417</v>
      </c>
      <c r="J253" s="20" t="n">
        <v>2</v>
      </c>
      <c r="K253" s="20" t="n">
        <v>3</v>
      </c>
      <c r="L253" s="20" t="n">
        <v>22</v>
      </c>
      <c r="M253" s="20" t="n">
        <v>6</v>
      </c>
      <c r="N253" s="20" t="n">
        <v>2</v>
      </c>
      <c r="O253" s="20" t="n">
        <v>3</v>
      </c>
      <c r="P253" s="20" t="n">
        <v>2</v>
      </c>
      <c r="Q253" s="20" t="n">
        <v>2</v>
      </c>
      <c r="R253" s="20" t="n">
        <v>780</v>
      </c>
      <c r="S253" s="20" t="n">
        <v>1930</v>
      </c>
      <c r="T253" s="20" t="n">
        <v>16</v>
      </c>
      <c r="U253" s="20" t="n">
        <v>0</v>
      </c>
      <c r="V253" s="20" t="n">
        <v>1946</v>
      </c>
      <c r="W253" s="20" t="n">
        <v>4</v>
      </c>
      <c r="X253" s="20">
        <f>SUM(C254:R254)-S254</f>
        <v/>
      </c>
    </row>
    <row r="254">
      <c r="A254" s="18" t="n">
        <v>249</v>
      </c>
      <c r="B254" s="27" t="inlineStr">
        <is>
          <t>MUI KANUR</t>
        </is>
      </c>
      <c r="C254" s="20" t="n">
        <v>244</v>
      </c>
      <c r="D254" s="20" t="n">
        <v>6</v>
      </c>
      <c r="E254" s="20" t="n">
        <v>5</v>
      </c>
      <c r="F254" s="20" t="n">
        <v>222</v>
      </c>
      <c r="G254" s="20" t="n">
        <v>1</v>
      </c>
      <c r="H254" s="20" t="n">
        <v>2</v>
      </c>
      <c r="I254" s="20" t="n">
        <v>1</v>
      </c>
      <c r="J254" s="20" t="n">
        <v>0</v>
      </c>
      <c r="K254" s="20" t="n">
        <v>1</v>
      </c>
      <c r="L254" s="20" t="n">
        <v>6</v>
      </c>
      <c r="M254" s="20" t="n">
        <v>1</v>
      </c>
      <c r="N254" s="20" t="n">
        <v>3</v>
      </c>
      <c r="O254" s="20" t="n">
        <v>4</v>
      </c>
      <c r="P254" s="20" t="n">
        <v>2</v>
      </c>
      <c r="Q254" s="20" t="n">
        <v>0</v>
      </c>
      <c r="R254" s="20" t="n">
        <v>498</v>
      </c>
      <c r="S254" s="20" t="n">
        <v>996</v>
      </c>
      <c r="T254" s="20" t="n">
        <v>25</v>
      </c>
      <c r="U254" s="20" t="n">
        <v>0</v>
      </c>
      <c r="V254" s="20" t="n">
        <v>1021</v>
      </c>
      <c r="W254" s="20" t="n">
        <v>3</v>
      </c>
      <c r="X254" s="20">
        <f>SUM(C255:R255)-S255</f>
        <v/>
      </c>
    </row>
    <row r="255">
      <c r="A255" s="18" t="n">
        <v>250</v>
      </c>
      <c r="B255" s="27" t="inlineStr">
        <is>
          <t>MUI KANUR</t>
        </is>
      </c>
      <c r="C255" s="20" t="n">
        <v>248</v>
      </c>
      <c r="D255" s="20" t="n">
        <v>10</v>
      </c>
      <c r="E255" s="20" t="n">
        <v>2</v>
      </c>
      <c r="F255" s="20" t="n">
        <v>187</v>
      </c>
      <c r="G255" s="20" t="n">
        <v>0</v>
      </c>
      <c r="H255" s="20" t="n">
        <v>2</v>
      </c>
      <c r="I255" s="20" t="n">
        <v>2</v>
      </c>
      <c r="J255" s="20" t="n">
        <v>0</v>
      </c>
      <c r="K255" s="20" t="n">
        <v>0</v>
      </c>
      <c r="L255" s="20" t="n">
        <v>12</v>
      </c>
      <c r="M255" s="20" t="n">
        <v>3</v>
      </c>
      <c r="N255" s="20" t="n">
        <v>4</v>
      </c>
      <c r="O255" s="20" t="n">
        <v>3</v>
      </c>
      <c r="P255" s="20" t="n">
        <v>2</v>
      </c>
      <c r="Q255" s="20" t="n">
        <v>3</v>
      </c>
      <c r="R255" s="20" t="n">
        <v>478</v>
      </c>
      <c r="S255" s="20" t="n">
        <v>956</v>
      </c>
      <c r="T255" s="20" t="n">
        <v>15</v>
      </c>
      <c r="U255" s="20" t="n">
        <v>493</v>
      </c>
      <c r="V255" s="20" t="n">
        <v>1464</v>
      </c>
      <c r="W255" s="20" t="n">
        <v>0</v>
      </c>
      <c r="X255" s="20">
        <f>SUM(C256:R256)-S256</f>
        <v/>
      </c>
    </row>
    <row r="256">
      <c r="A256" s="18" t="n">
        <v>251</v>
      </c>
      <c r="B256" s="27" t="inlineStr">
        <is>
          <t>MUL KANUR</t>
        </is>
      </c>
      <c r="C256" s="20" t="n">
        <v>291</v>
      </c>
      <c r="D256" s="20" t="n">
        <v>22</v>
      </c>
      <c r="E256" s="20" t="n">
        <v>10</v>
      </c>
      <c r="F256" s="20" t="n">
        <v>520</v>
      </c>
      <c r="G256" s="20" t="n">
        <v>1</v>
      </c>
      <c r="H256" s="20" t="n">
        <v>4</v>
      </c>
      <c r="I256" s="20" t="n">
        <v>417</v>
      </c>
      <c r="J256" s="20" t="n">
        <v>3</v>
      </c>
      <c r="K256" s="20" t="n">
        <v>1</v>
      </c>
      <c r="L256" s="20" t="n">
        <v>21</v>
      </c>
      <c r="M256" s="20" t="n">
        <v>2</v>
      </c>
      <c r="N256" s="20" t="n">
        <v>3</v>
      </c>
      <c r="O256" s="20" t="n">
        <v>6</v>
      </c>
      <c r="P256" s="20" t="n">
        <v>4</v>
      </c>
      <c r="Q256" s="20" t="n">
        <v>2</v>
      </c>
      <c r="R256" s="20" t="n">
        <v>904</v>
      </c>
      <c r="S256" s="20" t="n">
        <v>2211</v>
      </c>
      <c r="T256" s="20" t="n">
        <v>28</v>
      </c>
      <c r="U256" s="20" t="n">
        <v>0</v>
      </c>
      <c r="V256" s="20" t="n">
        <v>2239</v>
      </c>
      <c r="W256" s="20" t="n">
        <v>0</v>
      </c>
      <c r="X256" s="20">
        <f>SUM(C257:R257)-S257</f>
        <v/>
      </c>
    </row>
    <row r="257">
      <c r="A257" s="18" t="n">
        <v>252</v>
      </c>
      <c r="B257" s="27" t="inlineStr">
        <is>
          <t>MU KANUR</t>
        </is>
      </c>
      <c r="C257" s="20" t="n">
        <v>279</v>
      </c>
      <c r="D257" s="20" t="n">
        <v>26</v>
      </c>
      <c r="E257" s="20" t="n">
        <v>3</v>
      </c>
      <c r="F257" s="20" t="n">
        <v>510</v>
      </c>
      <c r="G257" s="20" t="n">
        <v>1</v>
      </c>
      <c r="H257" s="20" t="n">
        <v>2</v>
      </c>
      <c r="I257" s="20" t="n">
        <v>2</v>
      </c>
      <c r="J257" s="20" t="n">
        <v>4</v>
      </c>
      <c r="K257" s="20" t="n">
        <v>2</v>
      </c>
      <c r="L257" s="20" t="n">
        <v>8</v>
      </c>
      <c r="M257" s="20" t="n">
        <v>2</v>
      </c>
      <c r="N257" s="20" t="n">
        <v>1</v>
      </c>
      <c r="O257" s="20" t="n">
        <v>0</v>
      </c>
      <c r="P257" s="20" t="n">
        <v>4</v>
      </c>
      <c r="Q257" s="20" t="n">
        <v>0</v>
      </c>
      <c r="R257" s="20" t="n">
        <v>841</v>
      </c>
      <c r="S257" s="20" t="n">
        <v>1685</v>
      </c>
      <c r="T257" s="20" t="n">
        <v>17</v>
      </c>
      <c r="U257" s="20" t="n">
        <v>0</v>
      </c>
      <c r="V257" s="20" t="n">
        <v>1702</v>
      </c>
      <c r="W257" s="20" t="n">
        <v>4</v>
      </c>
      <c r="X257" s="20">
        <f>SUM(C258:R258)-S258</f>
        <v/>
      </c>
    </row>
    <row r="258">
      <c r="A258" s="18" t="n">
        <v>253</v>
      </c>
      <c r="B258" s="27" t="inlineStr">
        <is>
          <t>MUI KANUR</t>
        </is>
      </c>
      <c r="C258" s="20" t="n">
        <v>148</v>
      </c>
      <c r="D258" s="20" t="n">
        <v>7</v>
      </c>
      <c r="E258" s="20" t="n">
        <v>2</v>
      </c>
      <c r="F258" s="20" t="n">
        <v>327</v>
      </c>
      <c r="G258" s="20" t="n">
        <v>4</v>
      </c>
      <c r="H258" s="20" t="n">
        <v>1</v>
      </c>
      <c r="I258" s="20" t="n">
        <v>2</v>
      </c>
      <c r="J258" s="20" t="n">
        <v>4</v>
      </c>
      <c r="K258" s="20" t="n">
        <v>0</v>
      </c>
      <c r="L258" s="20" t="n">
        <v>4</v>
      </c>
      <c r="M258" s="20" t="n">
        <v>2</v>
      </c>
      <c r="N258" s="20" t="n">
        <v>2</v>
      </c>
      <c r="O258" s="20" t="n">
        <v>2</v>
      </c>
      <c r="P258" s="20" t="n">
        <v>1</v>
      </c>
      <c r="Q258" s="20" t="n">
        <v>1</v>
      </c>
      <c r="R258" s="20" t="n">
        <v>507</v>
      </c>
      <c r="S258" s="20" t="n">
        <v>1014</v>
      </c>
      <c r="T258" s="20" t="n">
        <v>20</v>
      </c>
      <c r="U258" s="20" t="n">
        <v>0</v>
      </c>
      <c r="V258" s="20" t="n">
        <v>1034</v>
      </c>
      <c r="W258" s="20" t="n">
        <v>0</v>
      </c>
      <c r="X258" s="20">
        <f>SUM(C259:R259)-S259</f>
        <v/>
      </c>
    </row>
    <row r="259">
      <c r="A259" s="18" t="n">
        <v>254</v>
      </c>
      <c r="B259" s="27" t="inlineStr">
        <is>
          <t>MU KANUR</t>
        </is>
      </c>
      <c r="C259" s="20" t="n">
        <v>417</v>
      </c>
      <c r="D259" s="20" t="n">
        <v>0</v>
      </c>
      <c r="E259" s="20" t="n">
        <v>2</v>
      </c>
      <c r="F259" s="20" t="n">
        <v>285</v>
      </c>
      <c r="G259" s="20" t="n">
        <v>2</v>
      </c>
      <c r="H259" s="20" t="n">
        <v>2</v>
      </c>
      <c r="I259" s="20" t="n">
        <v>6</v>
      </c>
      <c r="J259" s="20" t="n">
        <v>0</v>
      </c>
      <c r="K259" s="20" t="n">
        <v>0</v>
      </c>
      <c r="L259" s="20" t="n">
        <v>9</v>
      </c>
      <c r="M259" s="20" t="n">
        <v>2</v>
      </c>
      <c r="N259" s="20" t="n">
        <v>0</v>
      </c>
      <c r="O259" s="20" t="n">
        <v>1</v>
      </c>
      <c r="P259" s="20" t="n">
        <v>2</v>
      </c>
      <c r="Q259" s="20" t="n">
        <v>0</v>
      </c>
      <c r="R259" s="20" t="n">
        <v>437</v>
      </c>
      <c r="S259" s="20" t="n">
        <v>1165</v>
      </c>
      <c r="T259" s="20" t="n">
        <v>11</v>
      </c>
      <c r="U259" s="20" t="n">
        <v>448</v>
      </c>
      <c r="V259" s="20" t="n">
        <v>1624</v>
      </c>
      <c r="W259" s="20" t="n">
        <v>0</v>
      </c>
      <c r="X259" s="20">
        <f>SUM(C260:R260)-S260</f>
        <v/>
      </c>
    </row>
    <row r="260">
      <c r="A260" s="18" t="n">
        <v>255</v>
      </c>
      <c r="B260" s="27" t="inlineStr">
        <is>
          <t>MU KANUR</t>
        </is>
      </c>
      <c r="C260" s="20" t="n">
        <v>297</v>
      </c>
      <c r="D260" s="20" t="n">
        <v>26</v>
      </c>
      <c r="E260" s="20" t="n">
        <v>2</v>
      </c>
      <c r="F260" s="20" t="n">
        <v>463</v>
      </c>
      <c r="G260" s="20" t="n">
        <v>4</v>
      </c>
      <c r="H260" s="20" t="n">
        <v>4</v>
      </c>
      <c r="I260" s="20" t="n">
        <v>3</v>
      </c>
      <c r="J260" s="20" t="n">
        <v>1</v>
      </c>
      <c r="K260" s="20" t="n">
        <v>2</v>
      </c>
      <c r="L260" s="20" t="n">
        <v>12</v>
      </c>
      <c r="M260" s="20" t="n">
        <v>3</v>
      </c>
      <c r="N260" s="20" t="n">
        <v>3</v>
      </c>
      <c r="O260" s="20" t="n">
        <v>7</v>
      </c>
      <c r="P260" s="20" t="n">
        <v>2</v>
      </c>
      <c r="Q260" s="20" t="n">
        <v>3</v>
      </c>
      <c r="R260" s="20" t="n">
        <v>762</v>
      </c>
      <c r="S260" s="20" t="n">
        <v>1594</v>
      </c>
      <c r="T260" s="20" t="n">
        <v>26</v>
      </c>
      <c r="U260" s="20" t="n">
        <v>0</v>
      </c>
      <c r="V260" s="20" t="n">
        <v>1620</v>
      </c>
      <c r="W260" s="20" t="n">
        <v>4</v>
      </c>
      <c r="X260" s="20">
        <f>SUM(C261:R261)-S261</f>
        <v/>
      </c>
    </row>
    <row r="261">
      <c r="A261" s="18" t="n">
        <v>256</v>
      </c>
      <c r="B261" s="27" t="inlineStr">
        <is>
          <t>MUL KANUR</t>
        </is>
      </c>
      <c r="C261" s="20" t="n">
        <v>210</v>
      </c>
      <c r="D261" s="20" t="n">
        <v>22</v>
      </c>
      <c r="E261" s="20" t="n">
        <v>9</v>
      </c>
      <c r="F261" s="20" t="n">
        <v>417</v>
      </c>
      <c r="G261" s="20" t="n">
        <v>2</v>
      </c>
      <c r="H261" s="20" t="n">
        <v>3</v>
      </c>
      <c r="I261" s="20" t="n">
        <v>2</v>
      </c>
      <c r="J261" s="20" t="n">
        <v>2</v>
      </c>
      <c r="K261" s="20" t="n">
        <v>3</v>
      </c>
      <c r="L261" s="20" t="n">
        <v>5</v>
      </c>
      <c r="M261" s="20" t="n">
        <v>1</v>
      </c>
      <c r="N261" s="20" t="n">
        <v>3</v>
      </c>
      <c r="O261" s="20" t="n">
        <v>0</v>
      </c>
      <c r="P261" s="20" t="n">
        <v>2</v>
      </c>
      <c r="Q261" s="20" t="n">
        <v>5</v>
      </c>
      <c r="R261" s="20" t="n">
        <v>686</v>
      </c>
      <c r="S261" s="20" t="n">
        <v>1372</v>
      </c>
      <c r="T261" s="20" t="n">
        <v>23</v>
      </c>
      <c r="U261" s="20" t="n">
        <v>0</v>
      </c>
      <c r="V261" s="20" t="n">
        <v>1395</v>
      </c>
      <c r="W261" s="20" t="n">
        <v>3</v>
      </c>
      <c r="X261" s="20">
        <f>SUM(C262:R262)-S262</f>
        <v/>
      </c>
    </row>
    <row r="262">
      <c r="A262" s="18" t="n">
        <v>257</v>
      </c>
      <c r="B262" s="27" t="inlineStr">
        <is>
          <t>MUTHARAM</t>
        </is>
      </c>
      <c r="C262" s="20" t="n">
        <v>298</v>
      </c>
      <c r="D262" s="20" t="n">
        <v>14</v>
      </c>
      <c r="E262" s="20" t="n">
        <v>6</v>
      </c>
      <c r="F262" s="20" t="n">
        <v>423</v>
      </c>
      <c r="G262" s="20" t="n">
        <v>1</v>
      </c>
      <c r="H262" s="20" t="n">
        <v>4</v>
      </c>
      <c r="I262" s="20" t="n">
        <v>0</v>
      </c>
      <c r="J262" s="20" t="n">
        <v>4</v>
      </c>
      <c r="K262" s="20" t="n">
        <v>0</v>
      </c>
      <c r="L262" s="20" t="n">
        <v>18</v>
      </c>
      <c r="M262" s="20" t="n">
        <v>3</v>
      </c>
      <c r="N262" s="20" t="n">
        <v>3</v>
      </c>
      <c r="O262" s="20" t="n">
        <v>2</v>
      </c>
      <c r="P262" s="20" t="n">
        <v>2</v>
      </c>
      <c r="Q262" s="20" t="n">
        <v>4</v>
      </c>
      <c r="R262" s="20" t="n">
        <v>786</v>
      </c>
      <c r="S262" s="20" t="n">
        <v>1568</v>
      </c>
      <c r="T262" s="20" t="n">
        <v>12</v>
      </c>
      <c r="U262" s="20" t="n">
        <v>0</v>
      </c>
      <c r="V262" s="20" t="n">
        <v>1580</v>
      </c>
      <c r="W262" s="20" t="n">
        <v>4</v>
      </c>
      <c r="X262" s="20">
        <f>SUM(C263:R263)-S263</f>
        <v/>
      </c>
    </row>
    <row r="263">
      <c r="A263" s="18" t="n">
        <v>258</v>
      </c>
      <c r="B263" s="27" t="inlineStr">
        <is>
          <t>KOTHAPAILLI</t>
        </is>
      </c>
      <c r="C263" s="20" t="n">
        <v>310</v>
      </c>
      <c r="D263" s="20" t="n">
        <v>9</v>
      </c>
      <c r="E263" s="20" t="n">
        <v>2</v>
      </c>
      <c r="F263" s="20" t="n">
        <v>395</v>
      </c>
      <c r="G263" s="20" t="n">
        <v>4</v>
      </c>
      <c r="H263" s="20" t="n">
        <v>4</v>
      </c>
      <c r="I263" s="20" t="n">
        <v>8</v>
      </c>
      <c r="J263" s="20" t="n">
        <v>0</v>
      </c>
      <c r="K263" s="20" t="n">
        <v>2</v>
      </c>
      <c r="L263" s="20" t="n">
        <v>19</v>
      </c>
      <c r="M263" s="20" t="n">
        <v>3</v>
      </c>
      <c r="N263" s="20" t="n">
        <v>1</v>
      </c>
      <c r="O263" s="20" t="n">
        <v>1</v>
      </c>
      <c r="P263" s="20" t="n">
        <v>0</v>
      </c>
      <c r="Q263" s="20" t="n">
        <v>2</v>
      </c>
      <c r="R263" s="20" t="n">
        <v>760</v>
      </c>
      <c r="S263" s="20" t="n">
        <v>1520</v>
      </c>
      <c r="T263" s="20" t="n">
        <v>13</v>
      </c>
      <c r="U263" s="20" t="n">
        <v>0</v>
      </c>
      <c r="V263" s="20" t="n">
        <v>1533</v>
      </c>
      <c r="W263" s="20" t="n">
        <v>7</v>
      </c>
      <c r="X263" s="20">
        <f>SUM(C264:R264)-S264</f>
        <v/>
      </c>
    </row>
    <row r="264">
      <c r="A264" s="18" t="n">
        <v>259</v>
      </c>
      <c r="B264" s="27" t="inlineStr">
        <is>
          <t>KOTHAPAIIT</t>
        </is>
      </c>
      <c r="C264" s="20" t="n">
        <v>0</v>
      </c>
      <c r="D264" s="20" t="n">
        <v>5</v>
      </c>
      <c r="E264" s="20" t="n">
        <v>10</v>
      </c>
      <c r="F264" s="20" t="n">
        <v>356</v>
      </c>
      <c r="G264" s="20" t="n">
        <v>2</v>
      </c>
      <c r="H264" s="20" t="n">
        <v>3</v>
      </c>
      <c r="I264" s="20" t="n">
        <v>5</v>
      </c>
      <c r="J264" s="20" t="n">
        <v>2</v>
      </c>
      <c r="K264" s="20" t="n">
        <v>0</v>
      </c>
      <c r="L264" s="20" t="n">
        <v>22</v>
      </c>
      <c r="M264" s="20" t="n">
        <v>1</v>
      </c>
      <c r="N264" s="20" t="n">
        <v>0</v>
      </c>
      <c r="O264" s="20" t="n">
        <v>0</v>
      </c>
      <c r="P264" s="20" t="n">
        <v>4</v>
      </c>
      <c r="Q264" s="20" t="n">
        <v>0</v>
      </c>
      <c r="R264" s="20" t="n">
        <v>585</v>
      </c>
      <c r="S264" s="20" t="n">
        <v>995</v>
      </c>
      <c r="T264" s="20" t="n">
        <v>22</v>
      </c>
      <c r="U264" s="20" t="n">
        <v>0</v>
      </c>
      <c r="V264" s="20" t="n">
        <v>1017</v>
      </c>
      <c r="W264" s="20" t="n">
        <v>0</v>
      </c>
      <c r="X264" s="20">
        <f>SUM(C265:R265)-S265</f>
        <v/>
      </c>
    </row>
    <row r="265">
      <c r="A265" s="18" t="n">
        <v>260</v>
      </c>
      <c r="B265" s="27" t="inlineStr">
        <is>
          <t>KOTHAPAIIT</t>
        </is>
      </c>
      <c r="C265" s="20" t="n">
        <v>231</v>
      </c>
      <c r="D265" s="20" t="n">
        <v>3</v>
      </c>
      <c r="E265" s="20" t="n">
        <v>4</v>
      </c>
      <c r="F265" s="20" t="n">
        <v>289</v>
      </c>
      <c r="G265" s="20" t="n">
        <v>6</v>
      </c>
      <c r="H265" s="20" t="n">
        <v>2</v>
      </c>
      <c r="I265" s="20" t="n">
        <v>6</v>
      </c>
      <c r="J265" s="20" t="n">
        <v>0</v>
      </c>
      <c r="K265" s="20" t="n">
        <v>0</v>
      </c>
      <c r="L265" s="20" t="n">
        <v>20</v>
      </c>
      <c r="M265" s="20" t="n">
        <v>2</v>
      </c>
      <c r="N265" s="20" t="n">
        <v>1</v>
      </c>
      <c r="O265" s="20" t="n">
        <v>2</v>
      </c>
      <c r="P265" s="20" t="n">
        <v>2</v>
      </c>
      <c r="Q265" s="20" t="n">
        <v>4</v>
      </c>
      <c r="R265" s="20" t="n">
        <v>572</v>
      </c>
      <c r="S265" s="20" t="n">
        <v>1144</v>
      </c>
      <c r="T265" s="20" t="n">
        <v>20</v>
      </c>
      <c r="U265" s="20" t="n">
        <v>0</v>
      </c>
      <c r="V265" s="20" t="n">
        <v>1164</v>
      </c>
      <c r="W265" s="20" t="n">
        <v>0</v>
      </c>
      <c r="X265" s="20">
        <f>SUM(C266:R266)-S266</f>
        <v/>
      </c>
    </row>
    <row r="266">
      <c r="A266" s="18" t="n">
        <v>261</v>
      </c>
      <c r="B266" s="27" t="inlineStr">
        <is>
          <t>KOTHAPAII1</t>
        </is>
      </c>
      <c r="C266" s="20" t="n">
        <v>154</v>
      </c>
      <c r="D266" s="20" t="n">
        <v>6</v>
      </c>
      <c r="E266" s="20" t="n">
        <v>8</v>
      </c>
      <c r="F266" s="20" t="n">
        <v>357</v>
      </c>
      <c r="G266" s="20" t="n">
        <v>4</v>
      </c>
      <c r="H266" s="20" t="n">
        <v>2</v>
      </c>
      <c r="I266" s="20" t="n">
        <v>8</v>
      </c>
      <c r="J266" s="20" t="n">
        <v>2</v>
      </c>
      <c r="K266" s="20" t="n">
        <v>0</v>
      </c>
      <c r="L266" s="20" t="n">
        <v>20</v>
      </c>
      <c r="M266" s="20" t="n">
        <v>41</v>
      </c>
      <c r="N266" s="20" t="n">
        <v>1</v>
      </c>
      <c r="O266" s="20" t="n">
        <v>2</v>
      </c>
      <c r="P266" s="20" t="n">
        <v>0</v>
      </c>
      <c r="Q266" s="20" t="n">
        <v>1</v>
      </c>
      <c r="R266" s="20" t="n">
        <v>563</v>
      </c>
      <c r="S266" s="20" t="n">
        <v>1169</v>
      </c>
      <c r="T266" s="20" t="n">
        <v>11</v>
      </c>
      <c r="U266" s="20" t="n">
        <v>0</v>
      </c>
      <c r="V266" s="20" t="n">
        <v>1180</v>
      </c>
      <c r="W266" s="20" t="n">
        <v>0</v>
      </c>
      <c r="X266" s="20">
        <f>SUM(C267:R267)-S267</f>
        <v/>
      </c>
    </row>
    <row r="267">
      <c r="A267" s="18" t="n">
        <v>262</v>
      </c>
      <c r="B267" s="27" t="inlineStr">
        <is>
          <t>PENGHIKAI PET.</t>
        </is>
      </c>
      <c r="C267" s="20" t="n">
        <v>245</v>
      </c>
      <c r="D267" s="20" t="n">
        <v>12</v>
      </c>
      <c r="E267" s="20" t="n">
        <v>8</v>
      </c>
      <c r="F267" s="20" t="n">
        <v>361</v>
      </c>
      <c r="G267" s="20" t="n">
        <v>0</v>
      </c>
      <c r="H267" s="20" t="n">
        <v>3</v>
      </c>
      <c r="I267" s="20" t="n">
        <v>7</v>
      </c>
      <c r="J267" s="20" t="n">
        <v>3</v>
      </c>
      <c r="K267" s="20" t="n">
        <v>3</v>
      </c>
      <c r="L267" s="20" t="n">
        <v>24</v>
      </c>
      <c r="M267" s="20" t="n">
        <v>3</v>
      </c>
      <c r="N267" s="20" t="n">
        <v>2</v>
      </c>
      <c r="O267" s="20" t="n">
        <v>3</v>
      </c>
      <c r="P267" s="20" t="n">
        <v>2</v>
      </c>
      <c r="Q267" s="20" t="n">
        <v>2</v>
      </c>
      <c r="R267" s="20" t="n">
        <v>678</v>
      </c>
      <c r="S267" s="20" t="n">
        <v>1356</v>
      </c>
      <c r="T267" s="20" t="n">
        <v>12</v>
      </c>
      <c r="U267" s="20" t="n">
        <v>0</v>
      </c>
      <c r="V267" s="20" t="n">
        <v>1368</v>
      </c>
      <c r="W267" s="20" t="n">
        <v>0</v>
      </c>
      <c r="X267" s="20">
        <f>SUM(C268:R268)-S268</f>
        <v/>
      </c>
    </row>
    <row r="268">
      <c r="A268" s="18" t="n">
        <v>263</v>
      </c>
      <c r="B268" s="27" t="inlineStr">
        <is>
          <t>PENCHIKAI PFT</t>
        </is>
      </c>
      <c r="C268" s="20" t="n">
        <v>298</v>
      </c>
      <c r="D268" s="20" t="n">
        <v>16</v>
      </c>
      <c r="E268" s="20" t="n">
        <v>4</v>
      </c>
      <c r="F268" s="20" t="n">
        <v>279</v>
      </c>
      <c r="G268" s="20" t="n">
        <v>2</v>
      </c>
      <c r="H268" s="20" t="n">
        <v>3</v>
      </c>
      <c r="I268" s="20" t="n">
        <v>0</v>
      </c>
      <c r="J268" s="20" t="n">
        <v>4</v>
      </c>
      <c r="K268" s="20" t="n">
        <v>4</v>
      </c>
      <c r="L268" s="20" t="n">
        <v>7</v>
      </c>
      <c r="M268" s="20" t="n">
        <v>0</v>
      </c>
      <c r="N268" s="20" t="n">
        <v>4</v>
      </c>
      <c r="O268" s="20" t="n">
        <v>7</v>
      </c>
      <c r="P268" s="20" t="n">
        <v>2</v>
      </c>
      <c r="Q268" s="20" t="n">
        <v>6</v>
      </c>
      <c r="R268" s="20" t="n">
        <v>666</v>
      </c>
      <c r="S268" s="20" t="n">
        <v>1302</v>
      </c>
      <c r="T268" s="20" t="n">
        <v>13</v>
      </c>
      <c r="U268" s="20" t="n">
        <v>0</v>
      </c>
      <c r="V268" s="20" t="n">
        <v>1315</v>
      </c>
      <c r="W268" s="20" t="n">
        <v>0</v>
      </c>
      <c r="X268" s="20">
        <f>SUM(C269:R269)-S269</f>
        <v/>
      </c>
    </row>
    <row r="269">
      <c r="A269" s="18" t="n">
        <v>264</v>
      </c>
      <c r="B269" s="27" t="inlineStr">
        <is>
          <t>Tallanita</t>
        </is>
      </c>
      <c r="C269" s="20" t="n">
        <v>143</v>
      </c>
      <c r="D269" s="20" t="n">
        <v>10</v>
      </c>
      <c r="E269" s="20" t="n">
        <v>8</v>
      </c>
      <c r="F269" s="20" t="n">
        <v>329</v>
      </c>
      <c r="G269" s="20" t="n">
        <v>4</v>
      </c>
      <c r="H269" s="20" t="n">
        <v>0</v>
      </c>
      <c r="I269" s="20" t="n">
        <v>4</v>
      </c>
      <c r="J269" s="20" t="n">
        <v>4</v>
      </c>
      <c r="K269" s="20" t="n">
        <v>4</v>
      </c>
      <c r="L269" s="20" t="n">
        <v>19</v>
      </c>
      <c r="M269" s="20" t="n">
        <v>3</v>
      </c>
      <c r="N269" s="20" t="n">
        <v>3</v>
      </c>
      <c r="O269" s="20" t="n">
        <v>1</v>
      </c>
      <c r="P269" s="20" t="n">
        <v>3</v>
      </c>
      <c r="Q269" s="20" t="n">
        <v>2</v>
      </c>
      <c r="R269" s="20" t="n">
        <v>531</v>
      </c>
      <c r="S269" s="20" t="n">
        <v>1068</v>
      </c>
      <c r="T269" s="20" t="n">
        <v>10</v>
      </c>
      <c r="U269" s="20" t="n">
        <v>41</v>
      </c>
      <c r="V269" s="20" t="n">
        <v>1119</v>
      </c>
      <c r="W269" s="20" t="n">
        <v>0</v>
      </c>
      <c r="X269" s="20">
        <f>SUM(C270:R270)-S270</f>
        <v/>
      </c>
    </row>
    <row r="270">
      <c r="A270" s="18" t="n">
        <v>265</v>
      </c>
      <c r="B270" s="27" t="inlineStr">
        <is>
          <t>Talicnila</t>
        </is>
      </c>
      <c r="C270" s="20" t="n">
        <v>169</v>
      </c>
      <c r="D270" s="20" t="n">
        <v>7</v>
      </c>
      <c r="E270" s="20" t="n">
        <v>7</v>
      </c>
      <c r="F270" s="20" t="n">
        <v>517</v>
      </c>
      <c r="G270" s="20" t="n">
        <v>2</v>
      </c>
      <c r="H270" s="20" t="n">
        <v>2</v>
      </c>
      <c r="I270" s="20" t="n">
        <v>5</v>
      </c>
      <c r="J270" s="20" t="n">
        <v>2</v>
      </c>
      <c r="K270" s="20" t="n">
        <v>0</v>
      </c>
      <c r="L270" s="20" t="n">
        <v>0</v>
      </c>
      <c r="M270" s="20" t="n">
        <v>4</v>
      </c>
      <c r="N270" s="20" t="n">
        <v>0</v>
      </c>
      <c r="O270" s="20" t="n">
        <v>3</v>
      </c>
      <c r="P270" s="20" t="n">
        <v>0</v>
      </c>
      <c r="Q270" s="20" t="n">
        <v>4</v>
      </c>
      <c r="R270" s="20" t="n">
        <v>727</v>
      </c>
      <c r="S270" s="20" t="n">
        <v>1449</v>
      </c>
      <c r="T270" s="20" t="n">
        <v>16</v>
      </c>
      <c r="U270" s="20" t="n">
        <v>0</v>
      </c>
      <c r="V270" s="20" t="n">
        <v>1465</v>
      </c>
      <c r="W270" s="20" t="n">
        <v>0</v>
      </c>
      <c r="X270" s="20">
        <f>SUM(C271:R271)-S271</f>
        <v/>
      </c>
    </row>
    <row r="271">
      <c r="A271" s="18" t="n">
        <v>266</v>
      </c>
      <c r="B271" s="27" t="inlineStr">
        <is>
          <t>Tananathanr</t>
        </is>
      </c>
      <c r="C271" s="20" t="n">
        <v>259</v>
      </c>
      <c r="D271" s="20" t="n">
        <v>24</v>
      </c>
      <c r="E271" s="20" t="n">
        <v>8</v>
      </c>
      <c r="F271" s="20" t="n">
        <v>500</v>
      </c>
      <c r="G271" s="20" t="n">
        <v>3</v>
      </c>
      <c r="H271" s="20" t="n">
        <v>2</v>
      </c>
      <c r="I271" s="20" t="n">
        <v>4</v>
      </c>
      <c r="J271" s="20" t="n">
        <v>2</v>
      </c>
      <c r="K271" s="20" t="n">
        <v>4</v>
      </c>
      <c r="L271" s="20" t="n">
        <v>18</v>
      </c>
      <c r="M271" s="20" t="n">
        <v>4</v>
      </c>
      <c r="N271" s="20" t="n">
        <v>3</v>
      </c>
      <c r="O271" s="20" t="n">
        <v>5</v>
      </c>
      <c r="P271" s="20" t="n">
        <v>0</v>
      </c>
      <c r="Q271" s="20" t="n">
        <v>2</v>
      </c>
      <c r="R271" s="20" t="n">
        <v>836</v>
      </c>
      <c r="S271" s="20" t="n">
        <v>1674</v>
      </c>
      <c r="T271" s="20" t="n">
        <v>14</v>
      </c>
      <c r="U271" s="20" t="n">
        <v>0</v>
      </c>
      <c r="V271" s="20" t="n">
        <v>1688</v>
      </c>
      <c r="W271" s="20" t="n">
        <v>0</v>
      </c>
      <c r="X271" s="20">
        <f>SUM(C272:R272)-S272</f>
        <v/>
      </c>
    </row>
    <row r="272">
      <c r="A272" s="18" t="n">
        <v>267</v>
      </c>
      <c r="B272" s="27" t="inlineStr">
        <is>
          <t>Ikathutanaduma</t>
        </is>
      </c>
      <c r="C272" s="20" t="n">
        <v>108</v>
      </c>
      <c r="D272" s="20" t="n">
        <v>45</v>
      </c>
      <c r="E272" s="20" t="n">
        <v>2</v>
      </c>
      <c r="F272" s="20" t="n">
        <v>418</v>
      </c>
      <c r="G272" s="20" t="n">
        <v>1</v>
      </c>
      <c r="H272" s="20" t="n">
        <v>22</v>
      </c>
      <c r="I272" s="20" t="n">
        <v>4</v>
      </c>
      <c r="J272" s="20" t="n">
        <v>2</v>
      </c>
      <c r="K272" s="20" t="n">
        <v>2</v>
      </c>
      <c r="L272" s="20" t="n">
        <v>414</v>
      </c>
      <c r="M272" s="20" t="n">
        <v>14</v>
      </c>
      <c r="N272" s="20" t="n">
        <v>3</v>
      </c>
      <c r="O272" s="20" t="n">
        <v>4</v>
      </c>
      <c r="P272" s="20" t="n">
        <v>0</v>
      </c>
      <c r="Q272" s="20" t="n">
        <v>2</v>
      </c>
      <c r="R272" s="20" t="n">
        <v>595</v>
      </c>
      <c r="S272" s="20" t="n">
        <v>1636</v>
      </c>
      <c r="T272" s="20" t="n">
        <v>5</v>
      </c>
      <c r="U272" s="20" t="n">
        <v>0</v>
      </c>
      <c r="V272" s="20" t="n">
        <v>1641</v>
      </c>
      <c r="W272" s="20" t="n">
        <v>0</v>
      </c>
      <c r="X272" s="20">
        <f>SUM(C273:R273)-S273</f>
        <v/>
      </c>
    </row>
    <row r="273">
      <c r="A273" s="18" t="n">
        <v>268</v>
      </c>
      <c r="B273" s="27" t="inlineStr">
        <is>
          <t>IKathulanaduma</t>
        </is>
      </c>
      <c r="C273" s="20" t="n">
        <v>122</v>
      </c>
      <c r="D273" s="20" t="n">
        <v>2</v>
      </c>
      <c r="E273" s="20" t="n">
        <v>1</v>
      </c>
      <c r="F273" s="20" t="n">
        <v>306</v>
      </c>
      <c r="G273" s="20" t="n">
        <v>3</v>
      </c>
      <c r="H273" s="20" t="n">
        <v>5</v>
      </c>
      <c r="I273" s="20" t="n">
        <v>3</v>
      </c>
      <c r="J273" s="20" t="n">
        <v>4</v>
      </c>
      <c r="K273" s="20" t="n">
        <v>0</v>
      </c>
      <c r="L273" s="20" t="n">
        <v>10</v>
      </c>
      <c r="M273" s="20" t="n">
        <v>5</v>
      </c>
      <c r="N273" s="20" t="n">
        <v>4</v>
      </c>
      <c r="O273" s="20" t="n">
        <v>4</v>
      </c>
      <c r="P273" s="20" t="n">
        <v>141</v>
      </c>
      <c r="Q273" s="20" t="n">
        <v>4</v>
      </c>
      <c r="R273" s="20" t="n">
        <v>465</v>
      </c>
      <c r="S273" s="20" t="n">
        <v>1079</v>
      </c>
      <c r="T273" s="20" t="n">
        <v>10</v>
      </c>
      <c r="U273" s="20" t="n">
        <v>475</v>
      </c>
      <c r="V273" s="20" t="n">
        <v>1564</v>
      </c>
      <c r="W273" s="20" t="n">
        <v>0</v>
      </c>
      <c r="X273" s="20">
        <f>SUM(C274:R274)-S274</f>
        <v/>
      </c>
    </row>
    <row r="274">
      <c r="A274" s="18" t="n">
        <v>269</v>
      </c>
      <c r="B274" s="27" t="inlineStr">
        <is>
          <t>Veeranaravananur</t>
        </is>
      </c>
      <c r="C274" s="20" t="n">
        <v>220</v>
      </c>
      <c r="D274" s="20" t="n">
        <v>0</v>
      </c>
      <c r="E274" s="20" t="n">
        <v>5</v>
      </c>
      <c r="F274" s="20" t="n">
        <v>497</v>
      </c>
      <c r="G274" s="20" t="n">
        <v>4</v>
      </c>
      <c r="H274" s="20" t="n">
        <v>4</v>
      </c>
      <c r="I274" s="20" t="n">
        <v>4</v>
      </c>
      <c r="J274" s="20" t="n">
        <v>0</v>
      </c>
      <c r="K274" s="20" t="n">
        <v>14</v>
      </c>
      <c r="L274" s="20" t="n">
        <v>16</v>
      </c>
      <c r="M274" s="20" t="n">
        <v>14</v>
      </c>
      <c r="N274" s="20" t="n">
        <v>0</v>
      </c>
      <c r="O274" s="20" t="n">
        <v>5</v>
      </c>
      <c r="P274" s="20" t="n">
        <v>1</v>
      </c>
      <c r="Q274" s="20" t="n">
        <v>2</v>
      </c>
      <c r="R274" s="20" t="n">
        <v>784</v>
      </c>
      <c r="S274" s="20" t="n">
        <v>1570</v>
      </c>
      <c r="T274" s="20" t="n">
        <v>13</v>
      </c>
      <c r="U274" s="20" t="n">
        <v>0</v>
      </c>
      <c r="V274" s="20" t="n">
        <v>1583</v>
      </c>
      <c r="W274" s="20" t="n">
        <v>0</v>
      </c>
      <c r="X274" s="20">
        <f>SUM(C275:R275)-S275</f>
        <v/>
      </c>
    </row>
    <row r="275">
      <c r="A275" s="18" t="n">
        <v>270</v>
      </c>
      <c r="B275" s="27" t="inlineStr">
        <is>
          <t>INANNFPAI II</t>
        </is>
      </c>
      <c r="C275" s="20" t="n">
        <v>53</v>
      </c>
      <c r="D275" s="20" t="n">
        <v>4</v>
      </c>
      <c r="E275" s="20" t="n">
        <v>5</v>
      </c>
      <c r="F275" s="20" t="n">
        <v>398</v>
      </c>
      <c r="G275" s="20" t="n">
        <v>4</v>
      </c>
      <c r="H275" s="20" t="n">
        <v>1</v>
      </c>
      <c r="I275" s="20" t="n">
        <v>10</v>
      </c>
      <c r="J275" s="20" t="n">
        <v>4</v>
      </c>
      <c r="K275" s="20" t="n">
        <v>14</v>
      </c>
      <c r="L275" s="20" t="n">
        <v>13</v>
      </c>
      <c r="M275" s="20" t="n">
        <v>4</v>
      </c>
      <c r="N275" s="20" t="n">
        <v>14</v>
      </c>
      <c r="O275" s="20" t="n">
        <v>2</v>
      </c>
      <c r="P275" s="20" t="n">
        <v>0</v>
      </c>
      <c r="Q275" s="20" t="n">
        <v>0</v>
      </c>
      <c r="R275" s="20" t="n">
        <v>494</v>
      </c>
      <c r="S275" s="20" t="n">
        <v>1020</v>
      </c>
      <c r="T275" s="20" t="n">
        <v>13</v>
      </c>
      <c r="U275" s="20" t="n">
        <v>0</v>
      </c>
      <c r="V275" s="20" t="n">
        <v>1033</v>
      </c>
      <c r="W275" s="20" t="n">
        <v>0</v>
      </c>
      <c r="X275" s="20">
        <f>SUM(C276:R276)-S276</f>
        <v/>
      </c>
    </row>
    <row r="276">
      <c r="A276" s="18" t="n">
        <v>271</v>
      </c>
      <c r="B276" s="27" t="inlineStr">
        <is>
          <t>INANNFPAI II</t>
        </is>
      </c>
      <c r="C276" s="20" t="n">
        <v>70</v>
      </c>
      <c r="D276" s="20" t="n">
        <v>8</v>
      </c>
      <c r="E276" s="20" t="n">
        <v>7</v>
      </c>
      <c r="F276" s="20" t="n">
        <v>270</v>
      </c>
      <c r="G276" s="20" t="n">
        <v>3</v>
      </c>
      <c r="H276" s="20" t="n">
        <v>0</v>
      </c>
      <c r="I276" s="20" t="n">
        <v>8</v>
      </c>
      <c r="J276" s="20" t="n">
        <v>0</v>
      </c>
      <c r="K276" s="20" t="n">
        <v>0</v>
      </c>
      <c r="L276" s="20" t="n">
        <v>19</v>
      </c>
      <c r="M276" s="20" t="n">
        <v>0</v>
      </c>
      <c r="N276" s="20" t="n">
        <v>0</v>
      </c>
      <c r="O276" s="20" t="n">
        <v>0</v>
      </c>
      <c r="P276" s="20" t="n">
        <v>4</v>
      </c>
      <c r="Q276" s="20" t="n">
        <v>5</v>
      </c>
      <c r="R276" s="20" t="n">
        <v>391</v>
      </c>
      <c r="S276" s="20" t="n">
        <v>785</v>
      </c>
      <c r="T276" s="20" t="n">
        <v>12</v>
      </c>
      <c r="U276" s="20" t="n">
        <v>403</v>
      </c>
      <c r="V276" s="20" t="n">
        <v>1200</v>
      </c>
      <c r="W276" s="20" t="n">
        <v>0</v>
      </c>
      <c r="X276" s="20">
        <f>SUM(C277:R277)-S277</f>
        <v/>
      </c>
    </row>
    <row r="277">
      <c r="A277" s="18" t="n">
        <v>272</v>
      </c>
      <c r="B277" s="27" t="inlineStr">
        <is>
          <t>INANDFPAILI</t>
        </is>
      </c>
      <c r="C277" s="20" t="n">
        <v>161</v>
      </c>
      <c r="D277" s="20" t="n">
        <v>2</v>
      </c>
      <c r="E277" s="20" t="n">
        <v>3</v>
      </c>
      <c r="F277" s="20" t="n">
        <v>304</v>
      </c>
      <c r="G277" s="20" t="n">
        <v>1</v>
      </c>
      <c r="H277" s="20" t="n">
        <v>1</v>
      </c>
      <c r="I277" s="20" t="n">
        <v>8</v>
      </c>
      <c r="J277" s="20" t="n">
        <v>2</v>
      </c>
      <c r="K277" s="20" t="n">
        <v>0</v>
      </c>
      <c r="L277" s="20" t="n">
        <v>7</v>
      </c>
      <c r="M277" s="20" t="n">
        <v>2</v>
      </c>
      <c r="N277" s="20" t="n">
        <v>1</v>
      </c>
      <c r="O277" s="20" t="n">
        <v>0</v>
      </c>
      <c r="P277" s="20" t="n">
        <v>2</v>
      </c>
      <c r="Q277" s="20" t="n">
        <v>4</v>
      </c>
      <c r="R277" s="20" t="n">
        <v>498</v>
      </c>
      <c r="S277" s="20" t="n">
        <v>996</v>
      </c>
      <c r="T277" s="20" t="n">
        <v>12</v>
      </c>
      <c r="U277" s="20" t="n">
        <v>0</v>
      </c>
      <c r="V277" s="20" t="n">
        <v>1008</v>
      </c>
      <c r="W277" s="20" t="n">
        <v>0</v>
      </c>
      <c r="X277" s="20">
        <f>SUM(C278:R278)-S278</f>
        <v/>
      </c>
    </row>
    <row r="278">
      <c r="A278" s="18" t="n">
        <v>273</v>
      </c>
      <c r="B278" s="27" t="inlineStr">
        <is>
          <t>IMANDFPALLI</t>
        </is>
      </c>
      <c r="C278" s="20" t="n">
        <v>200</v>
      </c>
      <c r="D278" s="20" t="n">
        <v>7</v>
      </c>
      <c r="E278" s="20" t="n">
        <v>44</v>
      </c>
      <c r="F278" s="20" t="n">
        <v>274</v>
      </c>
      <c r="G278" s="20" t="n">
        <v>3</v>
      </c>
      <c r="H278" s="20" t="n">
        <v>4</v>
      </c>
      <c r="I278" s="20" t="n">
        <v>0</v>
      </c>
      <c r="J278" s="20" t="n">
        <v>14</v>
      </c>
      <c r="K278" s="20" t="n">
        <v>3</v>
      </c>
      <c r="L278" s="20" t="n">
        <v>19</v>
      </c>
      <c r="M278" s="20" t="n">
        <v>3</v>
      </c>
      <c r="N278" s="20" t="n">
        <v>4</v>
      </c>
      <c r="O278" s="20" t="n">
        <v>6</v>
      </c>
      <c r="P278" s="20" t="n">
        <v>5</v>
      </c>
      <c r="Q278" s="20" t="n">
        <v>2</v>
      </c>
      <c r="R278" s="20" t="n">
        <v>547</v>
      </c>
      <c r="S278" s="20" t="n">
        <v>1135</v>
      </c>
      <c r="T278" s="20" t="n">
        <v>413</v>
      </c>
      <c r="U278" s="20" t="n">
        <v>0</v>
      </c>
      <c r="V278" s="20" t="n">
        <v>1548</v>
      </c>
      <c r="W278" s="20" t="n">
        <v>0</v>
      </c>
      <c r="X278" s="20">
        <f>SUM(C279:R279)-S279</f>
        <v/>
      </c>
    </row>
    <row r="279">
      <c r="A279" s="18" t="n">
        <v>274</v>
      </c>
      <c r="B279" s="27" t="inlineStr">
        <is>
          <t>Thimmaour</t>
        </is>
      </c>
      <c r="C279" s="20" t="n">
        <v>75</v>
      </c>
      <c r="D279" s="20" t="n">
        <v>6</v>
      </c>
      <c r="E279" s="20" t="n">
        <v>3</v>
      </c>
      <c r="F279" s="20" t="n">
        <v>336</v>
      </c>
      <c r="G279" s="20" t="n">
        <v>0</v>
      </c>
      <c r="H279" s="20" t="n">
        <v>3</v>
      </c>
      <c r="I279" s="20" t="n">
        <v>5</v>
      </c>
      <c r="J279" s="20" t="n">
        <v>14</v>
      </c>
      <c r="K279" s="20" t="n">
        <v>0</v>
      </c>
      <c r="L279" s="20" t="n">
        <v>1</v>
      </c>
      <c r="M279" s="20" t="n">
        <v>0</v>
      </c>
      <c r="N279" s="20" t="n">
        <v>2</v>
      </c>
      <c r="O279" s="20" t="n">
        <v>3</v>
      </c>
      <c r="P279" s="20" t="n">
        <v>0</v>
      </c>
      <c r="Q279" s="20" t="n">
        <v>1</v>
      </c>
      <c r="R279" s="20" t="n">
        <v>446</v>
      </c>
      <c r="S279" s="20" t="n">
        <v>895</v>
      </c>
      <c r="T279" s="20" t="n">
        <v>20</v>
      </c>
      <c r="U279" s="20" t="n">
        <v>466</v>
      </c>
      <c r="V279" s="20" t="n">
        <v>1381</v>
      </c>
      <c r="W279" s="20" t="n">
        <v>0</v>
      </c>
      <c r="X279" s="20">
        <f>SUM(C280:R280)-S280</f>
        <v/>
      </c>
    </row>
    <row r="280">
      <c r="A280" s="18" t="n">
        <v>275</v>
      </c>
      <c r="B280" s="27" t="inlineStr">
        <is>
          <t>Thimmaour</t>
        </is>
      </c>
      <c r="C280" s="20" t="n">
        <v>268</v>
      </c>
      <c r="D280" s="20" t="n">
        <v>8</v>
      </c>
      <c r="E280" s="20" t="n">
        <v>5</v>
      </c>
      <c r="F280" s="20" t="n">
        <v>424</v>
      </c>
      <c r="G280" s="20" t="n">
        <v>5</v>
      </c>
      <c r="H280" s="20" t="n">
        <v>0</v>
      </c>
      <c r="I280" s="20" t="n">
        <v>8</v>
      </c>
      <c r="J280" s="20" t="n">
        <v>141</v>
      </c>
      <c r="K280" s="20" t="n">
        <v>2</v>
      </c>
      <c r="L280" s="20" t="n">
        <v>15</v>
      </c>
      <c r="M280" s="20" t="n">
        <v>1</v>
      </c>
      <c r="N280" s="20" t="n">
        <v>8</v>
      </c>
      <c r="O280" s="20" t="n">
        <v>5</v>
      </c>
      <c r="P280" s="20" t="n">
        <v>4</v>
      </c>
      <c r="Q280" s="20" t="n">
        <v>41</v>
      </c>
      <c r="R280" s="20" t="n">
        <v>758</v>
      </c>
      <c r="S280" s="20" t="n">
        <v>1693</v>
      </c>
      <c r="T280" s="20" t="n">
        <v>414</v>
      </c>
      <c r="U280" s="20" t="n">
        <v>0</v>
      </c>
      <c r="V280" s="20" t="n">
        <v>2107</v>
      </c>
      <c r="W280" s="20" t="n">
        <v>0</v>
      </c>
      <c r="X280" s="20">
        <f>SUM(C281:R281)-S281</f>
        <v/>
      </c>
    </row>
    <row r="281">
      <c r="A281" s="18" t="n">
        <v>276</v>
      </c>
      <c r="B281" s="27" t="inlineStr">
        <is>
          <t>RAQPFT</t>
        </is>
      </c>
      <c r="C281" s="20" t="n">
        <v>381</v>
      </c>
      <c r="D281" s="20" t="n">
        <v>8</v>
      </c>
      <c r="E281" s="20" t="n">
        <v>10</v>
      </c>
      <c r="F281" s="20" t="n">
        <v>417</v>
      </c>
      <c r="G281" s="20" t="n">
        <v>1</v>
      </c>
      <c r="H281" s="20" t="n">
        <v>7</v>
      </c>
      <c r="I281" s="20" t="n">
        <v>5</v>
      </c>
      <c r="J281" s="20" t="n">
        <v>14</v>
      </c>
      <c r="K281" s="20" t="n">
        <v>4</v>
      </c>
      <c r="L281" s="20" t="n">
        <v>14</v>
      </c>
      <c r="M281" s="20" t="n">
        <v>2</v>
      </c>
      <c r="N281" s="20" t="n">
        <v>4</v>
      </c>
      <c r="O281" s="20" t="n">
        <v>7</v>
      </c>
      <c r="P281" s="20" t="n">
        <v>2</v>
      </c>
      <c r="Q281" s="20" t="n">
        <v>8</v>
      </c>
      <c r="R281" s="20" t="n">
        <v>868</v>
      </c>
      <c r="S281" s="20" t="n">
        <v>1752</v>
      </c>
      <c r="T281" s="20" t="n">
        <v>15</v>
      </c>
      <c r="U281" s="20" t="n">
        <v>0</v>
      </c>
      <c r="V281" s="20" t="n">
        <v>1767</v>
      </c>
      <c r="W281" s="20" t="n">
        <v>0</v>
      </c>
      <c r="X281" s="20">
        <f>SUM(C282:R282)-S282</f>
        <v/>
      </c>
    </row>
    <row r="282">
      <c r="A282" s="18" t="n">
        <v>277</v>
      </c>
      <c r="B282" s="27" t="inlineStr">
        <is>
          <t>RAQPFT</t>
        </is>
      </c>
      <c r="C282" s="20" t="n">
        <v>233</v>
      </c>
      <c r="D282" s="20" t="n">
        <v>0</v>
      </c>
      <c r="E282" s="20" t="n">
        <v>0</v>
      </c>
      <c r="F282" s="20" t="n">
        <v>0</v>
      </c>
      <c r="G282" s="20" t="n">
        <v>6</v>
      </c>
      <c r="H282" s="20" t="n">
        <v>4</v>
      </c>
      <c r="I282" s="20" t="n">
        <v>43</v>
      </c>
      <c r="J282" s="20" t="n">
        <v>4</v>
      </c>
      <c r="K282" s="20" t="n">
        <v>14</v>
      </c>
      <c r="L282" s="20" t="n">
        <v>22</v>
      </c>
      <c r="M282" s="20" t="n">
        <v>3</v>
      </c>
      <c r="N282" s="20" t="n">
        <v>2</v>
      </c>
      <c r="O282" s="20" t="n">
        <v>3</v>
      </c>
      <c r="P282" s="20" t="n">
        <v>3</v>
      </c>
      <c r="Q282" s="20" t="n">
        <v>3</v>
      </c>
      <c r="R282" s="20" t="n">
        <v>798</v>
      </c>
      <c r="S282" s="20" t="n">
        <v>1138</v>
      </c>
      <c r="T282" s="20" t="n">
        <v>13</v>
      </c>
      <c r="U282" s="20" t="n">
        <v>0</v>
      </c>
      <c r="V282" s="20" t="n">
        <v>1151</v>
      </c>
      <c r="W282" s="20" t="n">
        <v>0</v>
      </c>
      <c r="X282" s="20">
        <f>SUM(C283:R283)-S283</f>
        <v/>
      </c>
    </row>
    <row r="283">
      <c r="A283" s="18" t="n">
        <v>278</v>
      </c>
      <c r="B283" s="27" t="inlineStr">
        <is>
          <t>ISURARAM</t>
        </is>
      </c>
      <c r="C283" s="20" t="n">
        <v>0</v>
      </c>
      <c r="D283" s="20" t="n">
        <v>0</v>
      </c>
      <c r="E283" s="20" t="n">
        <v>4</v>
      </c>
      <c r="F283" s="20" t="n">
        <v>45</v>
      </c>
      <c r="G283" s="20" t="n">
        <v>4</v>
      </c>
      <c r="H283" s="20" t="n">
        <v>2</v>
      </c>
      <c r="I283" s="20" t="n">
        <v>0</v>
      </c>
      <c r="J283" s="20" t="n">
        <v>4</v>
      </c>
      <c r="K283" s="20" t="n">
        <v>2</v>
      </c>
      <c r="L283" s="20" t="n">
        <v>47</v>
      </c>
      <c r="M283" s="20" t="n">
        <v>0</v>
      </c>
      <c r="N283" s="20" t="n">
        <v>2</v>
      </c>
      <c r="O283" s="20" t="n">
        <v>0</v>
      </c>
      <c r="P283" s="20" t="n">
        <v>4</v>
      </c>
      <c r="Q283" s="20" t="n">
        <v>4</v>
      </c>
      <c r="R283" s="20" t="n">
        <v>575</v>
      </c>
      <c r="S283" s="20" t="n">
        <v>693</v>
      </c>
      <c r="T283" s="20" t="n">
        <v>415</v>
      </c>
      <c r="U283" s="20" t="n">
        <v>0</v>
      </c>
      <c r="V283" s="20" t="n">
        <v>1108</v>
      </c>
      <c r="W283" s="20" t="n">
        <v>0</v>
      </c>
      <c r="X283" s="20">
        <f>SUM(C284:R284)-S284</f>
        <v/>
      </c>
    </row>
    <row r="284">
      <c r="A284" s="18" t="n">
        <v>279</v>
      </c>
      <c r="B284" s="27" t="inlineStr">
        <is>
          <t>Zilla Parishad High School Damera</t>
        </is>
      </c>
      <c r="C284" s="20" t="n">
        <v>2</v>
      </c>
      <c r="D284" s="20" t="n">
        <v>3</v>
      </c>
      <c r="E284" s="20" t="n">
        <v>4</v>
      </c>
      <c r="F284" s="20" t="n">
        <v>5</v>
      </c>
      <c r="G284" s="20" t="n">
        <v>16</v>
      </c>
      <c r="H284" s="20" t="n">
        <v>0</v>
      </c>
      <c r="I284" s="20" t="n">
        <v>8</v>
      </c>
      <c r="J284" s="20" t="n">
        <v>9</v>
      </c>
      <c r="K284" s="20" t="n">
        <v>10</v>
      </c>
      <c r="L284" s="20" t="n">
        <v>1</v>
      </c>
      <c r="M284" s="20" t="n">
        <v>12</v>
      </c>
      <c r="N284" s="20" t="n">
        <v>13</v>
      </c>
      <c r="O284" s="20" t="n">
        <v>14</v>
      </c>
      <c r="P284" s="20" t="n">
        <v>15</v>
      </c>
      <c r="Q284" s="20" t="n">
        <v>16</v>
      </c>
      <c r="R284" s="20" t="n">
        <v>17</v>
      </c>
      <c r="S284" s="20" t="n">
        <v>145</v>
      </c>
      <c r="T284" s="20" t="n">
        <v>3</v>
      </c>
      <c r="U284" s="20" t="n">
        <v>20</v>
      </c>
      <c r="V284" s="20" t="n">
        <v>168</v>
      </c>
      <c r="W284" s="20" t="n">
        <v>0</v>
      </c>
      <c r="X284" s="20">
        <f>SUM(C285:R285)-S285</f>
        <v/>
      </c>
    </row>
    <row r="285">
      <c r="A285" s="18" t="n">
        <v>280</v>
      </c>
      <c r="B285" s="27" t="inlineStr">
        <is>
          <t>SURARAM</t>
        </is>
      </c>
      <c r="C285" s="20" t="n">
        <v>71</v>
      </c>
      <c r="D285" s="20" t="n">
        <v>3</v>
      </c>
      <c r="E285" s="20" t="n">
        <v>0</v>
      </c>
      <c r="F285" s="20" t="n">
        <v>390</v>
      </c>
      <c r="G285" s="20" t="n">
        <v>3</v>
      </c>
      <c r="H285" s="20" t="n">
        <v>4</v>
      </c>
      <c r="I285" s="20" t="n">
        <v>0</v>
      </c>
      <c r="J285" s="20" t="n">
        <v>0</v>
      </c>
      <c r="K285" s="20" t="n">
        <v>4</v>
      </c>
      <c r="L285" s="20" t="n">
        <v>25</v>
      </c>
      <c r="M285" s="20" t="n">
        <v>0</v>
      </c>
      <c r="N285" s="20" t="n">
        <v>3</v>
      </c>
      <c r="O285" s="20" t="n">
        <v>0</v>
      </c>
      <c r="P285" s="20" t="n">
        <v>4</v>
      </c>
      <c r="Q285" s="20" t="n">
        <v>2</v>
      </c>
      <c r="R285" s="20" t="n">
        <v>517</v>
      </c>
      <c r="S285" s="20" t="n">
        <v>1026</v>
      </c>
      <c r="T285" s="20" t="n">
        <v>16</v>
      </c>
      <c r="U285" s="20" t="n">
        <v>0</v>
      </c>
      <c r="V285" s="20" t="n">
        <v>1042</v>
      </c>
      <c r="W285" s="20" t="n">
        <v>0</v>
      </c>
      <c r="X285" s="20">
        <f>SUM(C286:R286)-S286</f>
        <v/>
      </c>
    </row>
    <row r="286">
      <c r="A286" s="18" t="n">
        <v>281</v>
      </c>
      <c r="B286" s="27" t="inlineStr">
        <is>
          <t>SURARAM</t>
        </is>
      </c>
      <c r="C286" s="20" t="n">
        <v>115</v>
      </c>
      <c r="D286" s="20" t="n">
        <v>4</v>
      </c>
      <c r="E286" s="20" t="n">
        <v>0</v>
      </c>
      <c r="F286" s="20" t="n">
        <v>342</v>
      </c>
      <c r="G286" s="20" t="n">
        <v>14</v>
      </c>
      <c r="H286" s="20" t="n">
        <v>4</v>
      </c>
      <c r="I286" s="20" t="n">
        <v>3</v>
      </c>
      <c r="J286" s="20" t="n">
        <v>0</v>
      </c>
      <c r="K286" s="20" t="n">
        <v>0</v>
      </c>
      <c r="L286" s="20" t="n">
        <v>47</v>
      </c>
      <c r="M286" s="20" t="n">
        <v>0</v>
      </c>
      <c r="N286" s="20" t="n">
        <v>3</v>
      </c>
      <c r="O286" s="20" t="n">
        <v>4</v>
      </c>
      <c r="P286" s="20" t="n">
        <v>4</v>
      </c>
      <c r="Q286" s="20" t="n">
        <v>3</v>
      </c>
      <c r="R286" s="20" t="n">
        <v>499</v>
      </c>
      <c r="S286" s="20" t="n">
        <v>1042</v>
      </c>
      <c r="T286" s="20" t="n">
        <v>42</v>
      </c>
      <c r="U286" s="20" t="n">
        <v>0</v>
      </c>
      <c r="V286" s="20" t="n">
        <v>1084</v>
      </c>
      <c r="W286" s="20" t="n">
        <v>0</v>
      </c>
      <c r="X286" s="20">
        <f>SUM(C287:R287)-S287</f>
        <v/>
      </c>
    </row>
    <row r="287">
      <c r="A287" s="18" t="n">
        <v>282</v>
      </c>
      <c r="B287" s="27" t="inlineStr">
        <is>
          <t>SURARAM</t>
        </is>
      </c>
      <c r="C287" s="20" t="n">
        <v>94</v>
      </c>
      <c r="D287" s="20" t="n">
        <v>13</v>
      </c>
      <c r="E287" s="20" t="n">
        <v>0</v>
      </c>
      <c r="F287" s="20" t="n">
        <v>300</v>
      </c>
      <c r="G287" s="20" t="n">
        <v>3</v>
      </c>
      <c r="H287" s="20" t="n">
        <v>0</v>
      </c>
      <c r="I287" s="20" t="n">
        <v>9</v>
      </c>
      <c r="J287" s="20" t="n">
        <v>0</v>
      </c>
      <c r="K287" s="20" t="n">
        <v>2</v>
      </c>
      <c r="L287" s="20" t="n">
        <v>12</v>
      </c>
      <c r="M287" s="20" t="n">
        <v>0</v>
      </c>
      <c r="N287" s="20" t="n">
        <v>0</v>
      </c>
      <c r="O287" s="20" t="n">
        <v>0</v>
      </c>
      <c r="P287" s="20" t="n">
        <v>0</v>
      </c>
      <c r="Q287" s="20" t="n">
        <v>0</v>
      </c>
      <c r="R287" s="20" t="n">
        <v>440</v>
      </c>
      <c r="S287" s="20" t="n">
        <v>873</v>
      </c>
      <c r="T287" s="20" t="n">
        <v>1</v>
      </c>
      <c r="U287" s="20" t="n">
        <v>441</v>
      </c>
      <c r="V287" s="20" t="n">
        <v>1315</v>
      </c>
      <c r="W287" s="20" t="n">
        <v>0</v>
      </c>
      <c r="X287" s="20">
        <f>SUM(C288:R288)-S288</f>
        <v/>
      </c>
    </row>
    <row r="288">
      <c r="A288" s="18" t="n">
        <v>283</v>
      </c>
      <c r="B288" s="27" t="inlineStr">
        <is>
          <t>VAIBAPUR</t>
        </is>
      </c>
      <c r="C288" s="20" t="n">
        <v>80</v>
      </c>
      <c r="D288" s="20" t="n">
        <v>0</v>
      </c>
      <c r="E288" s="20" t="n">
        <v>4</v>
      </c>
      <c r="F288" s="20" t="n">
        <v>421</v>
      </c>
      <c r="G288" s="20" t="n">
        <v>3</v>
      </c>
      <c r="H288" s="20" t="n">
        <v>3</v>
      </c>
      <c r="I288" s="20" t="n">
        <v>4</v>
      </c>
      <c r="J288" s="20" t="n">
        <v>1</v>
      </c>
      <c r="K288" s="20" t="n">
        <v>0</v>
      </c>
      <c r="L288" s="20" t="n">
        <v>5</v>
      </c>
      <c r="M288" s="20" t="n">
        <v>0</v>
      </c>
      <c r="N288" s="20" t="n">
        <v>0</v>
      </c>
      <c r="O288" s="20" t="n">
        <v>0</v>
      </c>
      <c r="P288" s="20" t="n">
        <v>1</v>
      </c>
      <c r="Q288" s="20" t="n">
        <v>0</v>
      </c>
      <c r="R288" s="20" t="n">
        <v>531</v>
      </c>
      <c r="S288" s="20" t="n">
        <v>1053</v>
      </c>
      <c r="T288" s="20" t="n">
        <v>4</v>
      </c>
      <c r="U288" s="20" t="n">
        <v>0</v>
      </c>
      <c r="V288" s="20" t="n">
        <v>1057</v>
      </c>
      <c r="W288" s="20" t="n">
        <v>0</v>
      </c>
      <c r="X288" s="20">
        <f>SUM(C289:R289)-S289</f>
        <v/>
      </c>
    </row>
    <row r="289">
      <c r="A289" s="18" t="n">
        <v>284</v>
      </c>
      <c r="B289" s="27" t="inlineStr">
        <is>
          <t>VAIBAPUR</t>
        </is>
      </c>
      <c r="C289" s="20" t="n">
        <v>268</v>
      </c>
      <c r="D289" s="20" t="n">
        <v>11</v>
      </c>
      <c r="E289" s="20" t="n">
        <v>8</v>
      </c>
      <c r="F289" s="20" t="n">
        <v>288</v>
      </c>
      <c r="G289" s="20" t="n">
        <v>6</v>
      </c>
      <c r="H289" s="20" t="n">
        <v>4</v>
      </c>
      <c r="I289" s="20" t="n">
        <v>4</v>
      </c>
      <c r="J289" s="20" t="n">
        <v>2</v>
      </c>
      <c r="K289" s="20" t="n">
        <v>1</v>
      </c>
      <c r="L289" s="20" t="n">
        <v>4</v>
      </c>
      <c r="M289" s="20" t="n">
        <v>1</v>
      </c>
      <c r="N289" s="20" t="n">
        <v>2</v>
      </c>
      <c r="O289" s="20" t="n">
        <v>1</v>
      </c>
      <c r="P289" s="20" t="n">
        <v>0</v>
      </c>
      <c r="Q289" s="20" t="n">
        <v>4</v>
      </c>
      <c r="R289" s="20" t="n">
        <v>604</v>
      </c>
      <c r="S289" s="20" t="n">
        <v>1208</v>
      </c>
      <c r="T289" s="20" t="n">
        <v>14</v>
      </c>
      <c r="U289" s="20" t="n">
        <v>0</v>
      </c>
      <c r="V289" s="20" t="n">
        <v>1222</v>
      </c>
      <c r="W289" s="20" t="n">
        <v>0</v>
      </c>
      <c r="X289" s="20">
        <f>SUM(C290:R290)-S290</f>
        <v/>
      </c>
    </row>
    <row r="290">
      <c r="A290" s="18" t="n">
        <v>285</v>
      </c>
      <c r="B290" s="27" t="inlineStr">
        <is>
          <t>Gopalpur</t>
        </is>
      </c>
      <c r="C290" s="20" t="n">
        <v>171</v>
      </c>
      <c r="D290" s="20" t="n">
        <v>9</v>
      </c>
      <c r="E290" s="20" t="n">
        <v>9</v>
      </c>
      <c r="F290" s="20" t="n">
        <v>487</v>
      </c>
      <c r="G290" s="20" t="n">
        <v>2</v>
      </c>
      <c r="H290" s="20" t="n">
        <v>2</v>
      </c>
      <c r="I290" s="20" t="n">
        <v>8</v>
      </c>
      <c r="J290" s="20" t="n">
        <v>1</v>
      </c>
      <c r="K290" s="20" t="n">
        <v>3</v>
      </c>
      <c r="L290" s="20" t="n">
        <v>18</v>
      </c>
      <c r="M290" s="20" t="n">
        <v>3</v>
      </c>
      <c r="N290" s="20" t="n">
        <v>2</v>
      </c>
      <c r="O290" s="20" t="n">
        <v>0</v>
      </c>
      <c r="P290" s="20" t="n">
        <v>0</v>
      </c>
      <c r="Q290" s="20" t="n">
        <v>0</v>
      </c>
      <c r="R290" s="20" t="n">
        <v>718</v>
      </c>
      <c r="S290" s="20" t="n">
        <v>1433</v>
      </c>
      <c r="T290" s="20" t="n">
        <v>17</v>
      </c>
      <c r="U290" s="20" t="n">
        <v>0</v>
      </c>
      <c r="V290" s="20" t="n">
        <v>1450</v>
      </c>
      <c r="W290" s="20" t="n">
        <v>0</v>
      </c>
      <c r="X290" s="20">
        <f>SUM(C291:R291)-S291</f>
        <v/>
      </c>
    </row>
    <row r="291">
      <c r="A291" s="18" t="n">
        <v>286</v>
      </c>
      <c r="B291" s="27" t="inlineStr">
        <is>
          <t>Gopalpur</t>
        </is>
      </c>
      <c r="C291" s="20" t="n">
        <v>92</v>
      </c>
      <c r="D291" s="20" t="n">
        <v>6</v>
      </c>
      <c r="E291" s="20" t="n">
        <v>3</v>
      </c>
      <c r="F291" s="20" t="n">
        <v>426</v>
      </c>
      <c r="G291" s="20" t="n">
        <v>2</v>
      </c>
      <c r="H291" s="20" t="n">
        <v>0</v>
      </c>
      <c r="I291" s="20" t="n">
        <v>4</v>
      </c>
      <c r="J291" s="20" t="n">
        <v>0</v>
      </c>
      <c r="K291" s="20" t="n">
        <v>0</v>
      </c>
      <c r="L291" s="20" t="n">
        <v>10</v>
      </c>
      <c r="M291" s="20" t="n">
        <v>4</v>
      </c>
      <c r="N291" s="20" t="n">
        <v>0</v>
      </c>
      <c r="O291" s="20" t="n">
        <v>0</v>
      </c>
      <c r="P291" s="20" t="n">
        <v>0</v>
      </c>
      <c r="Q291" s="20" t="n">
        <v>0</v>
      </c>
      <c r="R291" s="20" t="n">
        <v>544</v>
      </c>
      <c r="S291" s="20" t="n">
        <v>1091</v>
      </c>
      <c r="T291" s="20" t="n">
        <v>6</v>
      </c>
      <c r="U291" s="20" t="n">
        <v>0</v>
      </c>
      <c r="V291" s="20" t="n">
        <v>1097</v>
      </c>
      <c r="W291" s="20" t="n">
        <v>0</v>
      </c>
      <c r="X291" s="20">
        <f>SUM(C292:R292)-S292</f>
        <v/>
      </c>
    </row>
    <row r="292">
      <c r="A292" s="18" t="n">
        <v>287</v>
      </c>
      <c r="B292" s="27" t="inlineStr">
        <is>
          <t>Gopalpur</t>
        </is>
      </c>
      <c r="C292" s="20" t="n">
        <v>110</v>
      </c>
      <c r="D292" s="20" t="n">
        <v>1</v>
      </c>
      <c r="E292" s="20" t="n">
        <v>14</v>
      </c>
      <c r="F292" s="20" t="n">
        <v>541</v>
      </c>
      <c r="G292" s="20" t="n">
        <v>2</v>
      </c>
      <c r="H292" s="20" t="n">
        <v>3</v>
      </c>
      <c r="I292" s="20" t="n">
        <v>8</v>
      </c>
      <c r="J292" s="20" t="n">
        <v>3</v>
      </c>
      <c r="K292" s="20" t="n">
        <v>2</v>
      </c>
      <c r="L292" s="20" t="n">
        <v>25</v>
      </c>
      <c r="M292" s="20" t="n">
        <v>2</v>
      </c>
      <c r="N292" s="20" t="n">
        <v>0</v>
      </c>
      <c r="O292" s="20" t="n">
        <v>3</v>
      </c>
      <c r="P292" s="20" t="n">
        <v>1</v>
      </c>
      <c r="Q292" s="20" t="n">
        <v>4</v>
      </c>
      <c r="R292" s="20" t="n">
        <v>729</v>
      </c>
      <c r="S292" s="20" t="n">
        <v>1448</v>
      </c>
      <c r="T292" s="20" t="n">
        <v>19</v>
      </c>
      <c r="U292" s="20" t="n">
        <v>0</v>
      </c>
      <c r="V292" s="20" t="n">
        <v>1467</v>
      </c>
      <c r="W292" s="20" t="n">
        <v>0</v>
      </c>
      <c r="X292" s="20">
        <f>SUM(C293:R293)-S293</f>
        <v/>
      </c>
    </row>
    <row r="293">
      <c r="A293" s="18" t="n">
        <v>288</v>
      </c>
      <c r="B293" s="27" t="inlineStr">
        <is>
          <t>DAMERA</t>
        </is>
      </c>
      <c r="C293" s="20" t="n">
        <v>223</v>
      </c>
      <c r="D293" s="20" t="n">
        <v>10</v>
      </c>
      <c r="E293" s="20" t="n">
        <v>0</v>
      </c>
      <c r="F293" s="20" t="n">
        <v>510</v>
      </c>
      <c r="G293" s="20" t="n">
        <v>3</v>
      </c>
      <c r="H293" s="20" t="n">
        <v>7</v>
      </c>
      <c r="I293" s="20" t="n">
        <v>12</v>
      </c>
      <c r="J293" s="20" t="n">
        <v>2</v>
      </c>
      <c r="K293" s="20" t="n">
        <v>2</v>
      </c>
      <c r="L293" s="20" t="n">
        <v>22</v>
      </c>
      <c r="M293" s="20" t="n">
        <v>2</v>
      </c>
      <c r="N293" s="20" t="n">
        <v>3</v>
      </c>
      <c r="O293" s="20" t="n">
        <v>5</v>
      </c>
      <c r="P293" s="20" t="n">
        <v>3</v>
      </c>
      <c r="Q293" s="20" t="n">
        <v>4</v>
      </c>
      <c r="R293" s="20" t="n">
        <v>815</v>
      </c>
      <c r="S293" s="20" t="n">
        <v>1623</v>
      </c>
      <c r="T293" s="20" t="n">
        <v>16</v>
      </c>
      <c r="U293" s="20" t="n">
        <v>0</v>
      </c>
      <c r="V293" s="20" t="n">
        <v>1639</v>
      </c>
      <c r="W293" s="20" t="n">
        <v>0</v>
      </c>
      <c r="X293" s="20">
        <f>SUM(C294:R294)-S294</f>
        <v/>
      </c>
    </row>
    <row r="294">
      <c r="A294" s="18" t="n">
        <v>289</v>
      </c>
      <c r="B294" s="27" t="inlineStr">
        <is>
          <t>DAMERA</t>
        </is>
      </c>
      <c r="C294" s="20" t="n">
        <v>114</v>
      </c>
      <c r="D294" s="20" t="n">
        <v>11</v>
      </c>
      <c r="E294" s="20" t="n">
        <v>12</v>
      </c>
      <c r="F294" s="20" t="n">
        <v>592</v>
      </c>
      <c r="G294" s="20" t="n">
        <v>5</v>
      </c>
      <c r="H294" s="20" t="n">
        <v>5</v>
      </c>
      <c r="I294" s="20" t="n">
        <v>15</v>
      </c>
      <c r="J294" s="20" t="n">
        <v>2</v>
      </c>
      <c r="K294" s="20" t="n">
        <v>3</v>
      </c>
      <c r="L294" s="20" t="n">
        <v>27</v>
      </c>
      <c r="M294" s="20" t="n">
        <v>3</v>
      </c>
      <c r="N294" s="20" t="n">
        <v>5</v>
      </c>
      <c r="O294" s="20" t="n">
        <v>0</v>
      </c>
      <c r="P294" s="20" t="n">
        <v>2</v>
      </c>
      <c r="Q294" s="20" t="n">
        <v>2</v>
      </c>
      <c r="R294" s="20" t="n">
        <v>798</v>
      </c>
      <c r="S294" s="20" t="n">
        <v>1596</v>
      </c>
      <c r="T294" s="20" t="n">
        <v>20</v>
      </c>
      <c r="U294" s="20" t="n">
        <v>0</v>
      </c>
      <c r="V294" s="20" t="n">
        <v>1616</v>
      </c>
      <c r="W294" s="20" t="n">
        <v>0</v>
      </c>
      <c r="X294" s="20">
        <f>SUM(C295:R295)-S295</f>
        <v/>
      </c>
    </row>
    <row r="295">
      <c r="A295" s="18" t="n">
        <v>290</v>
      </c>
      <c r="B295" s="27" t="inlineStr">
        <is>
          <t>DAMERA</t>
        </is>
      </c>
      <c r="C295" s="20" t="n">
        <v>155</v>
      </c>
      <c r="D295" s="20" t="n">
        <v>11</v>
      </c>
      <c r="E295" s="20" t="n">
        <v>6</v>
      </c>
      <c r="F295" s="20" t="n">
        <v>473</v>
      </c>
      <c r="G295" s="20" t="n">
        <v>0</v>
      </c>
      <c r="H295" s="20" t="n">
        <v>2</v>
      </c>
      <c r="I295" s="20" t="n">
        <v>4</v>
      </c>
      <c r="J295" s="20" t="n">
        <v>6</v>
      </c>
      <c r="K295" s="20" t="n">
        <v>4</v>
      </c>
      <c r="L295" s="20" t="n">
        <v>21</v>
      </c>
      <c r="M295" s="20" t="n">
        <v>6</v>
      </c>
      <c r="N295" s="20" t="n">
        <v>4</v>
      </c>
      <c r="O295" s="20" t="n">
        <v>3</v>
      </c>
      <c r="P295" s="20" t="n">
        <v>0</v>
      </c>
      <c r="Q295" s="20" t="n">
        <v>4</v>
      </c>
      <c r="R295" s="20" t="n">
        <v>706</v>
      </c>
      <c r="S295" s="20" t="n">
        <v>1405</v>
      </c>
      <c r="T295" s="20" t="n">
        <v>14</v>
      </c>
      <c r="U295" s="20" t="n">
        <v>0</v>
      </c>
      <c r="V295" s="20" t="n">
        <v>1419</v>
      </c>
      <c r="W295" s="20" t="n">
        <v>0</v>
      </c>
      <c r="X295" s="20">
        <f>SUM(C296:R296)-S296</f>
        <v/>
      </c>
    </row>
    <row r="296">
      <c r="A296" s="18" t="n">
        <v>291</v>
      </c>
      <c r="B296" s="27" t="inlineStr">
        <is>
          <t>DAMERA</t>
        </is>
      </c>
      <c r="C296" s="20" t="n">
        <v>260</v>
      </c>
      <c r="D296" s="20" t="n">
        <v>1</v>
      </c>
      <c r="E296" s="20" t="n">
        <v>6</v>
      </c>
      <c r="F296" s="20" t="n">
        <v>252</v>
      </c>
      <c r="G296" s="20" t="n">
        <v>3</v>
      </c>
      <c r="H296" s="20" t="n">
        <v>0</v>
      </c>
      <c r="I296" s="20" t="n">
        <v>2</v>
      </c>
      <c r="J296" s="20" t="n">
        <v>41</v>
      </c>
      <c r="K296" s="20" t="n">
        <v>1</v>
      </c>
      <c r="L296" s="20" t="n">
        <v>16</v>
      </c>
      <c r="M296" s="20" t="n">
        <v>1</v>
      </c>
      <c r="N296" s="20" t="n">
        <v>0</v>
      </c>
      <c r="O296" s="20" t="n">
        <v>2</v>
      </c>
      <c r="P296" s="20" t="n">
        <v>2</v>
      </c>
      <c r="Q296" s="20" t="n">
        <v>2</v>
      </c>
      <c r="R296" s="20" t="n">
        <v>560</v>
      </c>
      <c r="S296" s="20" t="n">
        <v>1149</v>
      </c>
      <c r="T296" s="20" t="n">
        <v>4</v>
      </c>
      <c r="U296" s="20" t="n">
        <v>0</v>
      </c>
      <c r="V296" s="20" t="n">
        <v>1153</v>
      </c>
      <c r="W296" s="20" t="n">
        <v>0</v>
      </c>
      <c r="X296" s="20">
        <f>SUM(C297:R297)-S297</f>
        <v/>
      </c>
    </row>
    <row r="297">
      <c r="A297" s="18" t="n">
        <v>292</v>
      </c>
      <c r="B297" s="27" t="inlineStr">
        <is>
          <t>DAMERA</t>
        </is>
      </c>
      <c r="C297" s="20" t="n">
        <v>235</v>
      </c>
      <c r="D297" s="20" t="n">
        <v>7</v>
      </c>
      <c r="E297" s="20" t="n">
        <v>6</v>
      </c>
      <c r="F297" s="20" t="n">
        <v>267</v>
      </c>
      <c r="G297" s="20" t="n">
        <v>3</v>
      </c>
      <c r="H297" s="20" t="n">
        <v>5</v>
      </c>
      <c r="I297" s="20" t="n">
        <v>3</v>
      </c>
      <c r="J297" s="20" t="n">
        <v>1</v>
      </c>
      <c r="K297" s="20" t="n">
        <v>0</v>
      </c>
      <c r="L297" s="20" t="n">
        <v>10</v>
      </c>
      <c r="M297" s="20" t="n">
        <v>1</v>
      </c>
      <c r="N297" s="20" t="n">
        <v>1</v>
      </c>
      <c r="O297" s="20" t="n">
        <v>2</v>
      </c>
      <c r="P297" s="20" t="n">
        <v>1</v>
      </c>
      <c r="Q297" s="20" t="n">
        <v>2</v>
      </c>
      <c r="R297" s="20" t="n">
        <v>544</v>
      </c>
      <c r="S297" s="20" t="n">
        <v>1088</v>
      </c>
      <c r="T297" s="20" t="n">
        <v>9</v>
      </c>
      <c r="U297" s="20" t="n">
        <v>0</v>
      </c>
      <c r="V297" s="20" t="n">
        <v>1097</v>
      </c>
      <c r="W297" s="20" t="n">
        <v>0</v>
      </c>
      <c r="X297" s="20">
        <f>SUM(C298:R298)-S298</f>
        <v/>
      </c>
    </row>
    <row r="298">
      <c r="A298" s="18" t="n">
        <v>293</v>
      </c>
      <c r="B298" s="27" t="inlineStr">
        <is>
          <t>Elkathurthy</t>
        </is>
      </c>
      <c r="C298" s="20" t="n">
        <v>281</v>
      </c>
      <c r="D298" s="20" t="n">
        <v>17</v>
      </c>
      <c r="E298" s="20" t="n">
        <v>9</v>
      </c>
      <c r="F298" s="20" t="n">
        <v>471</v>
      </c>
      <c r="G298" s="20" t="n">
        <v>5</v>
      </c>
      <c r="H298" s="20" t="n">
        <v>2</v>
      </c>
      <c r="I298" s="20" t="n">
        <v>3</v>
      </c>
      <c r="J298" s="20" t="n">
        <v>1</v>
      </c>
      <c r="K298" s="20" t="n">
        <v>2</v>
      </c>
      <c r="L298" s="20" t="n">
        <v>7</v>
      </c>
      <c r="M298" s="20" t="n">
        <v>0</v>
      </c>
      <c r="N298" s="20" t="n">
        <v>0</v>
      </c>
      <c r="O298" s="20" t="n">
        <v>1</v>
      </c>
      <c r="P298" s="20" t="n">
        <v>3</v>
      </c>
      <c r="Q298" s="20" t="n">
        <v>0</v>
      </c>
      <c r="R298" s="20" t="n">
        <v>812</v>
      </c>
      <c r="S298" s="20" t="n">
        <v>1614</v>
      </c>
      <c r="T298" s="20" t="n">
        <v>12</v>
      </c>
      <c r="U298" s="20" t="n">
        <v>0</v>
      </c>
      <c r="V298" s="20" t="n">
        <v>1626</v>
      </c>
      <c r="W298" s="20" t="n">
        <v>0</v>
      </c>
      <c r="X298" s="20">
        <f>SUM(C299:R299)-S299</f>
        <v/>
      </c>
    </row>
    <row r="299">
      <c r="A299" s="18" t="n">
        <v>294</v>
      </c>
      <c r="B299" s="27" t="inlineStr">
        <is>
          <t>Etkathurthy</t>
        </is>
      </c>
      <c r="C299" s="20" t="n">
        <v>165</v>
      </c>
      <c r="D299" s="20" t="n">
        <v>10</v>
      </c>
      <c r="E299" s="20" t="n">
        <v>0</v>
      </c>
      <c r="F299" s="20" t="n">
        <v>545</v>
      </c>
      <c r="G299" s="20" t="n">
        <v>3</v>
      </c>
      <c r="H299" s="20" t="n">
        <v>2</v>
      </c>
      <c r="I299" s="20" t="n">
        <v>3</v>
      </c>
      <c r="J299" s="20" t="n">
        <v>0</v>
      </c>
      <c r="K299" s="20" t="n">
        <v>3</v>
      </c>
      <c r="L299" s="20" t="n">
        <v>9</v>
      </c>
      <c r="M299" s="20" t="n">
        <v>1</v>
      </c>
      <c r="N299" s="20" t="n">
        <v>2</v>
      </c>
      <c r="O299" s="20" t="n">
        <v>0</v>
      </c>
      <c r="P299" s="20" t="n">
        <v>1</v>
      </c>
      <c r="Q299" s="20" t="n">
        <v>5</v>
      </c>
      <c r="R299" s="20" t="n">
        <v>756</v>
      </c>
      <c r="S299" s="20" t="n">
        <v>1505</v>
      </c>
      <c r="T299" s="20" t="n">
        <v>14</v>
      </c>
      <c r="U299" s="20" t="n">
        <v>0</v>
      </c>
      <c r="V299" s="20" t="n">
        <v>1519</v>
      </c>
      <c r="W299" s="20" t="n">
        <v>0</v>
      </c>
      <c r="X299" s="20">
        <f>SUM(C300:R300)-S300</f>
        <v/>
      </c>
    </row>
    <row r="300">
      <c r="A300" s="18" t="n">
        <v>295</v>
      </c>
      <c r="B300" s="27" t="inlineStr">
        <is>
          <t>Elkathurthy</t>
        </is>
      </c>
      <c r="C300" s="20" t="n">
        <v>173</v>
      </c>
      <c r="D300" s="20" t="n">
        <v>34</v>
      </c>
      <c r="E300" s="20" t="n">
        <v>8</v>
      </c>
      <c r="F300" s="20" t="n">
        <v>623</v>
      </c>
      <c r="G300" s="20" t="n">
        <v>4</v>
      </c>
      <c r="H300" s="20" t="n">
        <v>3</v>
      </c>
      <c r="I300" s="20" t="n">
        <v>8</v>
      </c>
      <c r="J300" s="20" t="n">
        <v>4</v>
      </c>
      <c r="K300" s="20" t="n">
        <v>3</v>
      </c>
      <c r="L300" s="20" t="n">
        <v>16</v>
      </c>
      <c r="M300" s="20" t="n">
        <v>4</v>
      </c>
      <c r="N300" s="20" t="n">
        <v>6</v>
      </c>
      <c r="O300" s="20" t="n">
        <v>5</v>
      </c>
      <c r="P300" s="20" t="n">
        <v>2</v>
      </c>
      <c r="Q300" s="20" t="n">
        <v>2</v>
      </c>
      <c r="R300" s="20" t="n">
        <v>895</v>
      </c>
      <c r="S300" s="20" t="n">
        <v>1790</v>
      </c>
      <c r="T300" s="20" t="n">
        <v>17</v>
      </c>
      <c r="U300" s="20" t="n">
        <v>0</v>
      </c>
      <c r="V300" s="20" t="n">
        <v>1807</v>
      </c>
      <c r="W300" s="20" t="n">
        <v>1</v>
      </c>
      <c r="X300" s="20">
        <f>SUM(C301:R301)-S301</f>
        <v/>
      </c>
    </row>
    <row r="301">
      <c r="A301" s="18" t="n">
        <v>296</v>
      </c>
      <c r="B301" s="27" t="inlineStr">
        <is>
          <t>CHINTHALA PALLI</t>
        </is>
      </c>
      <c r="C301" s="20" t="n">
        <v>142</v>
      </c>
      <c r="D301" s="20" t="n">
        <v>37</v>
      </c>
      <c r="E301" s="20" t="n">
        <v>2</v>
      </c>
      <c r="F301" s="20" t="n">
        <v>381</v>
      </c>
      <c r="G301" s="20" t="n">
        <v>0</v>
      </c>
      <c r="H301" s="20" t="n">
        <v>1</v>
      </c>
      <c r="I301" s="20" t="n">
        <v>2</v>
      </c>
      <c r="J301" s="20" t="n">
        <v>1</v>
      </c>
      <c r="K301" s="20" t="n">
        <v>0</v>
      </c>
      <c r="L301" s="20" t="n">
        <v>7</v>
      </c>
      <c r="M301" s="20" t="n">
        <v>0</v>
      </c>
      <c r="N301" s="20" t="n">
        <v>2</v>
      </c>
      <c r="O301" s="20" t="n">
        <v>0</v>
      </c>
      <c r="P301" s="20" t="n">
        <v>0</v>
      </c>
      <c r="Q301" s="20" t="n">
        <v>2</v>
      </c>
      <c r="R301" s="20" t="n">
        <v>0</v>
      </c>
      <c r="S301" s="20" t="n">
        <v>577</v>
      </c>
      <c r="T301" s="20" t="n">
        <v>0</v>
      </c>
      <c r="U301" s="20" t="n">
        <v>6</v>
      </c>
      <c r="V301" s="20" t="n">
        <v>583</v>
      </c>
      <c r="W301" s="20" t="n">
        <v>0</v>
      </c>
      <c r="X301" s="20">
        <f>SUM(C302:R302)-S302</f>
        <v/>
      </c>
    </row>
    <row r="302">
      <c r="A302" s="18" t="n">
        <v>297</v>
      </c>
      <c r="B302" s="27" t="inlineStr">
        <is>
          <t>ELKATHURTHY</t>
        </is>
      </c>
      <c r="C302" s="20" t="n">
        <v>225</v>
      </c>
      <c r="D302" s="20" t="n">
        <v>19</v>
      </c>
      <c r="E302" s="20" t="n">
        <v>3</v>
      </c>
      <c r="F302" s="20" t="n">
        <v>255</v>
      </c>
      <c r="G302" s="20" t="n">
        <v>2</v>
      </c>
      <c r="H302" s="20" t="n">
        <v>2</v>
      </c>
      <c r="I302" s="20" t="n">
        <v>6</v>
      </c>
      <c r="J302" s="20" t="n">
        <v>1</v>
      </c>
      <c r="K302" s="20" t="n">
        <v>1</v>
      </c>
      <c r="L302" s="20" t="n">
        <v>9</v>
      </c>
      <c r="M302" s="20" t="n">
        <v>2</v>
      </c>
      <c r="N302" s="20" t="n">
        <v>0</v>
      </c>
      <c r="O302" s="20" t="n">
        <v>2</v>
      </c>
      <c r="P302" s="20" t="n">
        <v>2</v>
      </c>
      <c r="Q302" s="20" t="n">
        <v>2</v>
      </c>
      <c r="R302" s="20" t="n">
        <v>0</v>
      </c>
      <c r="S302" s="20" t="n">
        <v>531</v>
      </c>
      <c r="T302" s="20" t="n">
        <v>0</v>
      </c>
      <c r="U302" s="20" t="n">
        <v>10</v>
      </c>
      <c r="V302" s="20" t="n">
        <v>541</v>
      </c>
      <c r="W302" s="20" t="n">
        <v>0</v>
      </c>
      <c r="X302" s="20">
        <f>SUM(C303:R303)-S303</f>
        <v/>
      </c>
    </row>
    <row r="303">
      <c r="A303" s="18" t="n">
        <v>298</v>
      </c>
      <c r="B303" s="27" t="inlineStr">
        <is>
          <t>KESHAVAPUR</t>
        </is>
      </c>
      <c r="C303" s="20" t="n">
        <v>201</v>
      </c>
      <c r="D303" s="20" t="n">
        <v>4</v>
      </c>
      <c r="E303" s="20" t="n">
        <v>6</v>
      </c>
      <c r="F303" s="20" t="n">
        <v>512</v>
      </c>
      <c r="G303" s="20" t="n">
        <v>5</v>
      </c>
      <c r="H303" s="20" t="n">
        <v>5</v>
      </c>
      <c r="I303" s="20" t="n">
        <v>15</v>
      </c>
      <c r="J303" s="20" t="n">
        <v>1</v>
      </c>
      <c r="K303" s="20" t="n">
        <v>1</v>
      </c>
      <c r="L303" s="20" t="n">
        <v>31</v>
      </c>
      <c r="M303" s="20" t="n">
        <v>2</v>
      </c>
      <c r="N303" s="20" t="n">
        <v>1</v>
      </c>
      <c r="O303" s="20" t="n">
        <v>4</v>
      </c>
      <c r="P303" s="20" t="n">
        <v>4</v>
      </c>
      <c r="Q303" s="20" t="n">
        <v>7</v>
      </c>
      <c r="R303" s="20" t="n">
        <v>0</v>
      </c>
      <c r="S303" s="20" t="n">
        <v>799</v>
      </c>
      <c r="T303" s="20" t="n">
        <v>0</v>
      </c>
      <c r="U303" s="20" t="n">
        <v>14</v>
      </c>
      <c r="V303" s="20" t="n">
        <v>813</v>
      </c>
      <c r="W303" s="20" t="n">
        <v>0</v>
      </c>
      <c r="X303" s="20">
        <f>SUM(C304:R304)-S304</f>
        <v/>
      </c>
    </row>
    <row r="304">
      <c r="A304" s="18" t="n">
        <v>299</v>
      </c>
      <c r="B304" s="27" t="inlineStr">
        <is>
          <t>KESHAVAPUR</t>
        </is>
      </c>
      <c r="C304" s="20" t="n">
        <v>101</v>
      </c>
      <c r="D304" s="20" t="n">
        <v>8</v>
      </c>
      <c r="E304" s="20" t="n">
        <v>5</v>
      </c>
      <c r="F304" s="20" t="n">
        <v>521</v>
      </c>
      <c r="G304" s="20" t="n">
        <v>2</v>
      </c>
      <c r="H304" s="20" t="n">
        <v>2</v>
      </c>
      <c r="I304" s="20" t="n">
        <v>4</v>
      </c>
      <c r="J304" s="20" t="n">
        <v>1</v>
      </c>
      <c r="K304" s="20" t="n">
        <v>1</v>
      </c>
      <c r="L304" s="20" t="n">
        <v>8</v>
      </c>
      <c r="M304" s="20" t="n">
        <v>2</v>
      </c>
      <c r="N304" s="20" t="n">
        <v>3</v>
      </c>
      <c r="O304" s="20" t="n">
        <v>3</v>
      </c>
      <c r="P304" s="20" t="n">
        <v>4</v>
      </c>
      <c r="Q304" s="20" t="n">
        <v>0</v>
      </c>
      <c r="R304" s="20" t="n">
        <v>0</v>
      </c>
      <c r="S304" s="20" t="n">
        <v>665</v>
      </c>
      <c r="T304" s="20" t="n">
        <v>0</v>
      </c>
      <c r="U304" s="20" t="n">
        <v>14</v>
      </c>
      <c r="V304" s="20" t="n">
        <v>679</v>
      </c>
      <c r="W304" s="20" t="n">
        <v>0</v>
      </c>
      <c r="X304" s="20">
        <f>SUM(C305:R305)-S305</f>
        <v/>
      </c>
    </row>
    <row r="305">
      <c r="A305" s="18" t="n">
        <v>300</v>
      </c>
      <c r="B305" s="27" t="inlineStr">
        <is>
          <t>KESHAVAPUR</t>
        </is>
      </c>
      <c r="C305" s="20" t="n">
        <v>97</v>
      </c>
      <c r="D305" s="20" t="n">
        <v>8</v>
      </c>
      <c r="E305" s="20" t="n">
        <v>5</v>
      </c>
      <c r="F305" s="20" t="n">
        <v>418</v>
      </c>
      <c r="G305" s="20" t="n">
        <v>5</v>
      </c>
      <c r="H305" s="20" t="n">
        <v>1</v>
      </c>
      <c r="I305" s="20" t="n">
        <v>6</v>
      </c>
      <c r="J305" s="20" t="n">
        <v>2</v>
      </c>
      <c r="K305" s="20" t="n">
        <v>1</v>
      </c>
      <c r="L305" s="20" t="n">
        <v>28</v>
      </c>
      <c r="M305" s="20" t="n">
        <v>3</v>
      </c>
      <c r="N305" s="20" t="n">
        <v>0</v>
      </c>
      <c r="O305" s="20" t="n">
        <v>3</v>
      </c>
      <c r="P305" s="20" t="n">
        <v>5</v>
      </c>
      <c r="Q305" s="20" t="n">
        <v>0</v>
      </c>
      <c r="R305" s="20" t="n">
        <v>0</v>
      </c>
      <c r="S305" s="20" t="n">
        <v>582</v>
      </c>
      <c r="T305" s="20" t="n">
        <v>0</v>
      </c>
      <c r="U305" s="20" t="n">
        <v>12</v>
      </c>
      <c r="V305" s="20" t="n">
        <v>594</v>
      </c>
      <c r="W305" s="20" t="n">
        <v>0</v>
      </c>
      <c r="X305" s="20">
        <f>SUM(C306:R306)-S306</f>
        <v/>
      </c>
    </row>
    <row r="306">
      <c r="A306" s="21" t="inlineStr">
        <is>
          <t>TOTAL EVM VOTES</t>
        </is>
      </c>
      <c r="B306" s="22" t="n"/>
      <c r="C306" s="13">
        <f>SUM(C6:C305)</f>
        <v/>
      </c>
      <c r="D306" s="13">
        <f>SUM(D6:D305)</f>
        <v/>
      </c>
      <c r="E306" s="13">
        <f>SUM(E6:E305)</f>
        <v/>
      </c>
      <c r="F306" s="13">
        <f>SUM(F6:F305)</f>
        <v/>
      </c>
      <c r="G306" s="13">
        <f>SUM(G6:G305)</f>
        <v/>
      </c>
      <c r="H306" s="13">
        <f>SUM(H6:H305)</f>
        <v/>
      </c>
      <c r="I306" s="13">
        <f>SUM(I6:I305)</f>
        <v/>
      </c>
      <c r="J306" s="13">
        <f>SUM(J6:J305)</f>
        <v/>
      </c>
      <c r="K306" s="13">
        <f>SUM(K6:K305)</f>
        <v/>
      </c>
      <c r="L306" s="13">
        <f>SUM(L6:L305)</f>
        <v/>
      </c>
      <c r="M306" s="13">
        <f>SUM(M6:M305)</f>
        <v/>
      </c>
      <c r="N306" s="13">
        <f>SUM(N6:N305)</f>
        <v/>
      </c>
      <c r="O306" s="13">
        <f>SUM(O6:O305)</f>
        <v/>
      </c>
      <c r="P306" s="13">
        <f>SUM(P6:P305)</f>
        <v/>
      </c>
      <c r="Q306" s="13">
        <f>SUM(Q6:Q305)</f>
        <v/>
      </c>
      <c r="R306" s="13">
        <f>SUM(R6:R305)</f>
        <v/>
      </c>
      <c r="S306" s="13">
        <f>SUM(S6:S305)</f>
        <v/>
      </c>
      <c r="T306" s="13">
        <f>SUM(T6:T305)</f>
        <v/>
      </c>
      <c r="U306" s="13">
        <f>SUM(U6:U305)</f>
        <v/>
      </c>
      <c r="V306" s="13">
        <f>SUM(V6:V305)</f>
        <v/>
      </c>
      <c r="W306" s="13">
        <f>SUM(W6:W305)</f>
        <v/>
      </c>
      <c r="X306" s="13">
        <f>SUM(X6:X305)</f>
        <v/>
      </c>
    </row>
    <row r="307">
      <c r="A307" s="23" t="inlineStr">
        <is>
          <t>POSTAL BALLOT VOTES</t>
        </is>
      </c>
      <c r="B307" s="24" t="n"/>
      <c r="C307" s="13" t="n">
        <v>330</v>
      </c>
      <c r="D307" s="13" t="n">
        <v>32</v>
      </c>
      <c r="E307" s="13" t="n">
        <v>13</v>
      </c>
      <c r="F307" s="13" t="n">
        <v>341</v>
      </c>
      <c r="G307" s="13" t="n">
        <v>18</v>
      </c>
      <c r="H307" s="13" t="n">
        <v>0</v>
      </c>
      <c r="I307" s="13" t="n">
        <v>0</v>
      </c>
      <c r="J307" s="13" t="n">
        <v>1</v>
      </c>
      <c r="K307" s="13" t="n">
        <v>0</v>
      </c>
      <c r="L307" s="13" t="n">
        <v>0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n">
        <v>1</v>
      </c>
      <c r="R307" s="13" t="n">
        <v>1</v>
      </c>
      <c r="S307" s="13" t="n">
        <v>737</v>
      </c>
      <c r="T307" s="13" t="n">
        <v>22</v>
      </c>
      <c r="U307" s="13" t="n">
        <v>7</v>
      </c>
      <c r="V307" s="13" t="n">
        <v>766</v>
      </c>
      <c r="W307" s="13" t="n">
        <v>0</v>
      </c>
      <c r="X307" s="13" t="n">
        <v>0</v>
      </c>
    </row>
    <row r="308">
      <c r="A308" s="25" t="inlineStr">
        <is>
          <t>TOTAL VOTES POLLED</t>
        </is>
      </c>
      <c r="B308" s="26" t="n"/>
      <c r="C308" s="14">
        <f>C306+C307</f>
        <v/>
      </c>
      <c r="D308" s="14">
        <f>D306+D307</f>
        <v/>
      </c>
      <c r="E308" s="14">
        <f>E306+E307</f>
        <v/>
      </c>
      <c r="F308" s="14">
        <f>F306+F307</f>
        <v/>
      </c>
      <c r="G308" s="14">
        <f>G306+G307</f>
        <v/>
      </c>
      <c r="H308" s="14">
        <f>H306+H307</f>
        <v/>
      </c>
      <c r="I308" s="14">
        <f>I306+I307</f>
        <v/>
      </c>
      <c r="J308" s="14">
        <f>J306+J307</f>
        <v/>
      </c>
      <c r="K308" s="14">
        <f>K306+K307</f>
        <v/>
      </c>
      <c r="L308" s="14">
        <f>L306+L307</f>
        <v/>
      </c>
      <c r="M308" s="14">
        <f>M306+M307</f>
        <v/>
      </c>
      <c r="N308" s="14">
        <f>N306+N307</f>
        <v/>
      </c>
      <c r="O308" s="14">
        <f>O306+O307</f>
        <v/>
      </c>
      <c r="P308" s="14">
        <f>P306+P307</f>
        <v/>
      </c>
      <c r="Q308" s="14">
        <f>Q306+Q307</f>
        <v/>
      </c>
      <c r="R308" s="14">
        <f>R306+R307</f>
        <v/>
      </c>
      <c r="S308" s="14">
        <f>S306+S307</f>
        <v/>
      </c>
      <c r="T308" s="14">
        <f>T306+T307</f>
        <v/>
      </c>
      <c r="U308" s="14">
        <f>U306+U307</f>
        <v/>
      </c>
      <c r="V308" s="14">
        <f>V306+V307</f>
        <v/>
      </c>
      <c r="W308" s="14">
        <f>W306+W307</f>
        <v/>
      </c>
      <c r="X308" s="14">
        <f>X306+X307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2026-09-14T08:04:36Z</dcterms:created>
  <dcterms:modified xsi:type="dcterms:W3CDTF">2026-09-14T08:04:41Z</dcterms:modified>
</cp:coreProperties>
</file>