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(28-Vemulawada)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2</v>
      </c>
      <c r="B6" s="14" t="inlineStr">
        <is>
          <t>Vemulawada PS 2</t>
        </is>
      </c>
      <c r="C6" s="4" t="n">
        <v>0</v>
      </c>
      <c r="D6" s="4" t="n">
        <v>0</v>
      </c>
      <c r="E6" s="4" t="n">
        <v>0</v>
      </c>
      <c r="F6" s="4" t="n">
        <v>299</v>
      </c>
      <c r="G6" s="4" t="n">
        <v>162</v>
      </c>
      <c r="H6" s="4" t="n">
        <v>0</v>
      </c>
      <c r="I6" s="4" t="n">
        <v>3</v>
      </c>
      <c r="J6" s="4" t="n">
        <v>307</v>
      </c>
      <c r="K6" s="4" t="n">
        <v>4</v>
      </c>
      <c r="L6" s="4" t="n">
        <v>3</v>
      </c>
      <c r="M6" s="4" t="n">
        <v>3</v>
      </c>
      <c r="N6" s="4" t="n">
        <v>2</v>
      </c>
      <c r="O6" s="4" t="n">
        <v>7</v>
      </c>
      <c r="P6" s="4" t="n">
        <v>50</v>
      </c>
      <c r="Q6" s="4" t="n">
        <v>3</v>
      </c>
      <c r="R6" s="4" t="n">
        <v>3</v>
      </c>
      <c r="S6" s="4" t="n">
        <v>2</v>
      </c>
      <c r="T6" s="4" t="n">
        <v>3</v>
      </c>
      <c r="U6" s="4" t="n">
        <v>0</v>
      </c>
      <c r="V6" s="4" t="n">
        <v>0</v>
      </c>
      <c r="W6" s="4" t="n">
        <v>2</v>
      </c>
      <c r="X6" s="4" t="n">
        <v>868</v>
      </c>
      <c r="Y6" s="4">
        <f>SUM(C6:S6)-T6</f>
        <v/>
      </c>
    </row>
    <row r="7">
      <c r="A7" s="4" t="n">
        <v>3</v>
      </c>
      <c r="B7" s="14" t="inlineStr">
        <is>
          <t>Vemulawada PS 3</t>
        </is>
      </c>
      <c r="C7" s="4" t="n">
        <v>0</v>
      </c>
      <c r="D7" s="4" t="n">
        <v>0</v>
      </c>
      <c r="E7" s="4" t="n">
        <v>0</v>
      </c>
      <c r="F7" s="4" t="n">
        <v>323</v>
      </c>
      <c r="G7" s="4" t="n">
        <v>0</v>
      </c>
      <c r="H7" s="4" t="n">
        <v>0</v>
      </c>
      <c r="I7" s="4" t="n">
        <v>7</v>
      </c>
      <c r="J7" s="4" t="n">
        <v>149</v>
      </c>
      <c r="K7" s="4" t="n">
        <v>6</v>
      </c>
      <c r="L7" s="4" t="n">
        <v>2</v>
      </c>
      <c r="M7" s="4" t="n">
        <v>0</v>
      </c>
      <c r="N7" s="4" t="n">
        <v>3</v>
      </c>
      <c r="O7" s="4" t="n">
        <v>7</v>
      </c>
      <c r="P7" s="4" t="n">
        <v>23</v>
      </c>
      <c r="Q7" s="4" t="n">
        <v>4</v>
      </c>
      <c r="R7" s="4" t="n">
        <v>3</v>
      </c>
      <c r="S7" s="4" t="n">
        <v>0</v>
      </c>
      <c r="T7" s="4" t="n">
        <v>2</v>
      </c>
      <c r="U7" s="4" t="n">
        <v>0</v>
      </c>
      <c r="V7" s="4" t="n">
        <v>2</v>
      </c>
      <c r="W7" s="4" t="n">
        <v>2</v>
      </c>
      <c r="X7" s="4" t="n">
        <v>0</v>
      </c>
      <c r="Y7" s="4">
        <f>SUM(C7:S7)-T7</f>
        <v/>
      </c>
    </row>
    <row r="8">
      <c r="A8" s="4" t="n">
        <v>4</v>
      </c>
      <c r="B8" s="14" t="inlineStr">
        <is>
          <t>Vemulawada PS 4</t>
        </is>
      </c>
      <c r="C8" s="4" t="n">
        <v>0</v>
      </c>
      <c r="D8" s="4" t="n">
        <v>53779</v>
      </c>
      <c r="E8" s="4" t="n">
        <v>19814</v>
      </c>
      <c r="F8" s="4" t="n">
        <v>408</v>
      </c>
      <c r="G8" s="4" t="n">
        <v>2038</v>
      </c>
      <c r="H8" s="4" t="n">
        <v>48130</v>
      </c>
      <c r="I8" s="4" t="n">
        <v>0</v>
      </c>
      <c r="J8" s="4" t="n">
        <v>52</v>
      </c>
      <c r="K8" s="4" t="n">
        <v>419</v>
      </c>
      <c r="L8" s="4" t="n">
        <v>292</v>
      </c>
      <c r="M8" s="4" t="n">
        <v>1066</v>
      </c>
      <c r="N8" s="4" t="n">
        <v>4983</v>
      </c>
      <c r="O8" s="4" t="n">
        <v>0</v>
      </c>
      <c r="P8" s="4" t="n">
        <v>705</v>
      </c>
      <c r="Q8" s="4" t="n">
        <v>264</v>
      </c>
      <c r="R8" s="4" t="n">
        <v>422</v>
      </c>
      <c r="S8" s="4" t="n">
        <v>1227</v>
      </c>
      <c r="T8" s="4" t="n">
        <v>0</v>
      </c>
      <c r="U8" s="4" t="n">
        <v>478</v>
      </c>
      <c r="V8" s="4" t="n">
        <v>0</v>
      </c>
      <c r="W8" s="4" t="n">
        <v>2</v>
      </c>
      <c r="X8" s="4" t="n">
        <v>136160</v>
      </c>
      <c r="Y8" s="4">
        <f>SUM(C8:S8)-T8</f>
        <v/>
      </c>
    </row>
    <row r="9">
      <c r="A9" s="4" t="n">
        <v>7</v>
      </c>
      <c r="B9" s="14" t="inlineStr">
        <is>
          <t>Vemulawada PS 7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2</v>
      </c>
      <c r="M9" s="4" t="n">
        <v>5</v>
      </c>
      <c r="N9" s="4" t="n">
        <v>3</v>
      </c>
      <c r="O9" s="4" t="n">
        <v>0</v>
      </c>
      <c r="P9" s="4" t="n">
        <v>0</v>
      </c>
      <c r="Q9" s="4" t="n">
        <v>0</v>
      </c>
      <c r="R9" s="4" t="n">
        <v>2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>
        <f>SUM(C9:S9)-T9</f>
        <v/>
      </c>
    </row>
    <row r="10">
      <c r="A10" s="4" t="n">
        <v>8</v>
      </c>
      <c r="B10" s="14" t="inlineStr">
        <is>
          <t>Vemulawada PS 8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7</v>
      </c>
      <c r="V10" s="4" t="n">
        <v>6</v>
      </c>
      <c r="W10" s="4" t="n">
        <v>0</v>
      </c>
      <c r="X10" s="4" t="n">
        <v>6</v>
      </c>
      <c r="Y10" s="4">
        <f>SUM(C10:S10)-T10</f>
        <v/>
      </c>
    </row>
    <row r="11">
      <c r="A11" s="4" t="n">
        <v>9</v>
      </c>
      <c r="B11" s="14" t="inlineStr">
        <is>
          <t>Vemulawada PS 9</t>
        </is>
      </c>
      <c r="C11" s="4" t="n">
        <v>0</v>
      </c>
      <c r="D11" s="4" t="n">
        <v>323</v>
      </c>
      <c r="E11" s="4" t="n">
        <v>351</v>
      </c>
      <c r="F11" s="4" t="n">
        <v>1</v>
      </c>
      <c r="G11" s="4" t="n">
        <v>6</v>
      </c>
      <c r="H11" s="4" t="n">
        <v>162</v>
      </c>
      <c r="I11" s="4" t="n">
        <v>1</v>
      </c>
      <c r="J11" s="4" t="n">
        <v>1</v>
      </c>
      <c r="K11" s="4" t="n">
        <v>0</v>
      </c>
      <c r="L11" s="4" t="n">
        <v>1</v>
      </c>
      <c r="M11" s="4" t="n">
        <v>6</v>
      </c>
      <c r="N11" s="4" t="n">
        <v>0</v>
      </c>
      <c r="O11" s="4" t="n">
        <v>1</v>
      </c>
      <c r="P11" s="4" t="n">
        <v>0</v>
      </c>
      <c r="Q11" s="4" t="n">
        <v>0</v>
      </c>
      <c r="R11" s="4" t="n">
        <v>1</v>
      </c>
      <c r="S11" s="4" t="n">
        <v>4</v>
      </c>
      <c r="T11" s="4" t="n">
        <v>2</v>
      </c>
      <c r="U11" s="4" t="n">
        <v>5</v>
      </c>
      <c r="V11" s="4" t="n">
        <v>879</v>
      </c>
      <c r="W11" s="4" t="n">
        <v>0</v>
      </c>
      <c r="X11" s="4" t="n">
        <v>879</v>
      </c>
      <c r="Y11" s="4">
        <f>SUM(C11:S11)-T11</f>
        <v/>
      </c>
    </row>
    <row r="12">
      <c r="A12" s="4" t="n">
        <v>10</v>
      </c>
      <c r="B12" s="14" t="inlineStr">
        <is>
          <t>Vemulawada PS 10</t>
        </is>
      </c>
      <c r="C12" s="4" t="n">
        <v>32</v>
      </c>
      <c r="D12" s="4" t="n">
        <v>0</v>
      </c>
      <c r="E12" s="4" t="n">
        <v>0</v>
      </c>
      <c r="F12" s="4" t="n">
        <v>27</v>
      </c>
      <c r="G12" s="4" t="n">
        <v>128</v>
      </c>
      <c r="H12" s="4" t="n">
        <v>5</v>
      </c>
      <c r="I12" s="4" t="n">
        <v>1</v>
      </c>
      <c r="J12" s="4" t="n">
        <v>323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1</v>
      </c>
      <c r="P12" s="4" t="n">
        <v>5</v>
      </c>
      <c r="Q12" s="4" t="n">
        <v>0</v>
      </c>
      <c r="R12" s="4" t="n">
        <v>1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683</v>
      </c>
      <c r="Y12" s="4">
        <f>SUM(C12:S12)-T12</f>
        <v/>
      </c>
    </row>
    <row r="13">
      <c r="A13" s="4" t="n">
        <v>11</v>
      </c>
      <c r="B13" s="14" t="inlineStr">
        <is>
          <t>Vemulawada PS 11</t>
        </is>
      </c>
      <c r="C13" s="4" t="n">
        <v>43</v>
      </c>
      <c r="D13" s="4" t="n">
        <v>0</v>
      </c>
      <c r="E13" s="4" t="n">
        <v>0</v>
      </c>
      <c r="F13" s="4" t="n">
        <v>0</v>
      </c>
      <c r="G13" s="4" t="n">
        <v>207</v>
      </c>
      <c r="H13" s="4" t="n">
        <v>0</v>
      </c>
      <c r="I13" s="4" t="n">
        <v>7</v>
      </c>
      <c r="J13" s="4" t="n">
        <v>48</v>
      </c>
      <c r="K13" s="4" t="n">
        <v>0</v>
      </c>
      <c r="L13" s="4" t="n">
        <v>0</v>
      </c>
      <c r="M13" s="4" t="n">
        <v>0</v>
      </c>
      <c r="N13" s="4" t="n">
        <v>4</v>
      </c>
      <c r="O13" s="4" t="n">
        <v>3</v>
      </c>
      <c r="P13" s="4" t="n">
        <v>4</v>
      </c>
      <c r="Q13" s="4" t="n">
        <v>0</v>
      </c>
      <c r="R13" s="4" t="n">
        <v>2</v>
      </c>
      <c r="S13" s="4" t="n">
        <v>2</v>
      </c>
      <c r="T13" s="4" t="n">
        <v>4</v>
      </c>
      <c r="U13" s="4" t="n">
        <v>2</v>
      </c>
      <c r="V13" s="4" t="n">
        <v>18</v>
      </c>
      <c r="W13" s="4" t="n">
        <v>4</v>
      </c>
      <c r="X13" s="4" t="n">
        <v>735</v>
      </c>
      <c r="Y13" s="4">
        <f>SUM(C13:S13)-T13</f>
        <v/>
      </c>
    </row>
    <row r="14">
      <c r="A14" s="4" t="n">
        <v>14</v>
      </c>
      <c r="B14" s="14" t="inlineStr">
        <is>
          <t>Vemulawada PS 14</t>
        </is>
      </c>
      <c r="C14" s="4" t="n">
        <v>0</v>
      </c>
      <c r="D14" s="4" t="n">
        <v>259</v>
      </c>
      <c r="E14" s="4" t="n">
        <v>9</v>
      </c>
      <c r="F14" s="4" t="n">
        <v>1</v>
      </c>
      <c r="G14" s="4" t="n">
        <v>3</v>
      </c>
      <c r="H14" s="4" t="n">
        <v>248</v>
      </c>
      <c r="I14" s="4" t="n">
        <v>2</v>
      </c>
      <c r="J14" s="4" t="n">
        <v>0</v>
      </c>
      <c r="K14" s="4" t="n">
        <v>8</v>
      </c>
      <c r="L14" s="4" t="n">
        <v>1</v>
      </c>
      <c r="M14" s="4" t="n">
        <v>5</v>
      </c>
      <c r="N14" s="4" t="n">
        <v>29</v>
      </c>
      <c r="O14" s="4" t="n">
        <v>0</v>
      </c>
      <c r="P14" s="4" t="n">
        <v>2</v>
      </c>
      <c r="Q14" s="4" t="n">
        <v>0</v>
      </c>
      <c r="R14" s="4" t="n">
        <v>9</v>
      </c>
      <c r="S14" s="4" t="n">
        <v>7</v>
      </c>
      <c r="T14" s="4" t="n">
        <v>2</v>
      </c>
      <c r="U14" s="4" t="n">
        <v>0</v>
      </c>
      <c r="V14" s="4" t="n">
        <v>590</v>
      </c>
      <c r="W14" s="4" t="n">
        <v>0</v>
      </c>
      <c r="X14" s="4" t="n">
        <v>590</v>
      </c>
      <c r="Y14" s="4">
        <f>SUM(C14:S14)-T14</f>
        <v/>
      </c>
    </row>
    <row r="15">
      <c r="A15" s="4" t="n">
        <v>98</v>
      </c>
      <c r="B15" s="14" t="inlineStr">
        <is>
          <t>Vemulawada PS 98</t>
        </is>
      </c>
      <c r="C15" s="4" t="n">
        <v>0</v>
      </c>
      <c r="D15" s="4" t="n">
        <v>45</v>
      </c>
      <c r="E15" s="4" t="n">
        <v>3</v>
      </c>
      <c r="F15" s="4" t="n">
        <v>0</v>
      </c>
      <c r="G15" s="4" t="n">
        <v>0</v>
      </c>
      <c r="H15" s="4" t="n">
        <v>43</v>
      </c>
      <c r="I15" s="4" t="n">
        <v>0</v>
      </c>
      <c r="J15" s="4" t="n">
        <v>0</v>
      </c>
      <c r="K15" s="4" t="n">
        <v>2</v>
      </c>
      <c r="L15" s="4" t="n">
        <v>0</v>
      </c>
      <c r="M15" s="4" t="n">
        <v>1</v>
      </c>
      <c r="N15" s="4" t="n">
        <v>4</v>
      </c>
      <c r="O15" s="4" t="n">
        <v>1</v>
      </c>
      <c r="P15" s="4" t="n">
        <v>1</v>
      </c>
      <c r="Q15" s="4" t="n">
        <v>0</v>
      </c>
      <c r="R15" s="4" t="n">
        <v>0</v>
      </c>
      <c r="S15" s="4" t="n">
        <v>7</v>
      </c>
      <c r="T15" s="4" t="n">
        <v>1</v>
      </c>
      <c r="U15" s="4" t="n">
        <v>0</v>
      </c>
      <c r="V15" s="4" t="n">
        <v>0</v>
      </c>
      <c r="W15" s="4" t="n">
        <v>0</v>
      </c>
      <c r="X15" s="4" t="n">
        <v>0</v>
      </c>
      <c r="Y15" s="4">
        <f>SUM(C15:S15)-T15</f>
        <v/>
      </c>
    </row>
    <row r="16">
      <c r="A16" s="4" t="n">
        <v>102</v>
      </c>
      <c r="B16" s="14" t="inlineStr">
        <is>
          <t>Vemulawada PS 102</t>
        </is>
      </c>
      <c r="C16" s="4" t="n">
        <v>0</v>
      </c>
      <c r="D16" s="4" t="n">
        <v>0</v>
      </c>
      <c r="E16" s="4" t="n">
        <v>57</v>
      </c>
      <c r="F16" s="4" t="n">
        <v>3</v>
      </c>
      <c r="G16" s="4" t="n">
        <v>12</v>
      </c>
      <c r="H16" s="4" t="n">
        <v>138</v>
      </c>
      <c r="I16" s="4" t="n">
        <v>2</v>
      </c>
      <c r="J16" s="4" t="n">
        <v>2</v>
      </c>
      <c r="K16" s="4" t="n">
        <v>2</v>
      </c>
      <c r="L16" s="4" t="n">
        <v>2</v>
      </c>
      <c r="M16" s="4" t="n">
        <v>4</v>
      </c>
      <c r="N16" s="4" t="n">
        <v>16</v>
      </c>
      <c r="O16" s="4" t="n">
        <v>0</v>
      </c>
      <c r="P16" s="4" t="n">
        <v>2</v>
      </c>
      <c r="Q16" s="4" t="n">
        <v>0</v>
      </c>
      <c r="R16" s="4" t="n">
        <v>1</v>
      </c>
      <c r="S16" s="4" t="n">
        <v>1</v>
      </c>
      <c r="T16" s="4" t="n">
        <v>6</v>
      </c>
      <c r="U16" s="4" t="n">
        <v>3</v>
      </c>
      <c r="V16" s="4" t="n">
        <v>51</v>
      </c>
      <c r="W16" s="4" t="n">
        <v>0</v>
      </c>
      <c r="X16" s="4" t="n">
        <v>561</v>
      </c>
      <c r="Y16" s="4">
        <f>SUM(C16:S16)-T16</f>
        <v/>
      </c>
    </row>
    <row r="17">
      <c r="A17" s="4" t="n">
        <v>104</v>
      </c>
      <c r="B17" s="14" t="inlineStr">
        <is>
          <t>Vemulawada PS 104</t>
        </is>
      </c>
      <c r="C17" s="4" t="n">
        <v>0</v>
      </c>
      <c r="D17" s="4" t="n">
        <v>364</v>
      </c>
      <c r="E17" s="4" t="n">
        <v>43</v>
      </c>
      <c r="F17" s="4" t="n">
        <v>0</v>
      </c>
      <c r="G17" s="4" t="n">
        <v>12</v>
      </c>
      <c r="H17" s="4" t="n">
        <v>261</v>
      </c>
      <c r="I17" s="4" t="n">
        <v>3</v>
      </c>
      <c r="J17" s="4" t="n">
        <v>3</v>
      </c>
      <c r="K17" s="4" t="n">
        <v>2</v>
      </c>
      <c r="L17" s="4" t="n">
        <v>1</v>
      </c>
      <c r="M17" s="4" t="n">
        <v>4</v>
      </c>
      <c r="N17" s="4" t="n">
        <v>23</v>
      </c>
      <c r="O17" s="4" t="n">
        <v>0</v>
      </c>
      <c r="P17" s="4" t="n">
        <v>2</v>
      </c>
      <c r="Q17" s="4" t="n">
        <v>1</v>
      </c>
      <c r="R17" s="4" t="n">
        <v>3</v>
      </c>
      <c r="S17" s="4" t="n">
        <v>9</v>
      </c>
      <c r="T17" s="4" t="n">
        <v>4</v>
      </c>
      <c r="U17" s="4" t="n">
        <v>0</v>
      </c>
      <c r="V17" s="4" t="n">
        <v>735</v>
      </c>
      <c r="W17" s="4" t="n">
        <v>0</v>
      </c>
      <c r="X17" s="4" t="n">
        <v>5</v>
      </c>
      <c r="Y17" s="4">
        <f>SUM(C17:S17)-T17</f>
        <v/>
      </c>
    </row>
    <row r="18">
      <c r="A18" s="4" t="n">
        <v>113</v>
      </c>
      <c r="B18" s="14" t="inlineStr">
        <is>
          <t>Vemulawada PS 113</t>
        </is>
      </c>
      <c r="C18" s="4" t="n">
        <v>7</v>
      </c>
      <c r="D18" s="4" t="n">
        <v>123</v>
      </c>
      <c r="E18" s="4" t="n">
        <v>16</v>
      </c>
      <c r="F18" s="4" t="n">
        <v>0</v>
      </c>
      <c r="G18" s="4" t="n">
        <v>2</v>
      </c>
      <c r="H18" s="4" t="n">
        <v>115</v>
      </c>
      <c r="I18" s="4" t="n">
        <v>2</v>
      </c>
      <c r="J18" s="4" t="n">
        <v>5</v>
      </c>
      <c r="K18" s="4" t="n">
        <v>1</v>
      </c>
      <c r="L18" s="4" t="n">
        <v>1</v>
      </c>
      <c r="M18" s="4" t="n">
        <v>2</v>
      </c>
      <c r="N18" s="4" t="n">
        <v>18</v>
      </c>
      <c r="O18" s="4" t="n">
        <v>0</v>
      </c>
      <c r="P18" s="4" t="n">
        <v>1</v>
      </c>
      <c r="Q18" s="4" t="n">
        <v>1</v>
      </c>
      <c r="R18" s="4" t="n">
        <v>1</v>
      </c>
      <c r="S18" s="4" t="n">
        <v>8</v>
      </c>
      <c r="T18" s="4" t="n">
        <v>1</v>
      </c>
      <c r="U18" s="4" t="n">
        <v>1</v>
      </c>
      <c r="V18" s="4" t="n">
        <v>298</v>
      </c>
      <c r="W18" s="4" t="n">
        <v>0</v>
      </c>
      <c r="X18" s="4" t="n">
        <v>298</v>
      </c>
      <c r="Y18" s="4">
        <f>SUM(C18:S18)-T18</f>
        <v/>
      </c>
    </row>
    <row r="19">
      <c r="A19" s="4" t="n">
        <v>116</v>
      </c>
      <c r="B19" s="14" t="inlineStr">
        <is>
          <t>Vemulawada PS 116</t>
        </is>
      </c>
      <c r="C19" s="4" t="n">
        <v>0</v>
      </c>
      <c r="D19" s="4" t="n">
        <v>356</v>
      </c>
      <c r="E19" s="4" t="n">
        <v>103</v>
      </c>
      <c r="F19" s="4" t="n">
        <v>4</v>
      </c>
      <c r="G19" s="4" t="n">
        <v>2</v>
      </c>
      <c r="H19" s="4" t="n">
        <v>264</v>
      </c>
      <c r="I19" s="4" t="n">
        <v>0</v>
      </c>
      <c r="J19" s="4" t="n">
        <v>3</v>
      </c>
      <c r="K19" s="4" t="n">
        <v>2</v>
      </c>
      <c r="L19" s="4" t="n">
        <v>0</v>
      </c>
      <c r="M19" s="4" t="n">
        <v>3</v>
      </c>
      <c r="N19" s="4" t="n">
        <v>32</v>
      </c>
      <c r="O19" s="4" t="n">
        <v>1</v>
      </c>
      <c r="P19" s="4" t="n">
        <v>3</v>
      </c>
      <c r="Q19" s="4" t="n">
        <v>1</v>
      </c>
      <c r="R19" s="4" t="n">
        <v>5</v>
      </c>
      <c r="S19" s="4" t="n">
        <v>10</v>
      </c>
      <c r="T19" s="4" t="n">
        <v>8</v>
      </c>
      <c r="U19" s="4" t="n">
        <v>2</v>
      </c>
      <c r="V19" s="4" t="n">
        <v>800</v>
      </c>
      <c r="W19" s="4" t="n">
        <v>8</v>
      </c>
      <c r="X19" s="4" t="n">
        <v>800</v>
      </c>
      <c r="Y19" s="4">
        <f>SUM(C19:S19)-T19</f>
        <v/>
      </c>
    </row>
    <row r="20">
      <c r="A20" s="4" t="n">
        <v>121</v>
      </c>
      <c r="B20" s="14" t="inlineStr">
        <is>
          <t>Vemulawada PS 121</t>
        </is>
      </c>
      <c r="C20" s="4" t="n">
        <v>0</v>
      </c>
      <c r="D20" s="4" t="n">
        <v>330</v>
      </c>
      <c r="E20" s="4" t="n">
        <v>140</v>
      </c>
      <c r="F20" s="4" t="n">
        <v>1</v>
      </c>
      <c r="G20" s="4" t="n">
        <v>4</v>
      </c>
      <c r="H20" s="4" t="n">
        <v>334</v>
      </c>
      <c r="I20" s="4" t="n">
        <v>3</v>
      </c>
      <c r="J20" s="4" t="n">
        <v>6</v>
      </c>
      <c r="K20" s="4" t="n">
        <v>3</v>
      </c>
      <c r="L20" s="4" t="n">
        <v>5</v>
      </c>
      <c r="M20" s="4" t="n">
        <v>4</v>
      </c>
      <c r="N20" s="4" t="n">
        <v>38</v>
      </c>
      <c r="O20" s="4" t="n">
        <v>1</v>
      </c>
      <c r="P20" s="4" t="n">
        <v>4</v>
      </c>
      <c r="Q20" s="4" t="n">
        <v>4</v>
      </c>
      <c r="R20" s="4" t="n">
        <v>4</v>
      </c>
      <c r="S20" s="4" t="n">
        <v>4</v>
      </c>
      <c r="T20" s="4" t="n">
        <v>10</v>
      </c>
      <c r="U20" s="4" t="n">
        <v>3</v>
      </c>
      <c r="V20" s="4" t="n">
        <v>928</v>
      </c>
      <c r="W20" s="4" t="n">
        <v>0</v>
      </c>
      <c r="X20" s="4" t="n">
        <v>928</v>
      </c>
      <c r="Y20" s="4">
        <f>SUM(C20:S20)-T20</f>
        <v/>
      </c>
    </row>
    <row r="21">
      <c r="A21" s="4" t="n">
        <v>122</v>
      </c>
      <c r="B21" s="14" t="inlineStr">
        <is>
          <t>Vemulawada PS 122</t>
        </is>
      </c>
      <c r="C21" s="4" t="n">
        <v>0</v>
      </c>
      <c r="D21" s="4" t="n">
        <v>184</v>
      </c>
      <c r="E21" s="4" t="n">
        <v>60</v>
      </c>
      <c r="F21" s="4" t="n">
        <v>1</v>
      </c>
      <c r="G21" s="4" t="n">
        <v>4</v>
      </c>
      <c r="H21" s="4" t="n">
        <v>158</v>
      </c>
      <c r="I21" s="4" t="n">
        <v>0</v>
      </c>
      <c r="J21" s="4" t="n">
        <v>4</v>
      </c>
      <c r="K21" s="4" t="n">
        <v>0</v>
      </c>
      <c r="L21" s="4" t="n">
        <v>0</v>
      </c>
      <c r="M21" s="4" t="n">
        <v>8</v>
      </c>
      <c r="N21" s="4" t="n">
        <v>3</v>
      </c>
      <c r="O21" s="4" t="n">
        <v>0</v>
      </c>
      <c r="P21" s="4" t="n">
        <v>4</v>
      </c>
      <c r="Q21" s="4" t="n">
        <v>0</v>
      </c>
      <c r="R21" s="4" t="n">
        <v>4</v>
      </c>
      <c r="S21" s="4" t="n">
        <v>3</v>
      </c>
      <c r="T21" s="4" t="n">
        <v>0</v>
      </c>
      <c r="U21" s="4" t="n">
        <v>0</v>
      </c>
      <c r="V21" s="4" t="n">
        <v>469</v>
      </c>
      <c r="W21" s="4" t="n">
        <v>0</v>
      </c>
      <c r="X21" s="4" t="n">
        <v>469</v>
      </c>
      <c r="Y21" s="4">
        <f>SUM(C21:S21)-T21</f>
        <v/>
      </c>
    </row>
    <row r="22">
      <c r="A22" s="4" t="n">
        <v>130</v>
      </c>
      <c r="B22" s="14" t="inlineStr">
        <is>
          <t>Vemulawada PS 130</t>
        </is>
      </c>
      <c r="C22" s="4" t="n">
        <v>0</v>
      </c>
      <c r="D22" s="4" t="n">
        <v>247</v>
      </c>
      <c r="E22" s="4" t="n">
        <v>0</v>
      </c>
      <c r="F22" s="4" t="n">
        <v>0</v>
      </c>
      <c r="G22" s="4" t="n">
        <v>0</v>
      </c>
      <c r="H22" s="4" t="n">
        <v>231</v>
      </c>
      <c r="I22" s="4" t="n">
        <v>0</v>
      </c>
      <c r="J22" s="4" t="n">
        <v>0</v>
      </c>
      <c r="K22" s="4" t="n">
        <v>0</v>
      </c>
      <c r="L22" s="4" t="n">
        <v>1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2</v>
      </c>
      <c r="R22" s="4" t="n">
        <v>0</v>
      </c>
      <c r="S22" s="4" t="n">
        <v>8</v>
      </c>
      <c r="T22" s="4" t="n">
        <v>2</v>
      </c>
      <c r="U22" s="4" t="n">
        <v>1</v>
      </c>
      <c r="V22" s="4" t="n">
        <v>609</v>
      </c>
      <c r="W22" s="4" t="n">
        <v>20</v>
      </c>
      <c r="X22" s="4" t="n">
        <v>0</v>
      </c>
      <c r="Y22" s="4">
        <f>SUM(C22:S22)-T22</f>
        <v/>
      </c>
    </row>
    <row r="23">
      <c r="A23" s="4" t="n">
        <v>131</v>
      </c>
      <c r="B23" s="14" t="inlineStr">
        <is>
          <t>Vemulawada PS 131</t>
        </is>
      </c>
      <c r="C23" s="4" t="n">
        <v>0</v>
      </c>
      <c r="D23" s="4" t="n">
        <v>265</v>
      </c>
      <c r="E23" s="4" t="n">
        <v>0</v>
      </c>
      <c r="F23" s="4" t="n">
        <v>0</v>
      </c>
      <c r="G23" s="4" t="n">
        <v>16</v>
      </c>
      <c r="H23" s="4" t="n">
        <v>0</v>
      </c>
      <c r="I23" s="4" t="n">
        <v>2</v>
      </c>
      <c r="J23" s="4" t="n">
        <v>2</v>
      </c>
      <c r="K23" s="4" t="n">
        <v>3</v>
      </c>
      <c r="L23" s="4" t="n">
        <v>3</v>
      </c>
      <c r="M23" s="4" t="n">
        <v>5</v>
      </c>
      <c r="N23" s="4" t="n">
        <v>0</v>
      </c>
      <c r="O23" s="4" t="n">
        <v>2</v>
      </c>
      <c r="P23" s="4" t="n">
        <v>4</v>
      </c>
      <c r="Q23" s="4" t="n">
        <v>2</v>
      </c>
      <c r="R23" s="4" t="n">
        <v>0</v>
      </c>
      <c r="S23" s="4" t="n">
        <v>7</v>
      </c>
      <c r="T23" s="4" t="n">
        <v>6</v>
      </c>
      <c r="U23" s="4" t="n">
        <v>0</v>
      </c>
      <c r="V23" s="4" t="n">
        <v>550</v>
      </c>
      <c r="W23" s="4" t="n">
        <v>0</v>
      </c>
      <c r="X23" s="4" t="n">
        <v>0</v>
      </c>
      <c r="Y23" s="4">
        <f>SUM(C23:S23)-T23</f>
        <v/>
      </c>
    </row>
    <row r="24">
      <c r="A24" s="4" t="n">
        <v>132</v>
      </c>
      <c r="B24" s="14" t="inlineStr">
        <is>
          <t>Vemulawada PS 132</t>
        </is>
      </c>
      <c r="C24" s="4" t="n">
        <v>0</v>
      </c>
      <c r="D24" s="4" t="n">
        <v>190</v>
      </c>
      <c r="E24" s="4" t="n">
        <v>0</v>
      </c>
      <c r="F24" s="4" t="n">
        <v>0</v>
      </c>
      <c r="G24" s="4" t="n">
        <v>0</v>
      </c>
      <c r="H24" s="4" t="n">
        <v>140</v>
      </c>
      <c r="I24" s="4" t="n">
        <v>0</v>
      </c>
      <c r="J24" s="4" t="n">
        <v>1</v>
      </c>
      <c r="K24" s="4" t="n">
        <v>0</v>
      </c>
      <c r="L24" s="4" t="n">
        <v>0</v>
      </c>
      <c r="M24" s="4" t="n">
        <v>4</v>
      </c>
      <c r="N24" s="4" t="n">
        <v>7</v>
      </c>
      <c r="O24" s="4" t="n">
        <v>0</v>
      </c>
      <c r="P24" s="4" t="n">
        <v>1</v>
      </c>
      <c r="Q24" s="4" t="n">
        <v>0</v>
      </c>
      <c r="R24" s="4" t="n">
        <v>2</v>
      </c>
      <c r="S24" s="4" t="n">
        <v>3</v>
      </c>
      <c r="T24" s="4" t="n">
        <v>9</v>
      </c>
      <c r="U24" s="4" t="n">
        <v>0</v>
      </c>
      <c r="V24" s="4" t="n">
        <v>378</v>
      </c>
      <c r="W24" s="4" t="n">
        <v>0</v>
      </c>
      <c r="X24" s="4" t="n">
        <v>78</v>
      </c>
      <c r="Y24" s="4">
        <f>SUM(C24:S24)-T24</f>
        <v/>
      </c>
    </row>
    <row r="25">
      <c r="A25" s="4" t="n">
        <v>136</v>
      </c>
      <c r="B25" s="14" t="inlineStr">
        <is>
          <t>Vemulawada PS 136</t>
        </is>
      </c>
      <c r="C25" s="4" t="n">
        <v>0</v>
      </c>
      <c r="D25" s="4" t="n">
        <v>173</v>
      </c>
      <c r="E25" s="4" t="n">
        <v>68</v>
      </c>
      <c r="F25" s="4" t="n">
        <v>3</v>
      </c>
      <c r="G25" s="4" t="n">
        <v>7</v>
      </c>
      <c r="H25" s="4" t="n">
        <v>263</v>
      </c>
      <c r="I25" s="4" t="n">
        <v>4</v>
      </c>
      <c r="J25" s="4" t="n">
        <v>4</v>
      </c>
      <c r="K25" s="4" t="n">
        <v>0</v>
      </c>
      <c r="L25" s="4" t="n">
        <v>3</v>
      </c>
      <c r="M25" s="4" t="n">
        <v>12</v>
      </c>
      <c r="N25" s="4" t="n">
        <v>56</v>
      </c>
      <c r="O25" s="4" t="n">
        <v>5</v>
      </c>
      <c r="P25" s="4" t="n">
        <v>6</v>
      </c>
      <c r="Q25" s="4" t="n">
        <v>1</v>
      </c>
      <c r="R25" s="4" t="n">
        <v>4</v>
      </c>
      <c r="S25" s="4" t="n">
        <v>3</v>
      </c>
      <c r="T25" s="4" t="n">
        <v>5</v>
      </c>
      <c r="U25" s="4" t="n">
        <v>5</v>
      </c>
      <c r="V25" s="4" t="n">
        <v>622</v>
      </c>
      <c r="W25" s="4" t="n">
        <v>0</v>
      </c>
      <c r="X25" s="4" t="n">
        <v>622</v>
      </c>
      <c r="Y25" s="4">
        <f>SUM(C25:S25)-T25</f>
        <v/>
      </c>
    </row>
    <row r="26">
      <c r="A26" s="4" t="n">
        <v>137</v>
      </c>
      <c r="B26" s="14" t="inlineStr">
        <is>
          <t>Vemulawada PS 137</t>
        </is>
      </c>
      <c r="C26" s="4" t="n">
        <v>0</v>
      </c>
      <c r="D26" s="4" t="n">
        <v>0</v>
      </c>
      <c r="E26" s="4" t="n">
        <v>172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4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>
        <f>SUM(C26:S26)-T26</f>
        <v/>
      </c>
    </row>
    <row r="27">
      <c r="A27" s="4" t="n">
        <v>138</v>
      </c>
      <c r="B27" s="14" t="inlineStr">
        <is>
          <t>Vemulawada PS 138</t>
        </is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1</v>
      </c>
      <c r="H27" s="4" t="n">
        <v>3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>
        <f>SUM(C27:S27)-T27</f>
        <v/>
      </c>
    </row>
    <row r="28">
      <c r="A28" s="4" t="n">
        <v>139</v>
      </c>
      <c r="B28" s="14" t="inlineStr">
        <is>
          <t>Vemulawada PS 139</t>
        </is>
      </c>
      <c r="C28" s="4" t="n">
        <v>204</v>
      </c>
      <c r="D28" s="4" t="n">
        <v>0</v>
      </c>
      <c r="E28" s="4" t="n">
        <v>0</v>
      </c>
      <c r="F28" s="4" t="n">
        <v>136</v>
      </c>
      <c r="G28" s="4" t="n">
        <v>28</v>
      </c>
      <c r="H28" s="4" t="n">
        <v>1</v>
      </c>
      <c r="I28" s="4" t="n">
        <v>5</v>
      </c>
      <c r="J28" s="4" t="n">
        <v>125</v>
      </c>
      <c r="K28" s="4" t="n">
        <v>1</v>
      </c>
      <c r="L28" s="4" t="n">
        <v>2</v>
      </c>
      <c r="M28" s="4" t="n">
        <v>0</v>
      </c>
      <c r="N28" s="4" t="n">
        <v>1</v>
      </c>
      <c r="O28" s="4" t="n">
        <v>5</v>
      </c>
      <c r="P28" s="4" t="n">
        <v>7</v>
      </c>
      <c r="Q28" s="4" t="n">
        <v>0</v>
      </c>
      <c r="R28" s="4" t="n">
        <v>4</v>
      </c>
      <c r="S28" s="4" t="n">
        <v>0</v>
      </c>
      <c r="T28" s="4" t="n">
        <v>0</v>
      </c>
      <c r="U28" s="4" t="n">
        <v>4</v>
      </c>
      <c r="V28" s="4" t="n">
        <v>1</v>
      </c>
      <c r="W28" s="4" t="n">
        <v>0</v>
      </c>
      <c r="X28" s="4" t="n">
        <v>330</v>
      </c>
      <c r="Y28" s="4">
        <f>SUM(C28:S28)-T28</f>
        <v/>
      </c>
    </row>
    <row r="29">
      <c r="A29" s="7" t="inlineStr">
        <is>
          <t>TOTAL EVM VOTES</t>
        </is>
      </c>
      <c r="C29" s="8">
        <f>SUM(C6:C28)</f>
        <v/>
      </c>
      <c r="D29" s="8">
        <f>SUM(D6:D28)</f>
        <v/>
      </c>
      <c r="E29" s="8">
        <f>SUM(E6:E28)</f>
        <v/>
      </c>
      <c r="F29" s="8">
        <f>SUM(F6:F28)</f>
        <v/>
      </c>
      <c r="G29" s="8">
        <f>SUM(G6:G28)</f>
        <v/>
      </c>
      <c r="H29" s="8">
        <f>SUM(H6:H28)</f>
        <v/>
      </c>
      <c r="I29" s="8">
        <f>SUM(I6:I28)</f>
        <v/>
      </c>
      <c r="J29" s="8">
        <f>SUM(J6:J28)</f>
        <v/>
      </c>
      <c r="K29" s="8">
        <f>SUM(K6:K28)</f>
        <v/>
      </c>
      <c r="L29" s="8">
        <f>SUM(L6:L28)</f>
        <v/>
      </c>
      <c r="M29" s="8">
        <f>SUM(M6:M28)</f>
        <v/>
      </c>
      <c r="N29" s="8">
        <f>SUM(N6:N28)</f>
        <v/>
      </c>
      <c r="O29" s="8">
        <f>SUM(O6:O28)</f>
        <v/>
      </c>
      <c r="P29" s="8">
        <f>SUM(P6:P28)</f>
        <v/>
      </c>
      <c r="Q29" s="8">
        <f>SUM(Q6:Q28)</f>
        <v/>
      </c>
      <c r="R29" s="8">
        <f>SUM(R6:R28)</f>
        <v/>
      </c>
      <c r="S29" s="8">
        <f>SUM(S6:S28)</f>
        <v/>
      </c>
      <c r="T29" s="8">
        <f>SUM(T6:T28)</f>
        <v/>
      </c>
      <c r="U29" s="8">
        <f>SUM(U6:U28)</f>
        <v/>
      </c>
      <c r="V29" s="8">
        <f>SUM(V6:V28)</f>
        <v/>
      </c>
      <c r="W29" s="8">
        <f>T29+U29</f>
        <v/>
      </c>
      <c r="X29" s="8">
        <f>SUM(X6:X28)</f>
        <v/>
      </c>
      <c r="Y29" s="8">
        <f>SUM(C29:S29)-T29</f>
        <v/>
      </c>
    </row>
    <row r="30">
      <c r="A30" s="9" t="inlineStr">
        <is>
          <t>POSTAL BALLOT VOTES</t>
        </is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</row>
    <row r="31">
      <c r="A31" s="11" t="inlineStr">
        <is>
          <t>TOTAL VOTES POLLED</t>
        </is>
      </c>
      <c r="C31" s="12">
        <f>C29+C30</f>
        <v/>
      </c>
      <c r="D31" s="12">
        <f>D29+D30</f>
        <v/>
      </c>
      <c r="E31" s="12">
        <f>E29+E30</f>
        <v/>
      </c>
      <c r="F31" s="12">
        <f>F29+F30</f>
        <v/>
      </c>
      <c r="G31" s="12">
        <f>G29+G30</f>
        <v/>
      </c>
      <c r="H31" s="12">
        <f>H29+H30</f>
        <v/>
      </c>
      <c r="I31" s="12">
        <f>I29+I30</f>
        <v/>
      </c>
      <c r="J31" s="12">
        <f>J29+J30</f>
        <v/>
      </c>
      <c r="K31" s="12">
        <f>K29+K30</f>
        <v/>
      </c>
      <c r="L31" s="12">
        <f>L29+L30</f>
        <v/>
      </c>
      <c r="M31" s="12">
        <f>M29+M30</f>
        <v/>
      </c>
      <c r="N31" s="12">
        <f>N29+N30</f>
        <v/>
      </c>
      <c r="O31" s="12">
        <f>O29+O30</f>
        <v/>
      </c>
      <c r="P31" s="12">
        <f>P29+P30</f>
        <v/>
      </c>
      <c r="Q31" s="12">
        <f>Q29+Q30</f>
        <v/>
      </c>
      <c r="R31" s="12">
        <f>R29+R30</f>
        <v/>
      </c>
      <c r="S31" s="12">
        <f>S29+S30</f>
        <v/>
      </c>
      <c r="T31" s="12">
        <f>T29+T30</f>
        <v/>
      </c>
      <c r="U31" s="12">
        <f>U29+U30</f>
        <v/>
      </c>
      <c r="V31" s="12">
        <f>V29+V30</f>
        <v/>
      </c>
      <c r="W31" s="12">
        <f>W29+W30</f>
        <v/>
      </c>
      <c r="X31" s="12">
        <f>X29+X30</f>
        <v/>
      </c>
      <c r="Y31" s="12">
        <f>SUM(C31:S31)-T31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2026-09-13T12:50:40Z</dcterms:created>
  <dcterms:modified xsi:type="dcterms:W3CDTF">2026-09-14T02:41:48Z</dcterms:modified>
</cp:coreProperties>
</file>