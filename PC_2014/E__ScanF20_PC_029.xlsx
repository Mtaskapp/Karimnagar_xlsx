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_20_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color rgb="001F497D"/>
      <sz val="10"/>
    </font>
    <font>
      <name val="Calibri"/>
      <b val="1"/>
      <color rgb="00FFFFFF"/>
      <sz val="11"/>
    </font>
    <font>
      <b val="1"/>
    </font>
    <font>
      <name val="Calibri"/>
      <b val="1"/>
      <color rgb="00000000"/>
      <sz val="11"/>
    </font>
    <font>
      <name val="Calibr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1B365D"/>
        <bgColor rgb="001B365D"/>
      </patternFill>
    </fill>
  </fills>
  <borders count="5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1B365D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4" fillId="0" borderId="0" pivotButton="0" quotePrefix="0" xfId="0"/>
    <xf numFmtId="0" fontId="4" fillId="0" borderId="1" applyAlignment="1" pivotButton="0" quotePrefix="0" xfId="0">
      <alignment horizontal="right" vertical="center"/>
    </xf>
    <xf numFmtId="0" fontId="5" fillId="3" borderId="2" pivotButton="0" quotePrefix="0" xfId="0"/>
    <xf numFmtId="3" fontId="5" fillId="3" borderId="2" applyAlignment="1" pivotButton="0" quotePrefix="0" xfId="0">
      <alignment horizontal="right"/>
    </xf>
    <xf numFmtId="0" fontId="5" fillId="4" borderId="3" pivotButton="0" quotePrefix="0" xfId="0"/>
    <xf numFmtId="3" fontId="5" fillId="4" borderId="3" applyAlignment="1" pivotButton="0" quotePrefix="0" xfId="0">
      <alignment horizontal="right"/>
    </xf>
    <xf numFmtId="0" fontId="5" fillId="5" borderId="4" pivotButton="0" quotePrefix="0" xfId="0"/>
    <xf numFmtId="3" fontId="5" fillId="5" borderId="4" applyAlignment="1" pivotButton="0" quotePrefix="0" xfId="0">
      <alignment horizontal="right"/>
    </xf>
    <xf numFmtId="0" fontId="3" fillId="6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1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19" customWidth="1" min="3" max="3"/>
    <col width="14" customWidth="1" min="4" max="4"/>
    <col width="17" customWidth="1" min="5" max="5"/>
    <col width="25" customWidth="1" min="6" max="6"/>
    <col width="27" customWidth="1" min="7" max="7"/>
    <col width="26" customWidth="1" min="8" max="8"/>
    <col width="21" customWidth="1" min="9" max="9"/>
    <col width="20" customWidth="1" min="10" max="10"/>
    <col width="23" customWidth="1" min="11" max="11"/>
    <col width="16" customWidth="1" min="12" max="12"/>
    <col width="18" customWidth="1" min="13" max="13"/>
    <col width="19" customWidth="1" min="14" max="14"/>
    <col width="18" customWidth="1" min="15" max="15"/>
    <col width="22" customWidth="1" min="16" max="16"/>
    <col width="25" customWidth="1" min="17" max="17"/>
    <col width="28" customWidth="1" min="18" max="18"/>
    <col width="20" customWidth="1" min="19" max="19"/>
    <col width="17" customWidth="1" min="20" max="20"/>
    <col width="14" customWidth="1" min="21" max="21"/>
    <col width="14" customWidth="1" min="22" max="22"/>
    <col width="17" customWidth="1" min="23" max="23"/>
    <col width="16" customWidth="1" min="24" max="24"/>
  </cols>
  <sheetData>
    <row r="1">
      <c r="A1" s="1" t="inlineStr">
        <is>
          <t>General Election to Lok Sabha 2014</t>
        </is>
      </c>
    </row>
    <row r="2">
      <c r="A2" s="2" t="inlineStr">
        <is>
          <t>03-Karimnagar Parliamentary Constituency (29-Sircilla)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13" t="inlineStr">
        <is>
          <t>PS_Name</t>
        </is>
      </c>
      <c r="C5" s="3" t="inlineStr">
        <is>
          <t>Chennamaneni Vidya Sagar Rao</t>
        </is>
      </c>
      <c r="D5" s="3" t="inlineStr">
        <is>
          <t>Ponnam Prabhakar</t>
        </is>
      </c>
      <c r="E5" s="3" t="inlineStr">
        <is>
          <t>Burla Ravi</t>
        </is>
      </c>
      <c r="F5" s="3" t="inlineStr">
        <is>
          <t>Byagari Laxman</t>
        </is>
      </c>
      <c r="G5" s="3" t="inlineStr">
        <is>
          <t>Vinod Kumar Boinapally</t>
        </is>
      </c>
      <c r="H5" s="3" t="inlineStr">
        <is>
          <t>Dr. Dharmaiah Vendavetla</t>
        </is>
      </c>
      <c r="I5" s="3" t="inlineStr">
        <is>
          <t>Lenkala Prabhakar Reddy</t>
        </is>
      </c>
      <c r="J5" s="3" t="inlineStr">
        <is>
          <t>Meesala Raji Reddy</t>
        </is>
      </c>
      <c r="K5" s="3" t="inlineStr">
        <is>
          <t>Ranaveni Lakshman</t>
        </is>
      </c>
      <c r="L5" s="3" t="inlineStr">
        <is>
          <t>Reddi Malla Srinivas</t>
        </is>
      </c>
      <c r="M5" s="3" t="inlineStr">
        <is>
          <t>Shaik Mohmood</t>
        </is>
      </c>
      <c r="N5" s="3" t="inlineStr">
        <is>
          <t>Uppuleti Laxman</t>
        </is>
      </c>
      <c r="O5" s="3" t="inlineStr">
        <is>
          <t>Kandem Prabhakar</t>
        </is>
      </c>
      <c r="P5" s="3" t="inlineStr">
        <is>
          <t>Pulikota Ramesh</t>
        </is>
      </c>
      <c r="Q5" s="3" t="inlineStr">
        <is>
          <t>Mallesh Yadav Barla</t>
        </is>
      </c>
      <c r="R5" s="3" t="inlineStr">
        <is>
          <t>Mommed Amjad Mohiuddin</t>
        </is>
      </c>
      <c r="S5" s="3" t="inlineStr">
        <is>
          <t>Srinvas Reddy Lingampally</t>
        </is>
      </c>
      <c r="T5" s="3" t="inlineStr">
        <is>
          <t>Total_Valid_Votes</t>
        </is>
      </c>
      <c r="U5" s="3" t="inlineStr">
        <is>
          <t>Rejected_Votes</t>
        </is>
      </c>
      <c r="V5" s="3" t="inlineStr">
        <is>
          <t>NOTA</t>
        </is>
      </c>
      <c r="W5" s="3" t="inlineStr">
        <is>
          <t>Total_Votes</t>
        </is>
      </c>
      <c r="X5" s="3" t="inlineStr">
        <is>
          <t>Tendered_Votes</t>
        </is>
      </c>
      <c r="Y5" s="3" t="inlineStr">
        <is>
          <t>Checksum_Diff</t>
        </is>
      </c>
    </row>
    <row r="6">
      <c r="A6" s="4" t="n">
        <v>1</v>
      </c>
      <c r="B6" s="14" t="inlineStr">
        <is>
          <t>Vanpalli</t>
        </is>
      </c>
      <c r="C6" s="4" t="n">
        <v>1</v>
      </c>
      <c r="D6" s="4" t="n">
        <v>0</v>
      </c>
      <c r="E6" s="4" t="n">
        <v>12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>
        <f>SUM(C6:S6)-T6</f>
        <v/>
      </c>
    </row>
    <row r="7">
      <c r="A7" s="4" t="n">
        <v>224</v>
      </c>
      <c r="B7" s="14" t="inlineStr">
        <is>
          <t>Sircilla PS 224</t>
        </is>
      </c>
      <c r="C7" s="4" t="n">
        <v>0</v>
      </c>
      <c r="D7" s="4" t="n">
        <v>0</v>
      </c>
      <c r="E7" s="4" t="n">
        <v>0</v>
      </c>
      <c r="F7" s="4" t="n">
        <v>4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>
        <f>SUM(C7:S7)-T7</f>
        <v/>
      </c>
    </row>
    <row r="8">
      <c r="A8" s="4" t="n">
        <v>225</v>
      </c>
      <c r="B8" s="14" t="inlineStr">
        <is>
          <t>Sircilla PS 225</t>
        </is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7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>
        <f>SUM(C8:S8)-T8</f>
        <v/>
      </c>
    </row>
    <row r="9">
      <c r="A9" s="7" t="inlineStr">
        <is>
          <t>TOTAL EVM VOTES</t>
        </is>
      </c>
      <c r="C9" s="8">
        <f>SUM(C6:C8)</f>
        <v/>
      </c>
      <c r="D9" s="8">
        <f>SUM(D6:D8)</f>
        <v/>
      </c>
      <c r="E9" s="8">
        <f>SUM(E6:E8)</f>
        <v/>
      </c>
      <c r="F9" s="8">
        <f>SUM(F6:F8)</f>
        <v/>
      </c>
      <c r="G9" s="8">
        <f>SUM(G6:G8)</f>
        <v/>
      </c>
      <c r="H9" s="8">
        <f>SUM(H6:H8)</f>
        <v/>
      </c>
      <c r="I9" s="8">
        <f>SUM(I6:I8)</f>
        <v/>
      </c>
      <c r="J9" s="8">
        <f>SUM(J6:J8)</f>
        <v/>
      </c>
      <c r="K9" s="8">
        <f>SUM(K6:K8)</f>
        <v/>
      </c>
      <c r="L9" s="8">
        <f>SUM(L6:L8)</f>
        <v/>
      </c>
      <c r="M9" s="8">
        <f>SUM(M6:M8)</f>
        <v/>
      </c>
      <c r="N9" s="8">
        <f>SUM(N6:N8)</f>
        <v/>
      </c>
      <c r="O9" s="8">
        <f>SUM(O6:O8)</f>
        <v/>
      </c>
      <c r="P9" s="8">
        <f>SUM(P6:P8)</f>
        <v/>
      </c>
      <c r="Q9" s="8">
        <f>SUM(Q6:Q8)</f>
        <v/>
      </c>
      <c r="R9" s="8">
        <f>SUM(R6:R8)</f>
        <v/>
      </c>
      <c r="S9" s="8">
        <f>SUM(S6:S8)</f>
        <v/>
      </c>
      <c r="T9" s="8">
        <f>SUM(T6:T8)</f>
        <v/>
      </c>
      <c r="U9" s="8">
        <f>SUM(U6:U8)</f>
        <v/>
      </c>
      <c r="V9" s="8">
        <f>SUM(V6:V8)</f>
        <v/>
      </c>
      <c r="W9" s="8">
        <f>T9+U9</f>
        <v/>
      </c>
      <c r="X9" s="8">
        <f>SUM(X6:X8)</f>
        <v/>
      </c>
      <c r="Y9" s="8">
        <f>SUM(C9:S9)-T9</f>
        <v/>
      </c>
    </row>
    <row r="10">
      <c r="A10" s="9" t="inlineStr">
        <is>
          <t>POSTAL BALLOT VOTES</t>
        </is>
      </c>
      <c r="C10" s="10" t="n">
        <v>0</v>
      </c>
      <c r="D10" s="10" t="n">
        <v>0</v>
      </c>
      <c r="E10" s="10" t="n">
        <v>0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0</v>
      </c>
      <c r="K10" s="10" t="n">
        <v>0</v>
      </c>
      <c r="L10" s="10" t="n">
        <v>0</v>
      </c>
      <c r="M10" s="10" t="n">
        <v>0</v>
      </c>
      <c r="N10" s="10" t="n">
        <v>0</v>
      </c>
      <c r="O10" s="10" t="n">
        <v>0</v>
      </c>
      <c r="P10" s="10" t="n">
        <v>0</v>
      </c>
      <c r="Q10" s="10" t="n">
        <v>0</v>
      </c>
      <c r="R10" s="10" t="n">
        <v>0</v>
      </c>
      <c r="S10" s="10" t="n">
        <v>0</v>
      </c>
      <c r="T10" s="10" t="n">
        <v>0</v>
      </c>
      <c r="U10" s="10" t="n">
        <v>0</v>
      </c>
      <c r="V10" s="10" t="n">
        <v>0</v>
      </c>
      <c r="W10" s="10" t="n">
        <v>0</v>
      </c>
      <c r="X10" s="10" t="n">
        <v>0</v>
      </c>
      <c r="Y10" s="10" t="n">
        <v>0</v>
      </c>
    </row>
    <row r="11">
      <c r="A11" s="11" t="inlineStr">
        <is>
          <t>TOTAL VOTES POLLED</t>
        </is>
      </c>
      <c r="C11" s="12">
        <f>C9+C10</f>
        <v/>
      </c>
      <c r="D11" s="12">
        <f>D9+D10</f>
        <v/>
      </c>
      <c r="E11" s="12">
        <f>E9+E10</f>
        <v/>
      </c>
      <c r="F11" s="12">
        <f>F9+F10</f>
        <v/>
      </c>
      <c r="G11" s="12">
        <f>G9+G10</f>
        <v/>
      </c>
      <c r="H11" s="12">
        <f>H9+H10</f>
        <v/>
      </c>
      <c r="I11" s="12">
        <f>I9+I10</f>
        <v/>
      </c>
      <c r="J11" s="12">
        <f>J9+J10</f>
        <v/>
      </c>
      <c r="K11" s="12">
        <f>K9+K10</f>
        <v/>
      </c>
      <c r="L11" s="12">
        <f>L9+L10</f>
        <v/>
      </c>
      <c r="M11" s="12">
        <f>M9+M10</f>
        <v/>
      </c>
      <c r="N11" s="12">
        <f>N9+N10</f>
        <v/>
      </c>
      <c r="O11" s="12">
        <f>O9+O10</f>
        <v/>
      </c>
      <c r="P11" s="12">
        <f>P9+P10</f>
        <v/>
      </c>
      <c r="Q11" s="12">
        <f>Q9+Q10</f>
        <v/>
      </c>
      <c r="R11" s="12">
        <f>R9+R10</f>
        <v/>
      </c>
      <c r="S11" s="12">
        <f>S9+S10</f>
        <v/>
      </c>
      <c r="T11" s="12">
        <f>T9+T10</f>
        <v/>
      </c>
      <c r="U11" s="12">
        <f>U9+U10</f>
        <v/>
      </c>
      <c r="V11" s="12">
        <f>V9+V10</f>
        <v/>
      </c>
      <c r="W11" s="12">
        <f>W9+W10</f>
        <v/>
      </c>
      <c r="X11" s="12">
        <f>X9+X10</f>
        <v/>
      </c>
      <c r="Y11" s="12">
        <f>SUM(C11:S11)-T11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2026-09-13T12:51:13Z</dcterms:created>
  <dcterms:modified xsi:type="dcterms:W3CDTF">2026-09-14T02:41:48Z</dcterms:modified>
</cp:coreProperties>
</file>